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de Dados" sheetId="1" state="visible" r:id="rId1"/>
    <sheet xmlns:r="http://schemas.openxmlformats.org/officeDocument/2006/relationships" name="Resumo Supervisores" sheetId="2" state="visible" r:id="rId2"/>
    <sheet xmlns:r="http://schemas.openxmlformats.org/officeDocument/2006/relationships" name="Agenda Semanal" sheetId="3" state="visible" r:id="rId3"/>
    <sheet xmlns:r="http://schemas.openxmlformats.org/officeDocument/2006/relationships" name="Estatísticas por UF" sheetId="4" state="visible" r:id="rId4"/>
    <sheet xmlns:r="http://schemas.openxmlformats.org/officeDocument/2006/relationships" name="Clusters Classificação" sheetId="5" state="visible" r:id="rId5"/>
    <sheet xmlns:r="http://schemas.openxmlformats.org/officeDocument/2006/relationships" name="Dashboard Executivo" sheetId="6" state="visible" r:id="rId6"/>
    <sheet xmlns:r="http://schemas.openxmlformats.org/officeDocument/2006/relationships" name="Supervisor x Semana" sheetId="7" state="visible" r:id="rId7"/>
    <sheet xmlns:r="http://schemas.openxmlformats.org/officeDocument/2006/relationships" name="Modo Transporte" sheetId="8" state="visible" r:id="rId8"/>
    <sheet xmlns:r="http://schemas.openxmlformats.org/officeDocument/2006/relationships" name="Densidade por Estado" sheetId="9" state="visible" r:id="rId9"/>
    <sheet xmlns:r="http://schemas.openxmlformats.org/officeDocument/2006/relationships" name="Blocos de Viagem" sheetId="10" state="visible" r:id="rId10"/>
    <sheet xmlns:r="http://schemas.openxmlformats.org/officeDocument/2006/relationships" name="Blocos de Viagem1" sheetId="11" state="visible" r:id="rId11"/>
    <sheet xmlns:r="http://schemas.openxmlformats.org/officeDocument/2006/relationships" name="Blocos de Viagem2" sheetId="12" state="visible" r:id="rId12"/>
    <sheet xmlns:r="http://schemas.openxmlformats.org/officeDocument/2006/relationships" name="Cluster Cidades" sheetId="13" state="visible" r:id="rId13"/>
  </sheets>
  <definedNames>
    <definedName name="_xlnm._FilterDatabase" localSheetId="11" hidden="1">'Blocos de Viagem2'!$A$1:$H$61</definedName>
    <definedName name="_xlnm._FilterDatabase" localSheetId="12" hidden="1">'Cluster Cidades'!$A$1:$I$202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  <sz val="14"/>
    </font>
    <font>
      <b val="1"/>
      <sz val="12"/>
    </font>
    <font>
      <b val="1"/>
      <color rgb="001F4E78"/>
      <sz val="14"/>
    </font>
    <font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2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1" fillId="2" borderId="1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4" customWidth="1" min="3" max="3"/>
    <col width="6" customWidth="1" min="4" max="4"/>
    <col width="25" customWidth="1" min="5" max="5"/>
    <col width="25" customWidth="1" min="6" max="6"/>
    <col width="12" customWidth="1" min="7" max="7"/>
    <col width="16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Código</t>
        </is>
      </c>
      <c r="B1" s="1" t="inlineStr">
        <is>
          <t>Cliente</t>
        </is>
      </c>
      <c r="C1" s="1" t="inlineStr">
        <is>
          <t>Região</t>
        </is>
      </c>
      <c r="D1" s="1" t="inlineStr">
        <is>
          <t>UF</t>
        </is>
      </c>
      <c r="E1" s="1" t="inlineStr">
        <is>
          <t>Cidade</t>
        </is>
      </c>
      <c r="F1" s="1" t="inlineStr">
        <is>
          <t>Bairro</t>
        </is>
      </c>
      <c r="G1" s="1" t="inlineStr">
        <is>
          <t>CEP</t>
        </is>
      </c>
      <c r="H1" s="1" t="inlineStr">
        <is>
          <t>Supervisor</t>
        </is>
      </c>
      <c r="I1" s="1" t="inlineStr">
        <is>
          <t>Classificação</t>
        </is>
      </c>
      <c r="J1" s="1" t="inlineStr">
        <is>
          <t>Distância (km)</t>
        </is>
      </c>
      <c r="K1" s="1" t="inlineStr">
        <is>
          <t>Semana</t>
        </is>
      </c>
      <c r="L1" s="1" t="inlineStr">
        <is>
          <t>Prioridade</t>
        </is>
      </c>
      <c r="M1" s="1" t="inlineStr">
        <is>
          <t>Chave</t>
        </is>
      </c>
    </row>
    <row r="2">
      <c r="A2" s="2" t="n">
        <v>1</v>
      </c>
      <c r="B2" s="3" t="inlineStr">
        <is>
          <t xml:space="preserve">PAPELARIA E LIVRARIA FABIJODIV LTDA </t>
        </is>
      </c>
      <c r="C2" s="3" t="inlineStr">
        <is>
          <t>CENTRO-OESTE</t>
        </is>
      </c>
      <c r="D2" s="3" t="inlineStr">
        <is>
          <t>DF</t>
        </is>
      </c>
      <c r="E2" s="3" t="inlineStr">
        <is>
          <t>Brasília</t>
        </is>
      </c>
      <c r="F2" s="3" t="inlineStr">
        <is>
          <t xml:space="preserve">TAGUATINGA </t>
        </is>
      </c>
      <c r="G2" s="3" t="inlineStr">
        <is>
          <t>72130901</t>
        </is>
      </c>
      <c r="H2" s="3" t="inlineStr">
        <is>
          <t>Andressa</t>
        </is>
      </c>
      <c r="I2" s="3" t="inlineStr">
        <is>
          <t>Estratégico</t>
        </is>
      </c>
      <c r="J2" s="2" t="n">
        <v>942</v>
      </c>
      <c r="K2" s="3" t="inlineStr">
        <is>
          <t>Semana 1</t>
        </is>
      </c>
      <c r="L2" s="3" t="inlineStr">
        <is>
          <t>Alta</t>
        </is>
      </c>
      <c r="M2" s="3" t="inlineStr">
        <is>
          <t>chave 1</t>
        </is>
      </c>
    </row>
    <row r="3">
      <c r="A3" s="2" t="n">
        <v>2</v>
      </c>
      <c r="B3" s="3" t="inlineStr">
        <is>
          <t xml:space="preserve">NOVA ALIANCA ATACADO LTDA </t>
        </is>
      </c>
      <c r="C3" s="3" t="inlineStr">
        <is>
          <t>CENTRO-OESTE</t>
        </is>
      </c>
      <c r="D3" s="3" t="inlineStr">
        <is>
          <t>DF</t>
        </is>
      </c>
      <c r="E3" s="3" t="inlineStr">
        <is>
          <t>Brasília</t>
        </is>
      </c>
      <c r="F3" s="3" t="inlineStr">
        <is>
          <t xml:space="preserve">TAGUATINGA </t>
        </is>
      </c>
      <c r="G3" s="3" t="inlineStr">
        <is>
          <t>72130075</t>
        </is>
      </c>
      <c r="H3" s="3" t="inlineStr">
        <is>
          <t>Andressa</t>
        </is>
      </c>
      <c r="I3" s="3" t="inlineStr">
        <is>
          <t>Estratégico</t>
        </is>
      </c>
      <c r="J3" s="2" t="n">
        <v>942</v>
      </c>
      <c r="K3" s="3" t="inlineStr">
        <is>
          <t>Semana 1</t>
        </is>
      </c>
      <c r="L3" s="3" t="inlineStr">
        <is>
          <t>Alta</t>
        </is>
      </c>
      <c r="M3" s="3" t="inlineStr">
        <is>
          <t>chave 2</t>
        </is>
      </c>
    </row>
    <row r="4">
      <c r="A4" s="2" t="n">
        <v>3</v>
      </c>
      <c r="B4" s="3" t="inlineStr">
        <is>
          <t xml:space="preserve">CENTRO BRASILEIRO DE PESQ. AVAL. E SEL. DE PROMOCAO DE EVENTOS-CEBRASPE </t>
        </is>
      </c>
      <c r="C4" s="3" t="inlineStr">
        <is>
          <t>CENTRO-OESTE</t>
        </is>
      </c>
      <c r="D4" s="3" t="inlineStr">
        <is>
          <t>DF</t>
        </is>
      </c>
      <c r="E4" s="3" t="inlineStr">
        <is>
          <t>BRASÍLIA</t>
        </is>
      </c>
      <c r="F4" s="3" t="inlineStr">
        <is>
          <t xml:space="preserve">ZONA INDUSTRIAL </t>
        </is>
      </c>
      <c r="G4" s="3" t="inlineStr">
        <is>
          <t>70632100</t>
        </is>
      </c>
      <c r="H4" s="3" t="inlineStr">
        <is>
          <t>Andressa</t>
        </is>
      </c>
      <c r="I4" s="3" t="inlineStr">
        <is>
          <t>Estratégico</t>
        </is>
      </c>
      <c r="J4" s="2" t="n">
        <v>942</v>
      </c>
      <c r="K4" s="3" t="inlineStr">
        <is>
          <t>Semana 1</t>
        </is>
      </c>
      <c r="L4" s="3" t="inlineStr">
        <is>
          <t>Alta</t>
        </is>
      </c>
      <c r="M4" s="3" t="inlineStr">
        <is>
          <t>chave 3</t>
        </is>
      </c>
    </row>
    <row r="5">
      <c r="A5" s="2" t="n">
        <v>4</v>
      </c>
      <c r="B5" s="3" t="inlineStr">
        <is>
          <t xml:space="preserve">PLANETA DO ESTUDANTE PAPELARIA E LIVRARIA LTDA </t>
        </is>
      </c>
      <c r="C5" s="3" t="inlineStr">
        <is>
          <t>CENTRO-OESTE</t>
        </is>
      </c>
      <c r="D5" s="3" t="inlineStr">
        <is>
          <t>DF</t>
        </is>
      </c>
      <c r="E5" s="3" t="inlineStr">
        <is>
          <t>BRASÍLIA</t>
        </is>
      </c>
      <c r="F5" s="3" t="inlineStr">
        <is>
          <t xml:space="preserve">SAMAMBAIA SUL </t>
        </is>
      </c>
      <c r="G5" s="3" t="inlineStr">
        <is>
          <t>72302537</t>
        </is>
      </c>
      <c r="H5" s="3" t="inlineStr">
        <is>
          <t>Andressa</t>
        </is>
      </c>
      <c r="I5" s="3" t="inlineStr">
        <is>
          <t>Estratégico</t>
        </is>
      </c>
      <c r="J5" s="2" t="n">
        <v>942</v>
      </c>
      <c r="K5" s="3" t="inlineStr">
        <is>
          <t>Semana 1</t>
        </is>
      </c>
      <c r="L5" s="3" t="inlineStr">
        <is>
          <t>Alta</t>
        </is>
      </c>
      <c r="M5" s="3" t="inlineStr">
        <is>
          <t>chave 4</t>
        </is>
      </c>
    </row>
    <row r="6">
      <c r="A6" s="2" t="n">
        <v>5</v>
      </c>
      <c r="B6" s="3" t="inlineStr">
        <is>
          <t xml:space="preserve">BENEPAPER COMERCIO DE PAPEIS EIRELI </t>
        </is>
      </c>
      <c r="C6" s="3" t="inlineStr">
        <is>
          <t>CENTRO-OESTE</t>
        </is>
      </c>
      <c r="D6" s="3" t="inlineStr">
        <is>
          <t>DF</t>
        </is>
      </c>
      <c r="E6" s="3" t="inlineStr">
        <is>
          <t>Brasília</t>
        </is>
      </c>
      <c r="F6" s="3" t="inlineStr">
        <is>
          <t xml:space="preserve">PLANALTINA </t>
        </is>
      </c>
      <c r="G6" s="3" t="inlineStr">
        <is>
          <t>73350305</t>
        </is>
      </c>
      <c r="H6" s="3" t="inlineStr">
        <is>
          <t>Andressa</t>
        </is>
      </c>
      <c r="I6" s="3" t="inlineStr">
        <is>
          <t>Estratégico</t>
        </is>
      </c>
      <c r="J6" s="2" t="n">
        <v>942</v>
      </c>
      <c r="K6" s="3" t="inlineStr">
        <is>
          <t>Semana 1</t>
        </is>
      </c>
      <c r="L6" s="3" t="inlineStr">
        <is>
          <t>Alta</t>
        </is>
      </c>
      <c r="M6" s="3" t="inlineStr">
        <is>
          <t>chave 5</t>
        </is>
      </c>
    </row>
    <row r="7">
      <c r="A7" s="2" t="n">
        <v>6</v>
      </c>
      <c r="B7" s="3" t="inlineStr">
        <is>
          <t xml:space="preserve">DF PAPELARIA LTDA </t>
        </is>
      </c>
      <c r="C7" s="3" t="inlineStr">
        <is>
          <t>CENTRO-OESTE</t>
        </is>
      </c>
      <c r="D7" s="3" t="inlineStr">
        <is>
          <t>DF</t>
        </is>
      </c>
      <c r="E7" s="3" t="inlineStr">
        <is>
          <t>Brasília</t>
        </is>
      </c>
      <c r="F7" s="3" t="inlineStr">
        <is>
          <t xml:space="preserve">SANTA MARIA </t>
        </is>
      </c>
      <c r="G7" s="3" t="inlineStr">
        <is>
          <t>72546616</t>
        </is>
      </c>
      <c r="H7" s="3" t="inlineStr">
        <is>
          <t>Andressa</t>
        </is>
      </c>
      <c r="I7" s="3" t="inlineStr">
        <is>
          <t>Estratégico</t>
        </is>
      </c>
      <c r="J7" s="2" t="n">
        <v>942</v>
      </c>
      <c r="K7" s="3" t="inlineStr">
        <is>
          <t>Semana 1</t>
        </is>
      </c>
      <c r="L7" s="3" t="inlineStr">
        <is>
          <t>Alta</t>
        </is>
      </c>
      <c r="M7" s="3" t="inlineStr">
        <is>
          <t>chave 6</t>
        </is>
      </c>
    </row>
    <row r="8">
      <c r="A8" s="2" t="n">
        <v>7</v>
      </c>
      <c r="B8" s="3" t="inlineStr">
        <is>
          <t xml:space="preserve">BRASIL PROTEC COMERCIO DE PRODUTOS PARA PROTECAO E SAUDE LTDA </t>
        </is>
      </c>
      <c r="C8" s="3" t="inlineStr">
        <is>
          <t>CENTRO-OESTE</t>
        </is>
      </c>
      <c r="D8" s="3" t="inlineStr">
        <is>
          <t>DF</t>
        </is>
      </c>
      <c r="E8" s="3" t="inlineStr">
        <is>
          <t>BRASÍLIA</t>
        </is>
      </c>
      <c r="F8" s="3" t="inlineStr">
        <is>
          <t xml:space="preserve">ASA NORTE </t>
        </is>
      </c>
      <c r="G8" s="3" t="inlineStr">
        <is>
          <t>70714900</t>
        </is>
      </c>
      <c r="H8" s="3" t="inlineStr">
        <is>
          <t>Andressa</t>
        </is>
      </c>
      <c r="I8" s="3" t="inlineStr">
        <is>
          <t>Estratégico</t>
        </is>
      </c>
      <c r="J8" s="2" t="n">
        <v>942</v>
      </c>
      <c r="K8" s="3" t="inlineStr">
        <is>
          <t>Semana 1</t>
        </is>
      </c>
      <c r="L8" s="3" t="inlineStr">
        <is>
          <t>Alta</t>
        </is>
      </c>
      <c r="M8" s="3" t="inlineStr">
        <is>
          <t>chave 7</t>
        </is>
      </c>
    </row>
    <row r="9">
      <c r="A9" s="2" t="n">
        <v>8</v>
      </c>
      <c r="B9" s="3" t="inlineStr">
        <is>
          <t xml:space="preserve">J L COMERCIO E DISTRIBUICAO DE UTILIDADES DOMESTICAS LTDA </t>
        </is>
      </c>
      <c r="C9" s="3" t="inlineStr">
        <is>
          <t>CENTRO-OESTE</t>
        </is>
      </c>
      <c r="D9" s="3" t="inlineStr">
        <is>
          <t>DF</t>
        </is>
      </c>
      <c r="E9" s="3" t="inlineStr">
        <is>
          <t>Brasília</t>
        </is>
      </c>
      <c r="F9" s="3" t="inlineStr">
        <is>
          <t xml:space="preserve">TAGUATINGA </t>
        </is>
      </c>
      <c r="G9" s="3" t="inlineStr">
        <is>
          <t>72135180</t>
        </is>
      </c>
      <c r="H9" s="3" t="inlineStr">
        <is>
          <t>Andressa</t>
        </is>
      </c>
      <c r="I9" s="3" t="inlineStr">
        <is>
          <t>Estratégico</t>
        </is>
      </c>
      <c r="J9" s="2" t="n">
        <v>942</v>
      </c>
      <c r="K9" s="3" t="inlineStr">
        <is>
          <t>Semana 1</t>
        </is>
      </c>
      <c r="L9" s="3" t="inlineStr">
        <is>
          <t>Alta</t>
        </is>
      </c>
      <c r="M9" s="3" t="inlineStr">
        <is>
          <t>chave 8</t>
        </is>
      </c>
    </row>
    <row r="10">
      <c r="A10" s="2" t="n">
        <v>9</v>
      </c>
      <c r="B10" s="3" t="inlineStr">
        <is>
          <t xml:space="preserve">ALR COMERCIO DE INFORMATICA E PAPELARIA LTDA </t>
        </is>
      </c>
      <c r="C10" s="3" t="inlineStr">
        <is>
          <t>CENTRO-OESTE</t>
        </is>
      </c>
      <c r="D10" s="3" t="inlineStr">
        <is>
          <t>DF</t>
        </is>
      </c>
      <c r="E10" s="3" t="inlineStr">
        <is>
          <t>Brasília</t>
        </is>
      </c>
      <c r="F10" s="3" t="inlineStr">
        <is>
          <t xml:space="preserve">TAGUATINGA NORTE </t>
        </is>
      </c>
      <c r="G10" s="3" t="inlineStr">
        <is>
          <t>72125535</t>
        </is>
      </c>
      <c r="H10" s="3" t="inlineStr">
        <is>
          <t>Andressa</t>
        </is>
      </c>
      <c r="I10" s="3" t="inlineStr">
        <is>
          <t>Estratégico</t>
        </is>
      </c>
      <c r="J10" s="2" t="n">
        <v>942</v>
      </c>
      <c r="K10" s="3" t="inlineStr">
        <is>
          <t>Semana 1</t>
        </is>
      </c>
      <c r="L10" s="3" t="inlineStr">
        <is>
          <t>Alta</t>
        </is>
      </c>
      <c r="M10" s="3" t="inlineStr">
        <is>
          <t>chave 9</t>
        </is>
      </c>
    </row>
    <row r="11">
      <c r="A11" s="2" t="n">
        <v>10</v>
      </c>
      <c r="B11" s="3" t="inlineStr">
        <is>
          <t xml:space="preserve">OMNI COMERCIO E SERVICOS LTDA </t>
        </is>
      </c>
      <c r="C11" s="3" t="inlineStr">
        <is>
          <t>CENTRO-OESTE</t>
        </is>
      </c>
      <c r="D11" s="3" t="inlineStr">
        <is>
          <t>DF</t>
        </is>
      </c>
      <c r="E11" s="3" t="inlineStr">
        <is>
          <t>Brasília</t>
        </is>
      </c>
      <c r="F11" s="3" t="inlineStr">
        <is>
          <t xml:space="preserve">ZONA INDUSTRIAL </t>
        </is>
      </c>
      <c r="G11" s="3" t="inlineStr">
        <is>
          <t>70610460</t>
        </is>
      </c>
      <c r="H11" s="3" t="inlineStr">
        <is>
          <t>Andressa</t>
        </is>
      </c>
      <c r="I11" s="3" t="inlineStr">
        <is>
          <t>Estratégico</t>
        </is>
      </c>
      <c r="J11" s="2" t="n">
        <v>942</v>
      </c>
      <c r="K11" s="3" t="inlineStr">
        <is>
          <t>Semana 1</t>
        </is>
      </c>
      <c r="L11" s="3" t="inlineStr">
        <is>
          <t>Alta</t>
        </is>
      </c>
      <c r="M11" s="3" t="inlineStr">
        <is>
          <t>chave 10</t>
        </is>
      </c>
    </row>
    <row r="12">
      <c r="A12" s="2" t="n">
        <v>11</v>
      </c>
      <c r="B12" s="3" t="inlineStr">
        <is>
          <t xml:space="preserve">ALMEIDA MENDES COM E CURSOS DE ARTES LTDA </t>
        </is>
      </c>
      <c r="C12" s="3" t="inlineStr">
        <is>
          <t>CENTRO-OESTE</t>
        </is>
      </c>
      <c r="D12" s="3" t="inlineStr">
        <is>
          <t>DF</t>
        </is>
      </c>
      <c r="E12" s="3" t="inlineStr">
        <is>
          <t>Brasília</t>
        </is>
      </c>
      <c r="F12" s="3" t="inlineStr">
        <is>
          <t xml:space="preserve">ASA NORTE </t>
        </is>
      </c>
      <c r="G12" s="3" t="inlineStr">
        <is>
          <t>70722530</t>
        </is>
      </c>
      <c r="H12" s="3" t="inlineStr">
        <is>
          <t>Andressa</t>
        </is>
      </c>
      <c r="I12" s="3" t="inlineStr">
        <is>
          <t>Estratégico</t>
        </is>
      </c>
      <c r="J12" s="2" t="n">
        <v>942</v>
      </c>
      <c r="K12" s="3" t="inlineStr">
        <is>
          <t>Semana 1</t>
        </is>
      </c>
      <c r="L12" s="3" t="inlineStr">
        <is>
          <t>Alta</t>
        </is>
      </c>
      <c r="M12" s="3" t="inlineStr">
        <is>
          <t>chave 11</t>
        </is>
      </c>
    </row>
    <row r="13">
      <c r="A13" s="2" t="n">
        <v>12</v>
      </c>
      <c r="B13" s="3" t="inlineStr">
        <is>
          <t xml:space="preserve">ESTILO LIVRARIA E PAPELARIA LTDA </t>
        </is>
      </c>
      <c r="C13" s="3" t="inlineStr">
        <is>
          <t>CENTRO-OESTE</t>
        </is>
      </c>
      <c r="D13" s="3" t="inlineStr">
        <is>
          <t>DF</t>
        </is>
      </c>
      <c r="E13" s="3" t="inlineStr">
        <is>
          <t>Brasília</t>
        </is>
      </c>
      <c r="F13" s="3" t="inlineStr">
        <is>
          <t xml:space="preserve">ST HAB NACIONAL VICENTE PIRES </t>
        </is>
      </c>
      <c r="G13" s="3" t="inlineStr">
        <is>
          <t>72001006</t>
        </is>
      </c>
      <c r="H13" s="3" t="inlineStr">
        <is>
          <t>Andressa</t>
        </is>
      </c>
      <c r="I13" s="3" t="inlineStr">
        <is>
          <t>Estratégico</t>
        </is>
      </c>
      <c r="J13" s="2" t="n">
        <v>942</v>
      </c>
      <c r="K13" s="3" t="inlineStr">
        <is>
          <t>Semana 1</t>
        </is>
      </c>
      <c r="L13" s="3" t="inlineStr">
        <is>
          <t>Alta</t>
        </is>
      </c>
      <c r="M13" s="3" t="inlineStr">
        <is>
          <t>chave 12</t>
        </is>
      </c>
    </row>
    <row r="14">
      <c r="A14" s="2" t="n">
        <v>13</v>
      </c>
      <c r="B14" s="3" t="inlineStr">
        <is>
          <t xml:space="preserve">LER LIVRARIA E PAPELARIA LTDA </t>
        </is>
      </c>
      <c r="C14" s="3" t="inlineStr">
        <is>
          <t>CENTRO-OESTE</t>
        </is>
      </c>
      <c r="D14" s="3" t="inlineStr">
        <is>
          <t>DF</t>
        </is>
      </c>
      <c r="E14" s="3" t="inlineStr">
        <is>
          <t>Brasília</t>
        </is>
      </c>
      <c r="F14" s="3" t="inlineStr">
        <is>
          <t xml:space="preserve">GAMA </t>
        </is>
      </c>
      <c r="G14" s="3" t="inlineStr">
        <is>
          <t>72460235</t>
        </is>
      </c>
      <c r="H14" s="3" t="inlineStr">
        <is>
          <t>Andressa</t>
        </is>
      </c>
      <c r="I14" s="3" t="inlineStr">
        <is>
          <t>Estratégico</t>
        </is>
      </c>
      <c r="J14" s="2" t="n">
        <v>942</v>
      </c>
      <c r="K14" s="3" t="inlineStr">
        <is>
          <t>Semana 1</t>
        </is>
      </c>
      <c r="L14" s="3" t="inlineStr">
        <is>
          <t>Alta</t>
        </is>
      </c>
      <c r="M14" s="3" t="inlineStr">
        <is>
          <t>chave 13</t>
        </is>
      </c>
    </row>
    <row r="15">
      <c r="A15" s="2" t="n">
        <v>14</v>
      </c>
      <c r="B15" s="3" t="inlineStr">
        <is>
          <t xml:space="preserve">MARIA SONIA DA SILVA PAPELARIA </t>
        </is>
      </c>
      <c r="C15" s="3" t="inlineStr">
        <is>
          <t>CENTRO-OESTE</t>
        </is>
      </c>
      <c r="D15" s="3" t="inlineStr">
        <is>
          <t>DF</t>
        </is>
      </c>
      <c r="E15" s="3" t="inlineStr">
        <is>
          <t>Brasília</t>
        </is>
      </c>
      <c r="F15" s="3" t="inlineStr">
        <is>
          <t xml:space="preserve">SAMAMBAIA </t>
        </is>
      </c>
      <c r="G15" s="3" t="inlineStr">
        <is>
          <t>72308703</t>
        </is>
      </c>
      <c r="H15" s="3" t="inlineStr">
        <is>
          <t>Andressa</t>
        </is>
      </c>
      <c r="I15" s="3" t="inlineStr">
        <is>
          <t>Estratégico</t>
        </is>
      </c>
      <c r="J15" s="2" t="n">
        <v>942</v>
      </c>
      <c r="K15" s="3" t="inlineStr">
        <is>
          <t>Semana 1</t>
        </is>
      </c>
      <c r="L15" s="3" t="inlineStr">
        <is>
          <t>Alta</t>
        </is>
      </c>
      <c r="M15" s="3" t="inlineStr">
        <is>
          <t>chave 14</t>
        </is>
      </c>
    </row>
    <row r="16">
      <c r="A16" s="2" t="n">
        <v>15</v>
      </c>
      <c r="B16" s="3" t="inlineStr">
        <is>
          <t xml:space="preserve">D.E. COMERCIO E SERVICOS LTDA </t>
        </is>
      </c>
      <c r="C16" s="3" t="inlineStr">
        <is>
          <t>CENTRO-OESTE</t>
        </is>
      </c>
      <c r="D16" s="3" t="inlineStr">
        <is>
          <t>DF</t>
        </is>
      </c>
      <c r="E16" s="3" t="inlineStr">
        <is>
          <t>BRASÍLIA</t>
        </is>
      </c>
      <c r="F16" s="3" t="inlineStr">
        <is>
          <t xml:space="preserve">SAMAMBAIA NORTE </t>
        </is>
      </c>
      <c r="G16" s="3" t="inlineStr">
        <is>
          <t>72341104</t>
        </is>
      </c>
      <c r="H16" s="3" t="inlineStr">
        <is>
          <t>Andressa</t>
        </is>
      </c>
      <c r="I16" s="3" t="inlineStr">
        <is>
          <t>Estratégico</t>
        </is>
      </c>
      <c r="J16" s="2" t="n">
        <v>942</v>
      </c>
      <c r="K16" s="3" t="inlineStr">
        <is>
          <t>Semana 1</t>
        </is>
      </c>
      <c r="L16" s="3" t="inlineStr">
        <is>
          <t>Alta</t>
        </is>
      </c>
      <c r="M16" s="3" t="inlineStr">
        <is>
          <t>chave 15</t>
        </is>
      </c>
    </row>
    <row r="17">
      <c r="A17" s="2" t="n">
        <v>16</v>
      </c>
      <c r="B17" s="3" t="inlineStr">
        <is>
          <t xml:space="preserve">BOOKSTORE COMERCIAL DE LIVROS LTDA </t>
        </is>
      </c>
      <c r="C17" s="3" t="inlineStr">
        <is>
          <t>CENTRO-OESTE</t>
        </is>
      </c>
      <c r="D17" s="3" t="inlineStr">
        <is>
          <t>DF</t>
        </is>
      </c>
      <c r="E17" s="3" t="inlineStr">
        <is>
          <t>Brasília</t>
        </is>
      </c>
      <c r="F17" s="3" t="inlineStr">
        <is>
          <t xml:space="preserve">GUARA II </t>
        </is>
      </c>
      <c r="G17" s="3" t="inlineStr">
        <is>
          <t>71065092</t>
        </is>
      </c>
      <c r="H17" s="3" t="inlineStr">
        <is>
          <t>Andressa</t>
        </is>
      </c>
      <c r="I17" s="3" t="inlineStr">
        <is>
          <t>Estratégico</t>
        </is>
      </c>
      <c r="J17" s="2" t="n">
        <v>942</v>
      </c>
      <c r="K17" s="3" t="inlineStr">
        <is>
          <t>Semana 1</t>
        </is>
      </c>
      <c r="L17" s="3" t="inlineStr">
        <is>
          <t>Alta</t>
        </is>
      </c>
      <c r="M17" s="3" t="inlineStr">
        <is>
          <t>chave 16</t>
        </is>
      </c>
    </row>
    <row r="18">
      <c r="A18" s="2" t="n">
        <v>17</v>
      </c>
      <c r="B18" s="3" t="inlineStr">
        <is>
          <t xml:space="preserve">WEB RASTRO TECNOLOGIA E SUPRIMENTOS LTDA </t>
        </is>
      </c>
      <c r="C18" s="3" t="inlineStr">
        <is>
          <t>CENTRO-OESTE</t>
        </is>
      </c>
      <c r="D18" s="3" t="inlineStr">
        <is>
          <t>DF</t>
        </is>
      </c>
      <c r="E18" s="3" t="inlineStr">
        <is>
          <t>Brasília</t>
        </is>
      </c>
      <c r="F18" s="3" t="inlineStr">
        <is>
          <t xml:space="preserve">ASA SUL </t>
        </is>
      </c>
      <c r="G18" s="3" t="inlineStr">
        <is>
          <t>70381525</t>
        </is>
      </c>
      <c r="H18" s="3" t="inlineStr">
        <is>
          <t>Andressa</t>
        </is>
      </c>
      <c r="I18" s="3" t="inlineStr">
        <is>
          <t>Estratégico</t>
        </is>
      </c>
      <c r="J18" s="2" t="n">
        <v>942</v>
      </c>
      <c r="K18" s="3" t="inlineStr">
        <is>
          <t>Semana 1</t>
        </is>
      </c>
      <c r="L18" s="3" t="inlineStr">
        <is>
          <t>Alta</t>
        </is>
      </c>
      <c r="M18" s="3" t="inlineStr">
        <is>
          <t>chave 17</t>
        </is>
      </c>
    </row>
    <row r="19">
      <c r="A19" s="2" t="n">
        <v>18</v>
      </c>
      <c r="B19" s="3" t="inlineStr">
        <is>
          <t xml:space="preserve">MAGAZINE DICASA ON-LINE LTDA </t>
        </is>
      </c>
      <c r="C19" s="3" t="inlineStr">
        <is>
          <t>CENTRO-OESTE</t>
        </is>
      </c>
      <c r="D19" s="3" t="inlineStr">
        <is>
          <t>GO</t>
        </is>
      </c>
      <c r="E19" s="3" t="inlineStr">
        <is>
          <t>Goiânia</t>
        </is>
      </c>
      <c r="F19" s="3" t="inlineStr">
        <is>
          <t xml:space="preserve">SETOR CENTRAL </t>
        </is>
      </c>
      <c r="G19" s="3" t="inlineStr">
        <is>
          <t>74023020</t>
        </is>
      </c>
      <c r="H19" s="3" t="inlineStr">
        <is>
          <t>Andressa</t>
        </is>
      </c>
      <c r="I19" s="3" t="inlineStr">
        <is>
          <t>Estratégico</t>
        </is>
      </c>
      <c r="J19" s="2" t="n">
        <v>1023</v>
      </c>
      <c r="K19" s="3" t="inlineStr">
        <is>
          <t>Semana 1</t>
        </is>
      </c>
      <c r="L19" s="3" t="inlineStr">
        <is>
          <t>Alta</t>
        </is>
      </c>
      <c r="M19" s="3" t="inlineStr">
        <is>
          <t>chave 18</t>
        </is>
      </c>
    </row>
    <row r="20">
      <c r="A20" s="2" t="n">
        <v>19</v>
      </c>
      <c r="B20" s="3" t="inlineStr">
        <is>
          <t xml:space="preserve">IMPORTS SHOP - IMPORTADORA E DISTRIBUIDORA LTDA </t>
        </is>
      </c>
      <c r="C20" s="3" t="inlineStr">
        <is>
          <t>CENTRO-OESTE</t>
        </is>
      </c>
      <c r="D20" s="3" t="inlineStr">
        <is>
          <t>GO</t>
        </is>
      </c>
      <c r="E20" s="3" t="inlineStr">
        <is>
          <t>Valparaíso de Goiás</t>
        </is>
      </c>
      <c r="F20" s="3" t="inlineStr">
        <is>
          <t xml:space="preserve">PARQUE ESPLANADA III </t>
        </is>
      </c>
      <c r="G20" s="3" t="inlineStr">
        <is>
          <t>72876337</t>
        </is>
      </c>
      <c r="H20" s="3" t="inlineStr">
        <is>
          <t>Andressa</t>
        </is>
      </c>
      <c r="I20" s="3" t="inlineStr">
        <is>
          <t>Pontual</t>
        </is>
      </c>
      <c r="J20" s="2" t="n">
        <v>1023</v>
      </c>
      <c r="K20" s="3" t="inlineStr">
        <is>
          <t>Semana 4</t>
        </is>
      </c>
      <c r="L20" s="3" t="inlineStr">
        <is>
          <t>Normal</t>
        </is>
      </c>
      <c r="M20" s="3" t="inlineStr">
        <is>
          <t>chave 19</t>
        </is>
      </c>
    </row>
    <row r="21">
      <c r="A21" s="2" t="n">
        <v>20</v>
      </c>
      <c r="B21" s="3" t="inlineStr">
        <is>
          <t xml:space="preserve">OSVALDO ARAUJO COM VAR. DE ART. DE ARMARINHOS LTDA </t>
        </is>
      </c>
      <c r="C21" s="3" t="inlineStr">
        <is>
          <t>CENTRO-OESTE</t>
        </is>
      </c>
      <c r="D21" s="3" t="inlineStr">
        <is>
          <t>GO</t>
        </is>
      </c>
      <c r="E21" s="3" t="inlineStr">
        <is>
          <t>Aparecida de Goiânia</t>
        </is>
      </c>
      <c r="F21" s="3" t="inlineStr">
        <is>
          <t xml:space="preserve">VILA BRASILIA </t>
        </is>
      </c>
      <c r="G21" s="3" t="inlineStr">
        <is>
          <t>74905760</t>
        </is>
      </c>
      <c r="H21" s="3" t="inlineStr">
        <is>
          <t>Andressa</t>
        </is>
      </c>
      <c r="I21" s="3" t="inlineStr">
        <is>
          <t>Estratégico</t>
        </is>
      </c>
      <c r="J21" s="2" t="n">
        <v>1023</v>
      </c>
      <c r="K21" s="3" t="inlineStr">
        <is>
          <t>Semana 1</t>
        </is>
      </c>
      <c r="L21" s="3" t="inlineStr">
        <is>
          <t>Alta</t>
        </is>
      </c>
      <c r="M21" s="3" t="inlineStr">
        <is>
          <t>chave 20</t>
        </is>
      </c>
    </row>
    <row r="22">
      <c r="A22" s="2" t="n">
        <v>21</v>
      </c>
      <c r="B22" s="3" t="inlineStr">
        <is>
          <t xml:space="preserve">JVC DISTRIBUIDORA LTDA </t>
        </is>
      </c>
      <c r="C22" s="3" t="inlineStr">
        <is>
          <t>CENTRO-OESTE</t>
        </is>
      </c>
      <c r="D22" s="3" t="inlineStr">
        <is>
          <t>GO</t>
        </is>
      </c>
      <c r="E22" s="3" t="inlineStr">
        <is>
          <t>Goiânia</t>
        </is>
      </c>
      <c r="F22" s="3" t="inlineStr">
        <is>
          <t xml:space="preserve">SETOR CAMPINAS </t>
        </is>
      </c>
      <c r="G22" s="3" t="inlineStr">
        <is>
          <t>74515040</t>
        </is>
      </c>
      <c r="H22" s="3" t="inlineStr">
        <is>
          <t>Andressa</t>
        </is>
      </c>
      <c r="I22" s="3" t="inlineStr">
        <is>
          <t>Estratégico</t>
        </is>
      </c>
      <c r="J22" s="2" t="n">
        <v>1023</v>
      </c>
      <c r="K22" s="3" t="inlineStr">
        <is>
          <t>Semana 1</t>
        </is>
      </c>
      <c r="L22" s="3" t="inlineStr">
        <is>
          <t>Alta</t>
        </is>
      </c>
      <c r="M22" s="3" t="inlineStr">
        <is>
          <t>chave 21</t>
        </is>
      </c>
    </row>
    <row r="23">
      <c r="A23" s="2" t="n">
        <v>22</v>
      </c>
      <c r="B23" s="3" t="inlineStr">
        <is>
          <t xml:space="preserve">LOJAS BANDEIRANTES LTDA </t>
        </is>
      </c>
      <c r="C23" s="3" t="inlineStr">
        <is>
          <t>CENTRO-OESTE</t>
        </is>
      </c>
      <c r="D23" s="3" t="inlineStr">
        <is>
          <t>GO</t>
        </is>
      </c>
      <c r="E23" s="3" t="inlineStr">
        <is>
          <t>RIO VERDE</t>
        </is>
      </c>
      <c r="F23" s="3" t="inlineStr">
        <is>
          <t xml:space="preserve">PARQUE BANDEIRANTES </t>
        </is>
      </c>
      <c r="G23" s="3" t="inlineStr">
        <is>
          <t>75905650</t>
        </is>
      </c>
      <c r="H23" s="3" t="inlineStr">
        <is>
          <t>Andressa</t>
        </is>
      </c>
      <c r="I23" s="3" t="inlineStr">
        <is>
          <t>Pontual</t>
        </is>
      </c>
      <c r="J23" s="2" t="n">
        <v>1023</v>
      </c>
      <c r="K23" s="3" t="inlineStr">
        <is>
          <t>Semana 4</t>
        </is>
      </c>
      <c r="L23" s="3" t="inlineStr">
        <is>
          <t>Normal</t>
        </is>
      </c>
      <c r="M23" s="3" t="inlineStr">
        <is>
          <t>chave 22</t>
        </is>
      </c>
    </row>
    <row r="24">
      <c r="A24" s="2" t="n">
        <v>23</v>
      </c>
      <c r="B24" s="3" t="inlineStr">
        <is>
          <t xml:space="preserve">PRIMAVERA UTILIDADES E PRESENTES LTDA </t>
        </is>
      </c>
      <c r="C24" s="3" t="inlineStr">
        <is>
          <t>CENTRO-OESTE</t>
        </is>
      </c>
      <c r="D24" s="3" t="inlineStr">
        <is>
          <t>GO</t>
        </is>
      </c>
      <c r="E24" s="3" t="inlineStr">
        <is>
          <t>Goiânia</t>
        </is>
      </c>
      <c r="F24" s="3" t="inlineStr">
        <is>
          <t xml:space="preserve">SETOR CENTRAL </t>
        </is>
      </c>
      <c r="G24" s="3" t="inlineStr">
        <is>
          <t>74045080</t>
        </is>
      </c>
      <c r="H24" s="3" t="inlineStr">
        <is>
          <t>Andressa</t>
        </is>
      </c>
      <c r="I24" s="3" t="inlineStr">
        <is>
          <t>Estratégico</t>
        </is>
      </c>
      <c r="J24" s="2" t="n">
        <v>1023</v>
      </c>
      <c r="K24" s="3" t="inlineStr">
        <is>
          <t>Semana 1</t>
        </is>
      </c>
      <c r="L24" s="3" t="inlineStr">
        <is>
          <t>Alta</t>
        </is>
      </c>
      <c r="M24" s="3" t="inlineStr">
        <is>
          <t>chave 23</t>
        </is>
      </c>
    </row>
    <row r="25">
      <c r="A25" s="2" t="n">
        <v>24</v>
      </c>
      <c r="B25" s="3" t="inlineStr">
        <is>
          <t xml:space="preserve">NOGUEIRA DISTRIBUIDORA ATACADISTA LTDA </t>
        </is>
      </c>
      <c r="C25" s="3" t="inlineStr">
        <is>
          <t>CENTRO-OESTE</t>
        </is>
      </c>
      <c r="D25" s="3" t="inlineStr">
        <is>
          <t>GO</t>
        </is>
      </c>
      <c r="E25" s="3" t="inlineStr">
        <is>
          <t>Goiânia</t>
        </is>
      </c>
      <c r="F25" s="3" t="inlineStr">
        <is>
          <t xml:space="preserve">SET CIDADE JARDIM </t>
        </is>
      </c>
      <c r="G25" s="3" t="inlineStr">
        <is>
          <t>74425010</t>
        </is>
      </c>
      <c r="H25" s="3" t="inlineStr">
        <is>
          <t>Andressa</t>
        </is>
      </c>
      <c r="I25" s="3" t="inlineStr">
        <is>
          <t>Estratégico</t>
        </is>
      </c>
      <c r="J25" s="2" t="n">
        <v>1023</v>
      </c>
      <c r="K25" s="3" t="inlineStr">
        <is>
          <t>Semana 1</t>
        </is>
      </c>
      <c r="L25" s="3" t="inlineStr">
        <is>
          <t>Alta</t>
        </is>
      </c>
      <c r="M25" s="3" t="inlineStr">
        <is>
          <t>chave 24</t>
        </is>
      </c>
    </row>
    <row r="26">
      <c r="A26" s="2" t="n">
        <v>25</v>
      </c>
      <c r="B26" s="3" t="inlineStr">
        <is>
          <t xml:space="preserve">GYN ATACADO LTDA </t>
        </is>
      </c>
      <c r="C26" s="3" t="inlineStr">
        <is>
          <t>CENTRO-OESTE</t>
        </is>
      </c>
      <c r="D26" s="3" t="inlineStr">
        <is>
          <t>GO</t>
        </is>
      </c>
      <c r="E26" s="3" t="inlineStr">
        <is>
          <t>GOIÂNIA</t>
        </is>
      </c>
      <c r="F26" s="3" t="inlineStr">
        <is>
          <t xml:space="preserve">BRO AEROVIARIO </t>
        </is>
      </c>
      <c r="G26" s="3" t="inlineStr">
        <is>
          <t>74435050</t>
        </is>
      </c>
      <c r="H26" s="3" t="inlineStr">
        <is>
          <t>Andressa</t>
        </is>
      </c>
      <c r="I26" s="3" t="inlineStr">
        <is>
          <t>Estratégico</t>
        </is>
      </c>
      <c r="J26" s="2" t="n">
        <v>1023</v>
      </c>
      <c r="K26" s="3" t="inlineStr">
        <is>
          <t>Semana 1</t>
        </is>
      </c>
      <c r="L26" s="3" t="inlineStr">
        <is>
          <t>Alta</t>
        </is>
      </c>
      <c r="M26" s="3" t="inlineStr">
        <is>
          <t>chave 25</t>
        </is>
      </c>
    </row>
    <row r="27">
      <c r="A27" s="2" t="n">
        <v>26</v>
      </c>
      <c r="B27" s="3" t="inlineStr">
        <is>
          <t xml:space="preserve">PAPELARIA DINAMICA LTDA </t>
        </is>
      </c>
      <c r="C27" s="3" t="inlineStr">
        <is>
          <t>CENTRO-OESTE</t>
        </is>
      </c>
      <c r="D27" s="3" t="inlineStr">
        <is>
          <t>GO</t>
        </is>
      </c>
      <c r="E27" s="3" t="inlineStr">
        <is>
          <t>Goiânia</t>
        </is>
      </c>
      <c r="F27" s="3" t="inlineStr">
        <is>
          <t xml:space="preserve">SETOR CENTRAL </t>
        </is>
      </c>
      <c r="G27" s="3" t="inlineStr">
        <is>
          <t>74055100</t>
        </is>
      </c>
      <c r="H27" s="3" t="inlineStr">
        <is>
          <t>Andressa</t>
        </is>
      </c>
      <c r="I27" s="3" t="inlineStr">
        <is>
          <t>Estratégico</t>
        </is>
      </c>
      <c r="J27" s="2" t="n">
        <v>1023</v>
      </c>
      <c r="K27" s="3" t="inlineStr">
        <is>
          <t>Semana 1</t>
        </is>
      </c>
      <c r="L27" s="3" t="inlineStr">
        <is>
          <t>Alta</t>
        </is>
      </c>
      <c r="M27" s="3" t="inlineStr">
        <is>
          <t>chave 26</t>
        </is>
      </c>
    </row>
    <row r="28">
      <c r="A28" s="2" t="n">
        <v>27</v>
      </c>
      <c r="B28" s="3" t="inlineStr">
        <is>
          <t xml:space="preserve">BARROS ATACADO DISTRIBUICAO E IMPORTACAO LTDA </t>
        </is>
      </c>
      <c r="C28" s="3" t="inlineStr">
        <is>
          <t>CENTRO-OESTE</t>
        </is>
      </c>
      <c r="D28" s="3" t="inlineStr">
        <is>
          <t>GO</t>
        </is>
      </c>
      <c r="E28" s="3" t="inlineStr">
        <is>
          <t>Aparecida de Goiânia</t>
        </is>
      </c>
      <c r="F28" s="3" t="inlineStr">
        <is>
          <t xml:space="preserve">PQ PRIMAVERA </t>
        </is>
      </c>
      <c r="G28" s="3" t="inlineStr">
        <is>
          <t>74913122</t>
        </is>
      </c>
      <c r="H28" s="3" t="inlineStr">
        <is>
          <t>Andressa</t>
        </is>
      </c>
      <c r="I28" s="3" t="inlineStr">
        <is>
          <t>Estratégico</t>
        </is>
      </c>
      <c r="J28" s="2" t="n">
        <v>1023</v>
      </c>
      <c r="K28" s="3" t="inlineStr">
        <is>
          <t>Semana 1</t>
        </is>
      </c>
      <c r="L28" s="3" t="inlineStr">
        <is>
          <t>Alta</t>
        </is>
      </c>
      <c r="M28" s="3" t="inlineStr">
        <is>
          <t>chave 27</t>
        </is>
      </c>
    </row>
    <row r="29">
      <c r="A29" s="2" t="n">
        <v>28</v>
      </c>
      <c r="B29" s="3" t="inlineStr">
        <is>
          <t xml:space="preserve">LIVRARIA WR LTDA </t>
        </is>
      </c>
      <c r="C29" s="3" t="inlineStr">
        <is>
          <t>CENTRO-OESTE</t>
        </is>
      </c>
      <c r="D29" s="3" t="inlineStr">
        <is>
          <t>GO</t>
        </is>
      </c>
      <c r="E29" s="3" t="inlineStr">
        <is>
          <t>GOIÂNIA</t>
        </is>
      </c>
      <c r="F29" s="3" t="inlineStr">
        <is>
          <t xml:space="preserve">SETOR BUENO </t>
        </is>
      </c>
      <c r="G29" s="3" t="inlineStr">
        <is>
          <t>74215040</t>
        </is>
      </c>
      <c r="H29" s="3" t="inlineStr">
        <is>
          <t>Andressa</t>
        </is>
      </c>
      <c r="I29" s="3" t="inlineStr">
        <is>
          <t>Estratégico</t>
        </is>
      </c>
      <c r="J29" s="2" t="n">
        <v>1023</v>
      </c>
      <c r="K29" s="3" t="inlineStr">
        <is>
          <t>Semana 1</t>
        </is>
      </c>
      <c r="L29" s="3" t="inlineStr">
        <is>
          <t>Alta</t>
        </is>
      </c>
      <c r="M29" s="3" t="inlineStr">
        <is>
          <t>chave 28</t>
        </is>
      </c>
    </row>
    <row r="30">
      <c r="A30" s="2" t="n">
        <v>29</v>
      </c>
      <c r="B30" s="3" t="inlineStr">
        <is>
          <t xml:space="preserve">BOTELHO DISTRIBUIDORA E IMPORTADORA DE PRODUTOS LTDA </t>
        </is>
      </c>
      <c r="C30" s="3" t="inlineStr">
        <is>
          <t>CENTRO-OESTE</t>
        </is>
      </c>
      <c r="D30" s="3" t="inlineStr">
        <is>
          <t>GO</t>
        </is>
      </c>
      <c r="E30" s="3" t="inlineStr">
        <is>
          <t>Itajá</t>
        </is>
      </c>
      <c r="F30" s="3" t="inlineStr">
        <is>
          <t xml:space="preserve">CENTRO </t>
        </is>
      </c>
      <c r="G30" s="3" t="inlineStr">
        <is>
          <t>75815000</t>
        </is>
      </c>
      <c r="H30" s="3" t="inlineStr">
        <is>
          <t>Andressa</t>
        </is>
      </c>
      <c r="I30" s="3" t="inlineStr">
        <is>
          <t>Pontual</t>
        </is>
      </c>
      <c r="J30" s="2" t="n">
        <v>1023</v>
      </c>
      <c r="K30" s="3" t="inlineStr">
        <is>
          <t>Semana 4</t>
        </is>
      </c>
      <c r="L30" s="3" t="inlineStr">
        <is>
          <t>Normal</t>
        </is>
      </c>
      <c r="M30" s="3" t="inlineStr">
        <is>
          <t>chave 29</t>
        </is>
      </c>
    </row>
    <row r="31">
      <c r="A31" s="2" t="n">
        <v>30</v>
      </c>
      <c r="B31" s="3" t="inlineStr">
        <is>
          <t xml:space="preserve">LOJAS DO ZINHO LTDA </t>
        </is>
      </c>
      <c r="C31" s="3" t="inlineStr">
        <is>
          <t>CENTRO-OESTE</t>
        </is>
      </c>
      <c r="D31" s="3" t="inlineStr">
        <is>
          <t>GO</t>
        </is>
      </c>
      <c r="E31" s="3" t="inlineStr">
        <is>
          <t>Itumbiara</t>
        </is>
      </c>
      <c r="F31" s="3" t="inlineStr">
        <is>
          <t xml:space="preserve">NOVO HORIZONTE </t>
        </is>
      </c>
      <c r="G31" s="3" t="inlineStr">
        <is>
          <t>75532220</t>
        </is>
      </c>
      <c r="H31" s="3" t="inlineStr">
        <is>
          <t>Andressa</t>
        </is>
      </c>
      <c r="I31" s="3" t="inlineStr">
        <is>
          <t>Pontual</t>
        </is>
      </c>
      <c r="J31" s="2" t="n">
        <v>1023</v>
      </c>
      <c r="K31" s="3" t="inlineStr">
        <is>
          <t>Semana 4</t>
        </is>
      </c>
      <c r="L31" s="3" t="inlineStr">
        <is>
          <t>Normal</t>
        </is>
      </c>
      <c r="M31" s="3" t="inlineStr">
        <is>
          <t>chave 30</t>
        </is>
      </c>
    </row>
    <row r="32">
      <c r="A32" s="2" t="n">
        <v>31</v>
      </c>
      <c r="B32" s="3" t="inlineStr">
        <is>
          <t xml:space="preserve">IRACI ROSA DA CUNHA LTDA </t>
        </is>
      </c>
      <c r="C32" s="3" t="inlineStr">
        <is>
          <t>CENTRO-OESTE</t>
        </is>
      </c>
      <c r="D32" s="3" t="inlineStr">
        <is>
          <t>GO</t>
        </is>
      </c>
      <c r="E32" s="3" t="inlineStr">
        <is>
          <t>Alexânia</t>
        </is>
      </c>
      <c r="F32" s="3" t="inlineStr">
        <is>
          <t xml:space="preserve">CENTRO </t>
        </is>
      </c>
      <c r="G32" s="3" t="inlineStr">
        <is>
          <t>72930000</t>
        </is>
      </c>
      <c r="H32" s="3" t="inlineStr">
        <is>
          <t>Andressa</t>
        </is>
      </c>
      <c r="I32" s="3" t="inlineStr">
        <is>
          <t>Pontual</t>
        </is>
      </c>
      <c r="J32" s="2" t="n">
        <v>1023</v>
      </c>
      <c r="K32" s="3" t="inlineStr">
        <is>
          <t>Semana 4</t>
        </is>
      </c>
      <c r="L32" s="3" t="inlineStr">
        <is>
          <t>Normal</t>
        </is>
      </c>
      <c r="M32" s="3" t="inlineStr">
        <is>
          <t>chave 31</t>
        </is>
      </c>
    </row>
    <row r="33">
      <c r="A33" s="2" t="n">
        <v>32</v>
      </c>
      <c r="B33" s="3" t="inlineStr">
        <is>
          <t xml:space="preserve">DANIELLY PAPELARIA E AVIAMENTOS LTDA </t>
        </is>
      </c>
      <c r="C33" s="3" t="inlineStr">
        <is>
          <t>CENTRO-OESTE</t>
        </is>
      </c>
      <c r="D33" s="3" t="inlineStr">
        <is>
          <t>GO</t>
        </is>
      </c>
      <c r="E33" s="3" t="inlineStr">
        <is>
          <t>Aparecida de Goiânia</t>
        </is>
      </c>
      <c r="F33" s="3" t="inlineStr">
        <is>
          <t xml:space="preserve">SETOR GARAVELO </t>
        </is>
      </c>
      <c r="G33" s="3" t="inlineStr">
        <is>
          <t>74930530</t>
        </is>
      </c>
      <c r="H33" s="3" t="inlineStr">
        <is>
          <t>Andressa</t>
        </is>
      </c>
      <c r="I33" s="3" t="inlineStr">
        <is>
          <t>Estratégico</t>
        </is>
      </c>
      <c r="J33" s="2" t="n">
        <v>1023</v>
      </c>
      <c r="K33" s="3" t="inlineStr">
        <is>
          <t>Semana 1</t>
        </is>
      </c>
      <c r="L33" s="3" t="inlineStr">
        <is>
          <t>Alta</t>
        </is>
      </c>
      <c r="M33" s="3" t="inlineStr">
        <is>
          <t>chave 32</t>
        </is>
      </c>
    </row>
    <row r="34">
      <c r="A34" s="2" t="n">
        <v>33</v>
      </c>
      <c r="B34" s="3" t="inlineStr">
        <is>
          <t xml:space="preserve">COMERCIAL JRC EIRELI </t>
        </is>
      </c>
      <c r="C34" s="3" t="inlineStr">
        <is>
          <t>CENTRO-OESTE</t>
        </is>
      </c>
      <c r="D34" s="3" t="inlineStr">
        <is>
          <t>GO</t>
        </is>
      </c>
      <c r="E34" s="3" t="inlineStr">
        <is>
          <t>GOIÂNIA</t>
        </is>
      </c>
      <c r="F34" s="3" t="inlineStr">
        <is>
          <t xml:space="preserve">SET CENTRO OESTE </t>
        </is>
      </c>
      <c r="G34" s="3" t="inlineStr">
        <is>
          <t>74550015</t>
        </is>
      </c>
      <c r="H34" s="3" t="inlineStr">
        <is>
          <t>Andressa</t>
        </is>
      </c>
      <c r="I34" s="3" t="inlineStr">
        <is>
          <t>Estratégico</t>
        </is>
      </c>
      <c r="J34" s="2" t="n">
        <v>1023</v>
      </c>
      <c r="K34" s="3" t="inlineStr">
        <is>
          <t>Semana 1</t>
        </is>
      </c>
      <c r="L34" s="3" t="inlineStr">
        <is>
          <t>Alta</t>
        </is>
      </c>
      <c r="M34" s="3" t="inlineStr">
        <is>
          <t>chave 33</t>
        </is>
      </c>
    </row>
    <row r="35">
      <c r="A35" s="2" t="n">
        <v>34</v>
      </c>
      <c r="B35" s="3" t="inlineStr">
        <is>
          <t xml:space="preserve">VAREJAO 1 99 RIO VERDE LTDA </t>
        </is>
      </c>
      <c r="C35" s="3" t="inlineStr">
        <is>
          <t>CENTRO-OESTE</t>
        </is>
      </c>
      <c r="D35" s="3" t="inlineStr">
        <is>
          <t>GO</t>
        </is>
      </c>
      <c r="E35" s="3" t="inlineStr">
        <is>
          <t>RIO VERDE</t>
        </is>
      </c>
      <c r="F35" s="3" t="inlineStr">
        <is>
          <t xml:space="preserve">JARDIM GOIAS </t>
        </is>
      </c>
      <c r="G35" s="3" t="inlineStr">
        <is>
          <t>75903290</t>
        </is>
      </c>
      <c r="H35" s="3" t="inlineStr">
        <is>
          <t>Andressa</t>
        </is>
      </c>
      <c r="I35" s="3" t="inlineStr">
        <is>
          <t>Pontual</t>
        </is>
      </c>
      <c r="J35" s="2" t="n">
        <v>1023</v>
      </c>
      <c r="K35" s="3" t="inlineStr">
        <is>
          <t>Semana 4</t>
        </is>
      </c>
      <c r="L35" s="3" t="inlineStr">
        <is>
          <t>Normal</t>
        </is>
      </c>
      <c r="M35" s="3" t="inlineStr">
        <is>
          <t>chave 34</t>
        </is>
      </c>
    </row>
    <row r="36">
      <c r="A36" s="2" t="n">
        <v>35</v>
      </c>
      <c r="B36" s="3" t="inlineStr">
        <is>
          <t xml:space="preserve">PAPELARIA COLEGIAL LTDA </t>
        </is>
      </c>
      <c r="C36" s="3" t="inlineStr">
        <is>
          <t>CENTRO-OESTE</t>
        </is>
      </c>
      <c r="D36" s="3" t="inlineStr">
        <is>
          <t>GO</t>
        </is>
      </c>
      <c r="E36" s="3" t="inlineStr">
        <is>
          <t>INHUMAS</t>
        </is>
      </c>
      <c r="F36" s="3" t="inlineStr">
        <is>
          <t xml:space="preserve">SETOR CENTRAL </t>
        </is>
      </c>
      <c r="G36" s="3" t="inlineStr">
        <is>
          <t>75400000</t>
        </is>
      </c>
      <c r="H36" s="3" t="inlineStr">
        <is>
          <t>Andressa</t>
        </is>
      </c>
      <c r="I36" s="3" t="inlineStr">
        <is>
          <t>Pontual</t>
        </is>
      </c>
      <c r="J36" s="2" t="n">
        <v>1023</v>
      </c>
      <c r="K36" s="3" t="inlineStr">
        <is>
          <t>Semana 4</t>
        </is>
      </c>
      <c r="L36" s="3" t="inlineStr">
        <is>
          <t>Normal</t>
        </is>
      </c>
      <c r="M36" s="3" t="inlineStr">
        <is>
          <t>chave 35</t>
        </is>
      </c>
    </row>
    <row r="37">
      <c r="A37" s="2" t="n">
        <v>36</v>
      </c>
      <c r="B37" s="3" t="inlineStr">
        <is>
          <t xml:space="preserve">ATUAL PAPELARIA E INFORMATICA LTDA </t>
        </is>
      </c>
      <c r="C37" s="3" t="inlineStr">
        <is>
          <t>CENTRO-OESTE</t>
        </is>
      </c>
      <c r="D37" s="3" t="inlineStr">
        <is>
          <t>GO</t>
        </is>
      </c>
      <c r="E37" s="3" t="inlineStr">
        <is>
          <t>Aparecida de Goiânia</t>
        </is>
      </c>
      <c r="F37" s="3" t="inlineStr">
        <is>
          <t xml:space="preserve">SETOR JARDIM LUZ </t>
        </is>
      </c>
      <c r="G37" s="3" t="inlineStr">
        <is>
          <t>74915015</t>
        </is>
      </c>
      <c r="H37" s="3" t="inlineStr">
        <is>
          <t>Andressa</t>
        </is>
      </c>
      <c r="I37" s="3" t="inlineStr">
        <is>
          <t>Estratégico</t>
        </is>
      </c>
      <c r="J37" s="2" t="n">
        <v>1023</v>
      </c>
      <c r="K37" s="3" t="inlineStr">
        <is>
          <t>Semana 1</t>
        </is>
      </c>
      <c r="L37" s="3" t="inlineStr">
        <is>
          <t>Alta</t>
        </is>
      </c>
      <c r="M37" s="3" t="inlineStr">
        <is>
          <t>chave 36</t>
        </is>
      </c>
    </row>
    <row r="38">
      <c r="A38" s="2" t="n">
        <v>37</v>
      </c>
      <c r="B38" s="3" t="inlineStr">
        <is>
          <t xml:space="preserve">FERNANDES &amp; CASAGRANDE LTDA </t>
        </is>
      </c>
      <c r="C38" s="3" t="inlineStr">
        <is>
          <t>CENTRO-OESTE</t>
        </is>
      </c>
      <c r="D38" s="3" t="inlineStr">
        <is>
          <t>GO</t>
        </is>
      </c>
      <c r="E38" s="3" t="inlineStr">
        <is>
          <t>Luziânia</t>
        </is>
      </c>
      <c r="F38" s="3" t="inlineStr">
        <is>
          <t xml:space="preserve">CENTRO </t>
        </is>
      </c>
      <c r="G38" s="3" t="inlineStr">
        <is>
          <t>72800200</t>
        </is>
      </c>
      <c r="H38" s="3" t="inlineStr">
        <is>
          <t>Andressa</t>
        </is>
      </c>
      <c r="I38" s="3" t="inlineStr">
        <is>
          <t>Pontual</t>
        </is>
      </c>
      <c r="J38" s="2" t="n">
        <v>1023</v>
      </c>
      <c r="K38" s="3" t="inlineStr">
        <is>
          <t>Semana 4</t>
        </is>
      </c>
      <c r="L38" s="3" t="inlineStr">
        <is>
          <t>Normal</t>
        </is>
      </c>
      <c r="M38" s="3" t="inlineStr">
        <is>
          <t>chave 37</t>
        </is>
      </c>
    </row>
    <row r="39">
      <c r="A39" s="2" t="n">
        <v>38</v>
      </c>
      <c r="B39" s="3" t="inlineStr">
        <is>
          <t xml:space="preserve">MODERNA PAPELARIA LTDA </t>
        </is>
      </c>
      <c r="C39" s="3" t="inlineStr">
        <is>
          <t>CENTRO-OESTE</t>
        </is>
      </c>
      <c r="D39" s="3" t="inlineStr">
        <is>
          <t>GO</t>
        </is>
      </c>
      <c r="E39" s="3" t="inlineStr">
        <is>
          <t>Goiânia</t>
        </is>
      </c>
      <c r="F39" s="3" t="inlineStr">
        <is>
          <t xml:space="preserve">SET PERIM CONTINUACAO </t>
        </is>
      </c>
      <c r="G39" s="3" t="inlineStr">
        <is>
          <t>74580850</t>
        </is>
      </c>
      <c r="H39" s="3" t="inlineStr">
        <is>
          <t>Andressa</t>
        </is>
      </c>
      <c r="I39" s="3" t="inlineStr">
        <is>
          <t>Estratégico</t>
        </is>
      </c>
      <c r="J39" s="2" t="n">
        <v>1023</v>
      </c>
      <c r="K39" s="3" t="inlineStr">
        <is>
          <t>Semana 1</t>
        </is>
      </c>
      <c r="L39" s="3" t="inlineStr">
        <is>
          <t>Alta</t>
        </is>
      </c>
      <c r="M39" s="3" t="inlineStr">
        <is>
          <t>chave 38</t>
        </is>
      </c>
    </row>
    <row r="40">
      <c r="A40" s="2" t="n">
        <v>39</v>
      </c>
      <c r="B40" s="3" t="inlineStr">
        <is>
          <t xml:space="preserve">HELBRAZ COMERCIO DE PAPELARIA LTDA </t>
        </is>
      </c>
      <c r="C40" s="3" t="inlineStr">
        <is>
          <t>CENTRO-OESTE</t>
        </is>
      </c>
      <c r="D40" s="3" t="inlineStr">
        <is>
          <t>GO</t>
        </is>
      </c>
      <c r="E40" s="3" t="inlineStr">
        <is>
          <t>Goiânia</t>
        </is>
      </c>
      <c r="F40" s="3" t="inlineStr">
        <is>
          <t xml:space="preserve">PARQUE AMAZONIA </t>
        </is>
      </c>
      <c r="G40" s="3" t="inlineStr">
        <is>
          <t>74465539</t>
        </is>
      </c>
      <c r="H40" s="3" t="inlineStr">
        <is>
          <t>Andressa</t>
        </is>
      </c>
      <c r="I40" s="3" t="inlineStr">
        <is>
          <t>Estratégico</t>
        </is>
      </c>
      <c r="J40" s="2" t="n">
        <v>1023</v>
      </c>
      <c r="K40" s="3" t="inlineStr">
        <is>
          <t>Semana 1</t>
        </is>
      </c>
      <c r="L40" s="3" t="inlineStr">
        <is>
          <t>Alta</t>
        </is>
      </c>
      <c r="M40" s="3" t="inlineStr">
        <is>
          <t>chave 39</t>
        </is>
      </c>
    </row>
    <row r="41">
      <c r="A41" s="2" t="n">
        <v>40</v>
      </c>
      <c r="B41" s="3" t="inlineStr">
        <is>
          <t xml:space="preserve">O MUNDO DO ESTUDANTE LIVRARIA, PAPELARIA E INFORMATICA LTDA </t>
        </is>
      </c>
      <c r="C41" s="3" t="inlineStr">
        <is>
          <t>CENTRO-OESTE</t>
        </is>
      </c>
      <c r="D41" s="3" t="inlineStr">
        <is>
          <t>GO</t>
        </is>
      </c>
      <c r="E41" s="3" t="inlineStr">
        <is>
          <t>AGUAS LINDAS DE GOIAS</t>
        </is>
      </c>
      <c r="F41" s="3" t="inlineStr">
        <is>
          <t xml:space="preserve">JARDIM BRASILIA </t>
        </is>
      </c>
      <c r="G41" s="3" t="inlineStr">
        <is>
          <t>72915111</t>
        </is>
      </c>
      <c r="H41" s="3" t="inlineStr">
        <is>
          <t>Andressa</t>
        </is>
      </c>
      <c r="I41" s="3" t="inlineStr">
        <is>
          <t>Pontual</t>
        </is>
      </c>
      <c r="J41" s="2" t="n">
        <v>1023</v>
      </c>
      <c r="K41" s="3" t="inlineStr">
        <is>
          <t>Semana 4</t>
        </is>
      </c>
      <c r="L41" s="3" t="inlineStr">
        <is>
          <t>Normal</t>
        </is>
      </c>
      <c r="M41" s="3" t="inlineStr">
        <is>
          <t>chave 40</t>
        </is>
      </c>
    </row>
    <row r="42">
      <c r="A42" s="2" t="n">
        <v>41</v>
      </c>
      <c r="B42" s="3" t="inlineStr">
        <is>
          <t xml:space="preserve">COMERCIAL NOVA ESPERANCA LTDA </t>
        </is>
      </c>
      <c r="C42" s="3" t="inlineStr">
        <is>
          <t>CENTRO-OESTE</t>
        </is>
      </c>
      <c r="D42" s="3" t="inlineStr">
        <is>
          <t>GO</t>
        </is>
      </c>
      <c r="E42" s="3" t="inlineStr">
        <is>
          <t>ITUMBIARA</t>
        </is>
      </c>
      <c r="F42" s="3" t="inlineStr">
        <is>
          <t xml:space="preserve">SOCIAL </t>
        </is>
      </c>
      <c r="G42" s="3" t="inlineStr">
        <is>
          <t>75510165</t>
        </is>
      </c>
      <c r="H42" s="3" t="inlineStr">
        <is>
          <t>Andressa</t>
        </is>
      </c>
      <c r="I42" s="3" t="inlineStr">
        <is>
          <t>Pontual</t>
        </is>
      </c>
      <c r="J42" s="2" t="n">
        <v>1023</v>
      </c>
      <c r="K42" s="3" t="inlineStr">
        <is>
          <t>Semana 4</t>
        </is>
      </c>
      <c r="L42" s="3" t="inlineStr">
        <is>
          <t>Normal</t>
        </is>
      </c>
      <c r="M42" s="3" t="inlineStr">
        <is>
          <t>chave 41</t>
        </is>
      </c>
    </row>
    <row r="43">
      <c r="A43" s="2" t="n">
        <v>42</v>
      </c>
      <c r="B43" s="3" t="inlineStr">
        <is>
          <t xml:space="preserve">GILDEAN A DA SILVA LTDA </t>
        </is>
      </c>
      <c r="C43" s="3" t="inlineStr">
        <is>
          <t>CENTRO-OESTE</t>
        </is>
      </c>
      <c r="D43" s="3" t="inlineStr">
        <is>
          <t>GO</t>
        </is>
      </c>
      <c r="E43" s="3" t="inlineStr">
        <is>
          <t>Aparecida de Goiânia</t>
        </is>
      </c>
      <c r="F43" s="3" t="inlineStr">
        <is>
          <t xml:space="preserve">JARDIM LUZ </t>
        </is>
      </c>
      <c r="G43" s="3" t="inlineStr">
        <is>
          <t>74915015</t>
        </is>
      </c>
      <c r="H43" s="3" t="inlineStr">
        <is>
          <t>Andressa</t>
        </is>
      </c>
      <c r="I43" s="3" t="inlineStr">
        <is>
          <t>Estratégico</t>
        </is>
      </c>
      <c r="J43" s="2" t="n">
        <v>1023</v>
      </c>
      <c r="K43" s="3" t="inlineStr">
        <is>
          <t>Semana 1</t>
        </is>
      </c>
      <c r="L43" s="3" t="inlineStr">
        <is>
          <t>Alta</t>
        </is>
      </c>
      <c r="M43" s="3" t="inlineStr">
        <is>
          <t>chave 42</t>
        </is>
      </c>
    </row>
    <row r="44">
      <c r="A44" s="2" t="n">
        <v>43</v>
      </c>
      <c r="B44" s="3" t="inlineStr">
        <is>
          <t xml:space="preserve">JK PAPELARIA E DISTRIBUIDORA LTDA </t>
        </is>
      </c>
      <c r="C44" s="3" t="inlineStr">
        <is>
          <t>CENTRO-OESTE</t>
        </is>
      </c>
      <c r="D44" s="3" t="inlineStr">
        <is>
          <t>GO</t>
        </is>
      </c>
      <c r="E44" s="3" t="inlineStr">
        <is>
          <t>Anápolis</t>
        </is>
      </c>
      <c r="F44" s="3" t="inlineStr">
        <is>
          <t xml:space="preserve">JK NOVA CAPITAL </t>
        </is>
      </c>
      <c r="G44" s="3" t="inlineStr">
        <is>
          <t>75114323</t>
        </is>
      </c>
      <c r="H44" s="3" t="inlineStr">
        <is>
          <t>Andressa</t>
        </is>
      </c>
      <c r="I44" s="3" t="inlineStr">
        <is>
          <t>Pontual</t>
        </is>
      </c>
      <c r="J44" s="2" t="n">
        <v>1023</v>
      </c>
      <c r="K44" s="3" t="inlineStr">
        <is>
          <t>Semana 4</t>
        </is>
      </c>
      <c r="L44" s="3" t="inlineStr">
        <is>
          <t>Normal</t>
        </is>
      </c>
      <c r="M44" s="3" t="inlineStr">
        <is>
          <t>chave 43</t>
        </is>
      </c>
    </row>
    <row r="45">
      <c r="A45" s="2" t="n">
        <v>44</v>
      </c>
      <c r="B45" s="3" t="inlineStr">
        <is>
          <t xml:space="preserve">PAPELARIA &amp; LIVRARIA UNIVERSO LTDA </t>
        </is>
      </c>
      <c r="C45" s="3" t="inlineStr">
        <is>
          <t>CENTRO-OESTE</t>
        </is>
      </c>
      <c r="D45" s="3" t="inlineStr">
        <is>
          <t>GO</t>
        </is>
      </c>
      <c r="E45" s="3" t="inlineStr">
        <is>
          <t>Goiânia</t>
        </is>
      </c>
      <c r="F45" s="3" t="inlineStr">
        <is>
          <t xml:space="preserve">SETOR SUL </t>
        </is>
      </c>
      <c r="G45" s="3" t="inlineStr">
        <is>
          <t>74093300</t>
        </is>
      </c>
      <c r="H45" s="3" t="inlineStr">
        <is>
          <t>Andressa</t>
        </is>
      </c>
      <c r="I45" s="3" t="inlineStr">
        <is>
          <t>Estratégico</t>
        </is>
      </c>
      <c r="J45" s="2" t="n">
        <v>1023</v>
      </c>
      <c r="K45" s="3" t="inlineStr">
        <is>
          <t>Semana 1</t>
        </is>
      </c>
      <c r="L45" s="3" t="inlineStr">
        <is>
          <t>Alta</t>
        </is>
      </c>
      <c r="M45" s="3" t="inlineStr">
        <is>
          <t>chave 44</t>
        </is>
      </c>
    </row>
    <row r="46">
      <c r="A46" s="2" t="n">
        <v>45</v>
      </c>
      <c r="B46" s="3" t="inlineStr">
        <is>
          <t xml:space="preserve">VALTER NUNES DA SERRA &amp; CIA LTDA </t>
        </is>
      </c>
      <c r="C46" s="3" t="inlineStr">
        <is>
          <t>CENTRO-OESTE</t>
        </is>
      </c>
      <c r="D46" s="3" t="inlineStr">
        <is>
          <t>GO</t>
        </is>
      </c>
      <c r="E46" s="3" t="inlineStr">
        <is>
          <t>Itaberaí</t>
        </is>
      </c>
      <c r="F46" s="3" t="inlineStr">
        <is>
          <t xml:space="preserve">VILA PROGRESSO </t>
        </is>
      </c>
      <c r="G46" s="3" t="inlineStr">
        <is>
          <t>76630000</t>
        </is>
      </c>
      <c r="H46" s="3" t="inlineStr">
        <is>
          <t>Andressa</t>
        </is>
      </c>
      <c r="I46" s="3" t="inlineStr">
        <is>
          <t>Pontual</t>
        </is>
      </c>
      <c r="J46" s="2" t="n">
        <v>1023</v>
      </c>
      <c r="K46" s="3" t="inlineStr">
        <is>
          <t>Semana 4</t>
        </is>
      </c>
      <c r="L46" s="3" t="inlineStr">
        <is>
          <t>Normal</t>
        </is>
      </c>
      <c r="M46" s="3" t="inlineStr">
        <is>
          <t>chave 45</t>
        </is>
      </c>
    </row>
    <row r="47">
      <c r="A47" s="2" t="n">
        <v>46</v>
      </c>
      <c r="B47" s="3" t="inlineStr">
        <is>
          <t xml:space="preserve">PAPELARIA SANTOS E SILVA LTDA </t>
        </is>
      </c>
      <c r="C47" s="3" t="inlineStr">
        <is>
          <t>CENTRO-OESTE</t>
        </is>
      </c>
      <c r="D47" s="3" t="inlineStr">
        <is>
          <t>GO</t>
        </is>
      </c>
      <c r="E47" s="3" t="inlineStr">
        <is>
          <t>ITAPACI</t>
        </is>
      </c>
      <c r="F47" s="3" t="inlineStr">
        <is>
          <t xml:space="preserve">ST AEROPORTO </t>
        </is>
      </c>
      <c r="G47" s="3" t="inlineStr">
        <is>
          <t>76360000</t>
        </is>
      </c>
      <c r="H47" s="3" t="inlineStr">
        <is>
          <t>Andressa</t>
        </is>
      </c>
      <c r="I47" s="3" t="inlineStr">
        <is>
          <t>Pontual</t>
        </is>
      </c>
      <c r="J47" s="2" t="n">
        <v>1023</v>
      </c>
      <c r="K47" s="3" t="inlineStr">
        <is>
          <t>Semana 4</t>
        </is>
      </c>
      <c r="L47" s="3" t="inlineStr">
        <is>
          <t>Normal</t>
        </is>
      </c>
      <c r="M47" s="3" t="inlineStr">
        <is>
          <t>chave 46</t>
        </is>
      </c>
    </row>
    <row r="48">
      <c r="A48" s="2" t="n">
        <v>47</v>
      </c>
      <c r="B48" s="3" t="inlineStr">
        <is>
          <t xml:space="preserve">VIANNA E RODRIGUES PAPELARIA LTDA </t>
        </is>
      </c>
      <c r="C48" s="3" t="inlineStr">
        <is>
          <t>CENTRO-OESTE</t>
        </is>
      </c>
      <c r="D48" s="3" t="inlineStr">
        <is>
          <t>GO</t>
        </is>
      </c>
      <c r="E48" s="3" t="inlineStr">
        <is>
          <t>Valparaíso de Goiás</t>
        </is>
      </c>
      <c r="F48" s="3" t="inlineStr">
        <is>
          <t xml:space="preserve">PARQUE RIO BRANCO </t>
        </is>
      </c>
      <c r="G48" s="3" t="inlineStr">
        <is>
          <t>72870004</t>
        </is>
      </c>
      <c r="H48" s="3" t="inlineStr">
        <is>
          <t>Andressa</t>
        </is>
      </c>
      <c r="I48" s="3" t="inlineStr">
        <is>
          <t>Pontual</t>
        </is>
      </c>
      <c r="J48" s="2" t="n">
        <v>1023</v>
      </c>
      <c r="K48" s="3" t="inlineStr">
        <is>
          <t>Semana 4</t>
        </is>
      </c>
      <c r="L48" s="3" t="inlineStr">
        <is>
          <t>Normal</t>
        </is>
      </c>
      <c r="M48" s="3" t="inlineStr">
        <is>
          <t>chave 47</t>
        </is>
      </c>
    </row>
    <row r="49">
      <c r="A49" s="2" t="n">
        <v>48</v>
      </c>
      <c r="B49" s="3" t="inlineStr">
        <is>
          <t xml:space="preserve">RYALCE DISTRIBUIDORA LTDA </t>
        </is>
      </c>
      <c r="C49" s="3" t="inlineStr">
        <is>
          <t>CENTRO-OESTE</t>
        </is>
      </c>
      <c r="D49" s="3" t="inlineStr">
        <is>
          <t>GO</t>
        </is>
      </c>
      <c r="E49" s="3" t="inlineStr">
        <is>
          <t>Goiânia</t>
        </is>
      </c>
      <c r="F49" s="3" t="inlineStr">
        <is>
          <t xml:space="preserve">JARDIM AMERICA </t>
        </is>
      </c>
      <c r="G49" s="3" t="inlineStr">
        <is>
          <t>74265280</t>
        </is>
      </c>
      <c r="H49" s="3" t="inlineStr">
        <is>
          <t>Andressa</t>
        </is>
      </c>
      <c r="I49" s="3" t="inlineStr">
        <is>
          <t>Estratégico</t>
        </is>
      </c>
      <c r="J49" s="2" t="n">
        <v>1023</v>
      </c>
      <c r="K49" s="3" t="inlineStr">
        <is>
          <t>Semana 1</t>
        </is>
      </c>
      <c r="L49" s="3" t="inlineStr">
        <is>
          <t>Alta</t>
        </is>
      </c>
      <c r="M49" s="3" t="inlineStr">
        <is>
          <t>chave 48</t>
        </is>
      </c>
    </row>
    <row r="50">
      <c r="A50" s="2" t="n">
        <v>49</v>
      </c>
      <c r="B50" s="3" t="inlineStr">
        <is>
          <t xml:space="preserve">CC VALPARAISO ALUGUEL DE EQUIP.E COM.DE MAQUINAS LTDA </t>
        </is>
      </c>
      <c r="C50" s="3" t="inlineStr">
        <is>
          <t>CENTRO-OESTE</t>
        </is>
      </c>
      <c r="D50" s="3" t="inlineStr">
        <is>
          <t>GO</t>
        </is>
      </c>
      <c r="E50" s="3" t="inlineStr">
        <is>
          <t>VALPARAISO DE GOIAS</t>
        </is>
      </c>
      <c r="F50" s="3" t="inlineStr">
        <is>
          <t xml:space="preserve">MORADA NOBRE </t>
        </is>
      </c>
      <c r="G50" s="3" t="inlineStr">
        <is>
          <t>72870339</t>
        </is>
      </c>
      <c r="H50" s="3" t="inlineStr">
        <is>
          <t>Andressa</t>
        </is>
      </c>
      <c r="I50" s="3" t="inlineStr">
        <is>
          <t>Pontual</t>
        </is>
      </c>
      <c r="J50" s="2" t="n">
        <v>1023</v>
      </c>
      <c r="K50" s="3" t="inlineStr">
        <is>
          <t>Semana 4</t>
        </is>
      </c>
      <c r="L50" s="3" t="inlineStr">
        <is>
          <t>Normal</t>
        </is>
      </c>
      <c r="M50" s="3" t="inlineStr">
        <is>
          <t>chave 49</t>
        </is>
      </c>
    </row>
    <row r="51">
      <c r="A51" s="2" t="n">
        <v>50</v>
      </c>
      <c r="B51" s="3" t="inlineStr">
        <is>
          <t xml:space="preserve">CAMPINAS COMERCIO DE UTILIDADES LTDA </t>
        </is>
      </c>
      <c r="C51" s="3" t="inlineStr">
        <is>
          <t>CENTRO-OESTE</t>
        </is>
      </c>
      <c r="D51" s="3" t="inlineStr">
        <is>
          <t>GO</t>
        </is>
      </c>
      <c r="E51" s="3" t="inlineStr">
        <is>
          <t>Goiânia</t>
        </is>
      </c>
      <c r="F51" s="3" t="inlineStr">
        <is>
          <t xml:space="preserve">SETOR CAMPINAS </t>
        </is>
      </c>
      <c r="G51" s="3" t="inlineStr">
        <is>
          <t>74505012</t>
        </is>
      </c>
      <c r="H51" s="3" t="inlineStr">
        <is>
          <t>Andressa</t>
        </is>
      </c>
      <c r="I51" s="3" t="inlineStr">
        <is>
          <t>Estratégico</t>
        </is>
      </c>
      <c r="J51" s="2" t="n">
        <v>1023</v>
      </c>
      <c r="K51" s="3" t="inlineStr">
        <is>
          <t>Semana 1</t>
        </is>
      </c>
      <c r="L51" s="3" t="inlineStr">
        <is>
          <t>Alta</t>
        </is>
      </c>
      <c r="M51" s="3" t="inlineStr">
        <is>
          <t>chave 50</t>
        </is>
      </c>
    </row>
    <row r="52">
      <c r="A52" s="2" t="n">
        <v>51</v>
      </c>
      <c r="B52" s="3" t="inlineStr">
        <is>
          <t xml:space="preserve">PAULO ROBERTO FERNANDES &amp; CIA LTDA </t>
        </is>
      </c>
      <c r="C52" s="3" t="inlineStr">
        <is>
          <t>CENTRO-OESTE</t>
        </is>
      </c>
      <c r="D52" s="3" t="inlineStr">
        <is>
          <t>MS</t>
        </is>
      </c>
      <c r="E52" s="3" t="inlineStr">
        <is>
          <t>CAMPO GRANDE</t>
        </is>
      </c>
      <c r="F52" s="3" t="inlineStr">
        <is>
          <t xml:space="preserve">CENTRO </t>
        </is>
      </c>
      <c r="G52" s="3" t="inlineStr">
        <is>
          <t>79002180</t>
        </is>
      </c>
      <c r="H52" s="3" t="inlineStr">
        <is>
          <t>Yan Aragão</t>
        </is>
      </c>
      <c r="I52" s="3" t="inlineStr">
        <is>
          <t>Pontual</t>
        </is>
      </c>
      <c r="J52" s="2" t="n">
        <v>1494</v>
      </c>
      <c r="K52" s="3" t="inlineStr">
        <is>
          <t>Semana 1</t>
        </is>
      </c>
      <c r="L52" s="3" t="inlineStr">
        <is>
          <t>Normal</t>
        </is>
      </c>
      <c r="M52" s="3" t="inlineStr">
        <is>
          <t>chave 51</t>
        </is>
      </c>
    </row>
    <row r="53">
      <c r="A53" s="2" t="n">
        <v>52</v>
      </c>
      <c r="B53" s="3" t="inlineStr">
        <is>
          <t xml:space="preserve">COMERCIAL DE UTIL.DOM.MATEPLAS LTDA </t>
        </is>
      </c>
      <c r="C53" s="3" t="inlineStr">
        <is>
          <t>CENTRO-OESTE</t>
        </is>
      </c>
      <c r="D53" s="3" t="inlineStr">
        <is>
          <t>MS</t>
        </is>
      </c>
      <c r="E53" s="3" t="inlineStr">
        <is>
          <t>CAMPO GRANDE</t>
        </is>
      </c>
      <c r="F53" s="3" t="inlineStr">
        <is>
          <t xml:space="preserve">VILA RICA </t>
        </is>
      </c>
      <c r="G53" s="3" t="inlineStr">
        <is>
          <t>79002391</t>
        </is>
      </c>
      <c r="H53" s="3" t="inlineStr">
        <is>
          <t>Yan Aragão</t>
        </is>
      </c>
      <c r="I53" s="3" t="inlineStr">
        <is>
          <t>Pontual</t>
        </is>
      </c>
      <c r="J53" s="2" t="n">
        <v>1494</v>
      </c>
      <c r="K53" s="3" t="inlineStr">
        <is>
          <t>Semana 1</t>
        </is>
      </c>
      <c r="L53" s="3" t="inlineStr">
        <is>
          <t>Normal</t>
        </is>
      </c>
      <c r="M53" s="3" t="inlineStr">
        <is>
          <t>chave 52</t>
        </is>
      </c>
    </row>
    <row r="54">
      <c r="A54" s="2" t="n">
        <v>53</v>
      </c>
      <c r="B54" s="3" t="inlineStr">
        <is>
          <t xml:space="preserve">S M F PERDOMO LTDA </t>
        </is>
      </c>
      <c r="C54" s="3" t="inlineStr">
        <is>
          <t>CENTRO-OESTE</t>
        </is>
      </c>
      <c r="D54" s="3" t="inlineStr">
        <is>
          <t>MS</t>
        </is>
      </c>
      <c r="E54" s="3" t="inlineStr">
        <is>
          <t>Naviraí</t>
        </is>
      </c>
      <c r="F54" s="3" t="inlineStr">
        <is>
          <t xml:space="preserve">PORTO RESIDENCE </t>
        </is>
      </c>
      <c r="G54" s="3" t="inlineStr">
        <is>
          <t>79950000</t>
        </is>
      </c>
      <c r="H54" s="3" t="inlineStr">
        <is>
          <t>Yan Aragão</t>
        </is>
      </c>
      <c r="I54" s="3" t="inlineStr">
        <is>
          <t>Pontual</t>
        </is>
      </c>
      <c r="J54" s="2" t="n">
        <v>1494</v>
      </c>
      <c r="K54" s="3" t="inlineStr">
        <is>
          <t>Semana 2</t>
        </is>
      </c>
      <c r="L54" s="3" t="inlineStr">
        <is>
          <t>Normal</t>
        </is>
      </c>
      <c r="M54" s="3" t="inlineStr">
        <is>
          <t>chave 53</t>
        </is>
      </c>
    </row>
    <row r="55">
      <c r="A55" s="2" t="n">
        <v>54</v>
      </c>
      <c r="B55" s="3" t="inlineStr">
        <is>
          <t xml:space="preserve">SPORTS EMPORIO, PAPELARIA E INFORMATICA LTDA </t>
        </is>
      </c>
      <c r="C55" s="3" t="inlineStr">
        <is>
          <t>CENTRO-OESTE</t>
        </is>
      </c>
      <c r="D55" s="3" t="inlineStr">
        <is>
          <t>MS</t>
        </is>
      </c>
      <c r="E55" s="3" t="inlineStr">
        <is>
          <t>Corumbá</t>
        </is>
      </c>
      <c r="F55" s="3" t="inlineStr">
        <is>
          <t xml:space="preserve">CENTRO </t>
        </is>
      </c>
      <c r="G55" s="3" t="inlineStr">
        <is>
          <t>79300006</t>
        </is>
      </c>
      <c r="H55" s="3" t="inlineStr">
        <is>
          <t>Yan Aragão</t>
        </is>
      </c>
      <c r="I55" s="3" t="inlineStr">
        <is>
          <t>Pontual</t>
        </is>
      </c>
      <c r="J55" s="2" t="n">
        <v>1494</v>
      </c>
      <c r="K55" s="3" t="inlineStr">
        <is>
          <t>Semana 2</t>
        </is>
      </c>
      <c r="L55" s="3" t="inlineStr">
        <is>
          <t>Normal</t>
        </is>
      </c>
      <c r="M55" s="3" t="inlineStr">
        <is>
          <t>chave 54</t>
        </is>
      </c>
    </row>
    <row r="56">
      <c r="A56" s="2" t="n">
        <v>55</v>
      </c>
      <c r="B56" s="3" t="inlineStr">
        <is>
          <t xml:space="preserve">LMZ COMERCIO DE ARTIGOS PARA ESCRITORIO LTDA </t>
        </is>
      </c>
      <c r="C56" s="3" t="inlineStr">
        <is>
          <t>CENTRO-OESTE</t>
        </is>
      </c>
      <c r="D56" s="3" t="inlineStr">
        <is>
          <t>MS</t>
        </is>
      </c>
      <c r="E56" s="3" t="inlineStr">
        <is>
          <t>CAMPO GRANDE</t>
        </is>
      </c>
      <c r="F56" s="3" t="inlineStr">
        <is>
          <t xml:space="preserve">VILA ALBUQUERQUE </t>
        </is>
      </c>
      <c r="G56" s="3" t="inlineStr">
        <is>
          <t>79060120</t>
        </is>
      </c>
      <c r="H56" s="3" t="inlineStr">
        <is>
          <t>Yan Aragão</t>
        </is>
      </c>
      <c r="I56" s="3" t="inlineStr">
        <is>
          <t>Pontual</t>
        </is>
      </c>
      <c r="J56" s="2" t="n">
        <v>1494</v>
      </c>
      <c r="K56" s="3" t="inlineStr">
        <is>
          <t>Semana 1</t>
        </is>
      </c>
      <c r="L56" s="3" t="inlineStr">
        <is>
          <t>Normal</t>
        </is>
      </c>
      <c r="M56" s="3" t="inlineStr">
        <is>
          <t>chave 55</t>
        </is>
      </c>
    </row>
    <row r="57">
      <c r="A57" s="2" t="n">
        <v>56</v>
      </c>
      <c r="B57" s="3" t="inlineStr">
        <is>
          <t xml:space="preserve">FABIO MARQUEZE VENTURIN </t>
        </is>
      </c>
      <c r="C57" s="3" t="inlineStr">
        <is>
          <t>CENTRO-OESTE</t>
        </is>
      </c>
      <c r="D57" s="3" t="inlineStr">
        <is>
          <t>MS</t>
        </is>
      </c>
      <c r="E57" s="3" t="inlineStr">
        <is>
          <t>CAMPO GRANDE</t>
        </is>
      </c>
      <c r="F57" s="3" t="inlineStr">
        <is>
          <t xml:space="preserve">JARDIM LEBLON </t>
        </is>
      </c>
      <c r="G57" s="3" t="inlineStr">
        <is>
          <t>79092012</t>
        </is>
      </c>
      <c r="H57" s="3" t="inlineStr">
        <is>
          <t>Yan Aragão</t>
        </is>
      </c>
      <c r="I57" s="3" t="inlineStr">
        <is>
          <t>Pontual</t>
        </is>
      </c>
      <c r="J57" s="2" t="n">
        <v>1494</v>
      </c>
      <c r="K57" s="3" t="inlineStr">
        <is>
          <t>Semana 1</t>
        </is>
      </c>
      <c r="L57" s="3" t="inlineStr">
        <is>
          <t>Normal</t>
        </is>
      </c>
      <c r="M57" s="3" t="inlineStr">
        <is>
          <t>chave 56</t>
        </is>
      </c>
    </row>
    <row r="58">
      <c r="A58" s="2" t="n">
        <v>57</v>
      </c>
      <c r="B58" s="3" t="inlineStr">
        <is>
          <t xml:space="preserve">LAPISMANIA PAPELARIA CRIATIVA LTDA </t>
        </is>
      </c>
      <c r="C58" s="3" t="inlineStr">
        <is>
          <t>CENTRO-OESTE</t>
        </is>
      </c>
      <c r="D58" s="3" t="inlineStr">
        <is>
          <t>MS</t>
        </is>
      </c>
      <c r="E58" s="3" t="inlineStr">
        <is>
          <t>CAMPO GRANDE</t>
        </is>
      </c>
      <c r="F58" s="3" t="inlineStr">
        <is>
          <t xml:space="preserve">RESIDENCIAL DAMHA II </t>
        </is>
      </c>
      <c r="G58" s="3" t="inlineStr">
        <is>
          <t>79046052</t>
        </is>
      </c>
      <c r="H58" s="3" t="inlineStr">
        <is>
          <t>Yan Aragão</t>
        </is>
      </c>
      <c r="I58" s="3" t="inlineStr">
        <is>
          <t>Pontual</t>
        </is>
      </c>
      <c r="J58" s="2" t="n">
        <v>1494</v>
      </c>
      <c r="K58" s="3" t="inlineStr">
        <is>
          <t>Semana 1</t>
        </is>
      </c>
      <c r="L58" s="3" t="inlineStr">
        <is>
          <t>Normal</t>
        </is>
      </c>
      <c r="M58" s="3" t="inlineStr">
        <is>
          <t>chave 57</t>
        </is>
      </c>
    </row>
    <row r="59">
      <c r="A59" s="2" t="n">
        <v>58</v>
      </c>
      <c r="B59" s="3" t="inlineStr">
        <is>
          <t xml:space="preserve">POESY AVIAMENTOS E PAPELARIA LTDA </t>
        </is>
      </c>
      <c r="C59" s="3" t="inlineStr">
        <is>
          <t>CENTRO-OESTE</t>
        </is>
      </c>
      <c r="D59" s="3" t="inlineStr">
        <is>
          <t>MT</t>
        </is>
      </c>
      <c r="E59" s="3" t="inlineStr">
        <is>
          <t>Cuiabá</t>
        </is>
      </c>
      <c r="F59" s="3" t="inlineStr">
        <is>
          <t xml:space="preserve">CENTRO SUL </t>
        </is>
      </c>
      <c r="G59" s="3" t="inlineStr">
        <is>
          <t>78020600</t>
        </is>
      </c>
      <c r="H59" s="3" t="inlineStr">
        <is>
          <t>Yan Aragão</t>
        </is>
      </c>
      <c r="I59" s="3" t="inlineStr">
        <is>
          <t>Pontual</t>
        </is>
      </c>
      <c r="J59" s="2" t="n">
        <v>1747</v>
      </c>
      <c r="K59" s="3" t="inlineStr">
        <is>
          <t>Semana 2</t>
        </is>
      </c>
      <c r="L59" s="3" t="inlineStr">
        <is>
          <t>Normal</t>
        </is>
      </c>
      <c r="M59" s="3" t="inlineStr">
        <is>
          <t>chave 58</t>
        </is>
      </c>
    </row>
    <row r="60">
      <c r="A60" s="2" t="n">
        <v>59</v>
      </c>
      <c r="B60" s="3" t="inlineStr">
        <is>
          <t xml:space="preserve">V.CONCEICAO SILVA &amp; CIA LTDA </t>
        </is>
      </c>
      <c r="C60" s="3" t="inlineStr">
        <is>
          <t>CENTRO-OESTE</t>
        </is>
      </c>
      <c r="D60" s="3" t="inlineStr">
        <is>
          <t>MT</t>
        </is>
      </c>
      <c r="E60" s="3" t="inlineStr">
        <is>
          <t>Cuiabá</t>
        </is>
      </c>
      <c r="F60" s="3" t="inlineStr">
        <is>
          <t xml:space="preserve">PORTO </t>
        </is>
      </c>
      <c r="G60" s="3" t="inlineStr">
        <is>
          <t>78025032</t>
        </is>
      </c>
      <c r="H60" s="3" t="inlineStr">
        <is>
          <t>Yan Aragão</t>
        </is>
      </c>
      <c r="I60" s="3" t="inlineStr">
        <is>
          <t>Pontual</t>
        </is>
      </c>
      <c r="J60" s="2" t="n">
        <v>1747</v>
      </c>
      <c r="K60" s="3" t="inlineStr">
        <is>
          <t>Semana 3</t>
        </is>
      </c>
      <c r="L60" s="3" t="inlineStr">
        <is>
          <t>Normal</t>
        </is>
      </c>
      <c r="M60" s="3" t="inlineStr">
        <is>
          <t>chave 59</t>
        </is>
      </c>
    </row>
    <row r="61">
      <c r="A61" s="2" t="n">
        <v>60</v>
      </c>
      <c r="B61" s="3" t="inlineStr">
        <is>
          <t xml:space="preserve">HC COMERCIO DE PAPEIS LTDA </t>
        </is>
      </c>
      <c r="C61" s="3" t="inlineStr">
        <is>
          <t>CENTRO-OESTE</t>
        </is>
      </c>
      <c r="D61" s="3" t="inlineStr">
        <is>
          <t>MT</t>
        </is>
      </c>
      <c r="E61" s="3" t="inlineStr">
        <is>
          <t>ALTA FLORESTA</t>
        </is>
      </c>
      <c r="F61" s="3" t="inlineStr">
        <is>
          <t xml:space="preserve">SETOR C </t>
        </is>
      </c>
      <c r="G61" s="3" t="inlineStr">
        <is>
          <t>78580000</t>
        </is>
      </c>
      <c r="H61" s="3" t="inlineStr">
        <is>
          <t>Yan Aragão</t>
        </is>
      </c>
      <c r="I61" s="3" t="inlineStr">
        <is>
          <t>Pontual</t>
        </is>
      </c>
      <c r="J61" s="2" t="n">
        <v>1747</v>
      </c>
      <c r="K61" s="3" t="inlineStr">
        <is>
          <t>Semana 2</t>
        </is>
      </c>
      <c r="L61" s="3" t="inlineStr">
        <is>
          <t>Normal</t>
        </is>
      </c>
      <c r="M61" s="3" t="inlineStr">
        <is>
          <t>chave 60</t>
        </is>
      </c>
    </row>
    <row r="62">
      <c r="A62" s="2" t="n">
        <v>61</v>
      </c>
      <c r="B62" s="3" t="inlineStr">
        <is>
          <t xml:space="preserve">GRAFFITE COM E SERV DE INFORMATICA LTDA </t>
        </is>
      </c>
      <c r="C62" s="3" t="inlineStr">
        <is>
          <t>CENTRO-OESTE</t>
        </is>
      </c>
      <c r="D62" s="3" t="inlineStr">
        <is>
          <t>MT</t>
        </is>
      </c>
      <c r="E62" s="3" t="inlineStr">
        <is>
          <t>Várzea Grande</t>
        </is>
      </c>
      <c r="F62" s="3" t="inlineStr">
        <is>
          <t xml:space="preserve">CENTRO NORTE </t>
        </is>
      </c>
      <c r="G62" s="3" t="inlineStr">
        <is>
          <t>78110400</t>
        </is>
      </c>
      <c r="H62" s="3" t="inlineStr">
        <is>
          <t>Yan Aragão</t>
        </is>
      </c>
      <c r="I62" s="3" t="inlineStr">
        <is>
          <t>Pontual</t>
        </is>
      </c>
      <c r="J62" s="2" t="n">
        <v>1747</v>
      </c>
      <c r="K62" s="3" t="inlineStr">
        <is>
          <t>Semana 4</t>
        </is>
      </c>
      <c r="L62" s="3" t="inlineStr">
        <is>
          <t>Normal</t>
        </is>
      </c>
      <c r="M62" s="3" t="inlineStr">
        <is>
          <t>chave 61</t>
        </is>
      </c>
    </row>
    <row r="63">
      <c r="A63" s="2" t="n">
        <v>62</v>
      </c>
      <c r="B63" s="3" t="inlineStr">
        <is>
          <t xml:space="preserve">MASTERIT PAPELARIA LTDA </t>
        </is>
      </c>
      <c r="C63" s="3" t="inlineStr">
        <is>
          <t>CENTRO-OESTE</t>
        </is>
      </c>
      <c r="D63" s="3" t="inlineStr">
        <is>
          <t>MT</t>
        </is>
      </c>
      <c r="E63" s="3" t="inlineStr">
        <is>
          <t>CONFRESA</t>
        </is>
      </c>
      <c r="F63" s="3" t="inlineStr">
        <is>
          <t xml:space="preserve">CENTRO </t>
        </is>
      </c>
      <c r="G63" s="3" t="inlineStr">
        <is>
          <t>78652000</t>
        </is>
      </c>
      <c r="H63" s="3" t="inlineStr">
        <is>
          <t>Yan Aragão</t>
        </is>
      </c>
      <c r="I63" s="3" t="inlineStr">
        <is>
          <t>Pontual</t>
        </is>
      </c>
      <c r="J63" s="2" t="n">
        <v>1747</v>
      </c>
      <c r="K63" s="3" t="inlineStr">
        <is>
          <t>Semana 2</t>
        </is>
      </c>
      <c r="L63" s="3" t="inlineStr">
        <is>
          <t>Normal</t>
        </is>
      </c>
      <c r="M63" s="3" t="inlineStr">
        <is>
          <t>chave 62</t>
        </is>
      </c>
    </row>
    <row r="64">
      <c r="A64" s="2" t="n">
        <v>63</v>
      </c>
      <c r="B64" s="3" t="inlineStr">
        <is>
          <t xml:space="preserve">LIVRARIA E PAPELARIA PRIMAVERA LTDA </t>
        </is>
      </c>
      <c r="C64" s="3" t="inlineStr">
        <is>
          <t>CENTRO-OESTE</t>
        </is>
      </c>
      <c r="D64" s="3" t="inlineStr">
        <is>
          <t>MT</t>
        </is>
      </c>
      <c r="E64" s="3" t="inlineStr">
        <is>
          <t>PRIMAVERA DO LESTE</t>
        </is>
      </c>
      <c r="F64" s="3" t="inlineStr">
        <is>
          <t xml:space="preserve">CENTRO </t>
        </is>
      </c>
      <c r="G64" s="3" t="inlineStr">
        <is>
          <t>78850000</t>
        </is>
      </c>
      <c r="H64" s="3" t="inlineStr">
        <is>
          <t>Yan Aragão</t>
        </is>
      </c>
      <c r="I64" s="3" t="inlineStr">
        <is>
          <t>Pontual</t>
        </is>
      </c>
      <c r="J64" s="2" t="n">
        <v>1747</v>
      </c>
      <c r="K64" s="3" t="inlineStr">
        <is>
          <t>Semana 3</t>
        </is>
      </c>
      <c r="L64" s="3" t="inlineStr">
        <is>
          <t>Normal</t>
        </is>
      </c>
      <c r="M64" s="3" t="inlineStr">
        <is>
          <t>chave 63</t>
        </is>
      </c>
    </row>
    <row r="65">
      <c r="A65" s="2" t="n">
        <v>64</v>
      </c>
      <c r="B65" s="3" t="inlineStr">
        <is>
          <t xml:space="preserve">ESTUDANTE COMERCIO DE ARTIGOS DE PAPELARIA LTDA </t>
        </is>
      </c>
      <c r="C65" s="3" t="inlineStr">
        <is>
          <t>CENTRO-OESTE</t>
        </is>
      </c>
      <c r="D65" s="3" t="inlineStr">
        <is>
          <t>MT</t>
        </is>
      </c>
      <c r="E65" s="3" t="inlineStr">
        <is>
          <t>SINOP</t>
        </is>
      </c>
      <c r="F65" s="3" t="inlineStr">
        <is>
          <t xml:space="preserve">JARDIM BOTANICO </t>
        </is>
      </c>
      <c r="G65" s="3" t="inlineStr">
        <is>
          <t>78556076</t>
        </is>
      </c>
      <c r="H65" s="3" t="inlineStr">
        <is>
          <t>Yan Aragão</t>
        </is>
      </c>
      <c r="I65" s="3" t="inlineStr">
        <is>
          <t>Pontual</t>
        </is>
      </c>
      <c r="J65" s="2" t="n">
        <v>1747</v>
      </c>
      <c r="K65" s="3" t="inlineStr">
        <is>
          <t>Semana 4</t>
        </is>
      </c>
      <c r="L65" s="3" t="inlineStr">
        <is>
          <t>Normal</t>
        </is>
      </c>
      <c r="M65" s="3" t="inlineStr">
        <is>
          <t>chave 64</t>
        </is>
      </c>
    </row>
    <row r="66">
      <c r="A66" s="2" t="n">
        <v>65</v>
      </c>
      <c r="B66" s="3" t="inlineStr">
        <is>
          <t xml:space="preserve">LIVRARIA E PAPELARIA E M LTDA </t>
        </is>
      </c>
      <c r="C66" s="3" t="inlineStr">
        <is>
          <t>CENTRO-OESTE</t>
        </is>
      </c>
      <c r="D66" s="3" t="inlineStr">
        <is>
          <t>MT</t>
        </is>
      </c>
      <c r="E66" s="3" t="inlineStr">
        <is>
          <t>Tangará da Serra</t>
        </is>
      </c>
      <c r="F66" s="3" t="inlineStr">
        <is>
          <t xml:space="preserve">CENTRO </t>
        </is>
      </c>
      <c r="G66" s="3" t="inlineStr">
        <is>
          <t>78300095</t>
        </is>
      </c>
      <c r="H66" s="3" t="inlineStr">
        <is>
          <t>Yan Aragão</t>
        </is>
      </c>
      <c r="I66" s="3" t="inlineStr">
        <is>
          <t>Pontual</t>
        </is>
      </c>
      <c r="J66" s="2" t="n">
        <v>1747</v>
      </c>
      <c r="K66" s="3" t="inlineStr">
        <is>
          <t>Semana 4</t>
        </is>
      </c>
      <c r="L66" s="3" t="inlineStr">
        <is>
          <t>Normal</t>
        </is>
      </c>
      <c r="M66" s="3" t="inlineStr">
        <is>
          <t>chave 65</t>
        </is>
      </c>
    </row>
    <row r="67">
      <c r="A67" s="2" t="n">
        <v>66</v>
      </c>
      <c r="B67" s="3" t="inlineStr">
        <is>
          <t xml:space="preserve">JP PAPELARIA MATERIAS DE INFORMATICA LTDA </t>
        </is>
      </c>
      <c r="C67" s="3" t="inlineStr">
        <is>
          <t>CENTRO-OESTE</t>
        </is>
      </c>
      <c r="D67" s="3" t="inlineStr">
        <is>
          <t>MT</t>
        </is>
      </c>
      <c r="E67" s="3" t="inlineStr">
        <is>
          <t>Várzea Grande</t>
        </is>
      </c>
      <c r="F67" s="3" t="inlineStr">
        <is>
          <t xml:space="preserve">CRISTO REI </t>
        </is>
      </c>
      <c r="G67" s="3" t="inlineStr">
        <is>
          <t>78118048</t>
        </is>
      </c>
      <c r="H67" s="3" t="inlineStr">
        <is>
          <t>Yan Aragão</t>
        </is>
      </c>
      <c r="I67" s="3" t="inlineStr">
        <is>
          <t>Pontual</t>
        </is>
      </c>
      <c r="J67" s="2" t="n">
        <v>1747</v>
      </c>
      <c r="K67" s="3" t="inlineStr">
        <is>
          <t>Semana 4</t>
        </is>
      </c>
      <c r="L67" s="3" t="inlineStr">
        <is>
          <t>Normal</t>
        </is>
      </c>
      <c r="M67" s="3" t="inlineStr">
        <is>
          <t>chave 66</t>
        </is>
      </c>
    </row>
    <row r="68">
      <c r="A68" s="2" t="n">
        <v>67</v>
      </c>
      <c r="B68" s="3" t="inlineStr">
        <is>
          <t xml:space="preserve">M. DA GUIA FERREIRA MENDES LTDA </t>
        </is>
      </c>
      <c r="C68" s="3" t="inlineStr">
        <is>
          <t>CENTRO-OESTE</t>
        </is>
      </c>
      <c r="D68" s="3" t="inlineStr">
        <is>
          <t>MT</t>
        </is>
      </c>
      <c r="E68" s="3" t="inlineStr">
        <is>
          <t>Tangará da Serra</t>
        </is>
      </c>
      <c r="F68" s="3" t="inlineStr">
        <is>
          <t xml:space="preserve">JARDIM HORIZONTE </t>
        </is>
      </c>
      <c r="G68" s="3" t="inlineStr">
        <is>
          <t>78302116</t>
        </is>
      </c>
      <c r="H68" s="3" t="inlineStr">
        <is>
          <t>Yan Aragão</t>
        </is>
      </c>
      <c r="I68" s="3" t="inlineStr">
        <is>
          <t>Pontual</t>
        </is>
      </c>
      <c r="J68" s="2" t="n">
        <v>1747</v>
      </c>
      <c r="K68" s="3" t="inlineStr">
        <is>
          <t>Semana 4</t>
        </is>
      </c>
      <c r="L68" s="3" t="inlineStr">
        <is>
          <t>Normal</t>
        </is>
      </c>
      <c r="M68" s="3" t="inlineStr">
        <is>
          <t>chave 67</t>
        </is>
      </c>
    </row>
    <row r="69">
      <c r="A69" s="2" t="n">
        <v>68</v>
      </c>
      <c r="B69" s="3" t="inlineStr">
        <is>
          <t xml:space="preserve">PERINI FONSECA &amp; FONSECA LTDA </t>
        </is>
      </c>
      <c r="C69" s="3" t="inlineStr">
        <is>
          <t>CENTRO-OESTE</t>
        </is>
      </c>
      <c r="D69" s="3" t="inlineStr">
        <is>
          <t>MT</t>
        </is>
      </c>
      <c r="E69" s="3" t="inlineStr">
        <is>
          <t>Sapezal</t>
        </is>
      </c>
      <c r="F69" s="3" t="inlineStr">
        <is>
          <t xml:space="preserve">CENTRO </t>
        </is>
      </c>
      <c r="G69" s="3" t="inlineStr">
        <is>
          <t>78365000</t>
        </is>
      </c>
      <c r="H69" s="3" t="inlineStr">
        <is>
          <t>Yan Aragão</t>
        </is>
      </c>
      <c r="I69" s="3" t="inlineStr">
        <is>
          <t>Pontual</t>
        </is>
      </c>
      <c r="J69" s="2" t="n">
        <v>1747</v>
      </c>
      <c r="K69" s="3" t="inlineStr">
        <is>
          <t>Semana 4</t>
        </is>
      </c>
      <c r="L69" s="3" t="inlineStr">
        <is>
          <t>Normal</t>
        </is>
      </c>
      <c r="M69" s="3" t="inlineStr">
        <is>
          <t>chave 68</t>
        </is>
      </c>
    </row>
    <row r="70">
      <c r="A70" s="2" t="n">
        <v>69</v>
      </c>
      <c r="B70" s="3" t="inlineStr">
        <is>
          <t xml:space="preserve">BRASIL EMBALAGENS LTDA </t>
        </is>
      </c>
      <c r="C70" s="3" t="inlineStr">
        <is>
          <t>CENTRO-OESTE</t>
        </is>
      </c>
      <c r="D70" s="3" t="inlineStr">
        <is>
          <t>MT</t>
        </is>
      </c>
      <c r="E70" s="3" t="inlineStr">
        <is>
          <t>SINOP</t>
        </is>
      </c>
      <c r="F70" s="3" t="inlineStr">
        <is>
          <t xml:space="preserve">JARDIM DAS ITAUBAS </t>
        </is>
      </c>
      <c r="G70" s="3" t="inlineStr">
        <is>
          <t>78556732</t>
        </is>
      </c>
      <c r="H70" s="3" t="inlineStr">
        <is>
          <t>Yan Aragão</t>
        </is>
      </c>
      <c r="I70" s="3" t="inlineStr">
        <is>
          <t>Pontual</t>
        </is>
      </c>
      <c r="J70" s="2" t="n">
        <v>1747</v>
      </c>
      <c r="K70" s="3" t="inlineStr">
        <is>
          <t>Semana 4</t>
        </is>
      </c>
      <c r="L70" s="3" t="inlineStr">
        <is>
          <t>Normal</t>
        </is>
      </c>
      <c r="M70" s="3" t="inlineStr">
        <is>
          <t>chave 69</t>
        </is>
      </c>
    </row>
    <row r="71">
      <c r="A71" s="2" t="n">
        <v>70</v>
      </c>
      <c r="B71" s="3" t="inlineStr">
        <is>
          <t xml:space="preserve">V M LIVRARIA E PAPELARIA LTDA </t>
        </is>
      </c>
      <c r="C71" s="3" t="inlineStr">
        <is>
          <t>CENTRO-OESTE</t>
        </is>
      </c>
      <c r="D71" s="3" t="inlineStr">
        <is>
          <t>MT</t>
        </is>
      </c>
      <c r="E71" s="3" t="inlineStr">
        <is>
          <t>Tangará da Serra</t>
        </is>
      </c>
      <c r="F71" s="3" t="inlineStr">
        <is>
          <t xml:space="preserve">JARDIM ACACIA </t>
        </is>
      </c>
      <c r="G71" s="3" t="inlineStr">
        <is>
          <t>78300011</t>
        </is>
      </c>
      <c r="H71" s="3" t="inlineStr">
        <is>
          <t>Yan Aragão</t>
        </is>
      </c>
      <c r="I71" s="3" t="inlineStr">
        <is>
          <t>Pontual</t>
        </is>
      </c>
      <c r="J71" s="2" t="n">
        <v>1747</v>
      </c>
      <c r="K71" s="3" t="inlineStr">
        <is>
          <t>Semana 4</t>
        </is>
      </c>
      <c r="L71" s="3" t="inlineStr">
        <is>
          <t>Normal</t>
        </is>
      </c>
      <c r="M71" s="3" t="inlineStr">
        <is>
          <t>chave 70</t>
        </is>
      </c>
    </row>
    <row r="72">
      <c r="A72" s="2" t="n">
        <v>71</v>
      </c>
      <c r="B72" s="3" t="inlineStr">
        <is>
          <t xml:space="preserve">BATTUTA - COMERCIO DE PRODUTOS PROMOCIONAIS LTDA </t>
        </is>
      </c>
      <c r="C72" s="3" t="inlineStr">
        <is>
          <t>CENTRO-OESTE</t>
        </is>
      </c>
      <c r="D72" s="3" t="inlineStr">
        <is>
          <t>MT</t>
        </is>
      </c>
      <c r="E72" s="3" t="inlineStr">
        <is>
          <t>Cuiabá</t>
        </is>
      </c>
      <c r="F72" s="3" t="inlineStr">
        <is>
          <t xml:space="preserve">NOSSA SENHORA APARECIDA </t>
        </is>
      </c>
      <c r="G72" s="3" t="inlineStr">
        <is>
          <t>78090700</t>
        </is>
      </c>
      <c r="H72" s="3" t="inlineStr">
        <is>
          <t>Yan Aragão</t>
        </is>
      </c>
      <c r="I72" s="3" t="inlineStr">
        <is>
          <t>Pontual</t>
        </is>
      </c>
      <c r="J72" s="2" t="n">
        <v>1747</v>
      </c>
      <c r="K72" s="3" t="inlineStr">
        <is>
          <t>Semana 3</t>
        </is>
      </c>
      <c r="L72" s="3" t="inlineStr">
        <is>
          <t>Normal</t>
        </is>
      </c>
      <c r="M72" s="3" t="inlineStr">
        <is>
          <t>chave 71</t>
        </is>
      </c>
    </row>
    <row r="73">
      <c r="A73" s="2" t="n">
        <v>72</v>
      </c>
      <c r="B73" s="3" t="inlineStr">
        <is>
          <t xml:space="preserve">M N DE OLIVEIRA FILHO EIRELI </t>
        </is>
      </c>
      <c r="C73" s="3" t="inlineStr">
        <is>
          <t>CENTRO-OESTE</t>
        </is>
      </c>
      <c r="D73" s="3" t="inlineStr">
        <is>
          <t>MT</t>
        </is>
      </c>
      <c r="E73" s="3" t="inlineStr">
        <is>
          <t>Rondonópolis</t>
        </is>
      </c>
      <c r="F73" s="3" t="inlineStr">
        <is>
          <t xml:space="preserve">CENTRO </t>
        </is>
      </c>
      <c r="G73" s="3" t="inlineStr">
        <is>
          <t>78700050</t>
        </is>
      </c>
      <c r="H73" s="3" t="inlineStr">
        <is>
          <t>Yan Aragão</t>
        </is>
      </c>
      <c r="I73" s="3" t="inlineStr">
        <is>
          <t>Pontual</t>
        </is>
      </c>
      <c r="J73" s="2" t="n">
        <v>1747</v>
      </c>
      <c r="K73" s="3" t="inlineStr">
        <is>
          <t>Semana 3</t>
        </is>
      </c>
      <c r="L73" s="3" t="inlineStr">
        <is>
          <t>Normal</t>
        </is>
      </c>
      <c r="M73" s="3" t="inlineStr">
        <is>
          <t>chave 72</t>
        </is>
      </c>
    </row>
    <row r="74">
      <c r="A74" s="2" t="n">
        <v>73</v>
      </c>
      <c r="B74" s="3" t="inlineStr">
        <is>
          <t xml:space="preserve">CARLOS ANTONIO FERREIRA LTDA </t>
        </is>
      </c>
      <c r="C74" s="3" t="inlineStr">
        <is>
          <t>CENTRO-OESTE</t>
        </is>
      </c>
      <c r="D74" s="3" t="inlineStr">
        <is>
          <t>MT</t>
        </is>
      </c>
      <c r="E74" s="3" t="inlineStr">
        <is>
          <t>Paranatinga</t>
        </is>
      </c>
      <c r="F74" s="3" t="inlineStr">
        <is>
          <t xml:space="preserve">CENTRO </t>
        </is>
      </c>
      <c r="G74" s="3" t="inlineStr">
        <is>
          <t>78870000</t>
        </is>
      </c>
      <c r="H74" s="3" t="inlineStr">
        <is>
          <t>Yan Aragão</t>
        </is>
      </c>
      <c r="I74" s="3" t="inlineStr">
        <is>
          <t>Pontual</t>
        </is>
      </c>
      <c r="J74" s="2" t="n">
        <v>1747</v>
      </c>
      <c r="K74" s="3" t="inlineStr">
        <is>
          <t>Semana 3</t>
        </is>
      </c>
      <c r="L74" s="3" t="inlineStr">
        <is>
          <t>Normal</t>
        </is>
      </c>
      <c r="M74" s="3" t="inlineStr">
        <is>
          <t>chave 73</t>
        </is>
      </c>
    </row>
    <row r="75">
      <c r="A75" s="2" t="n">
        <v>74</v>
      </c>
      <c r="B75" s="3" t="inlineStr">
        <is>
          <t xml:space="preserve">COMERCIAL DE EMBALAGENS DESCARTAVEIS E FESTAS LTDA </t>
        </is>
      </c>
      <c r="C75" s="3" t="inlineStr">
        <is>
          <t>NORDESTE</t>
        </is>
      </c>
      <c r="D75" s="3" t="inlineStr">
        <is>
          <t>AL</t>
        </is>
      </c>
      <c r="E75" s="3" t="inlineStr">
        <is>
          <t>Maceió</t>
        </is>
      </c>
      <c r="F75" s="3" t="inlineStr">
        <is>
          <t xml:space="preserve">JATIUCA </t>
        </is>
      </c>
      <c r="G75" s="3" t="inlineStr">
        <is>
          <t>57035420</t>
        </is>
      </c>
      <c r="H75" s="3" t="inlineStr">
        <is>
          <t>Rodrigo</t>
        </is>
      </c>
      <c r="I75" s="3" t="inlineStr">
        <is>
          <t>Pontual</t>
        </is>
      </c>
      <c r="J75" s="2" t="n">
        <v>201</v>
      </c>
      <c r="K75" s="3" t="inlineStr">
        <is>
          <t>Semana 1</t>
        </is>
      </c>
      <c r="L75" s="3" t="inlineStr">
        <is>
          <t>Normal</t>
        </is>
      </c>
      <c r="M75" s="3" t="inlineStr">
        <is>
          <t>chave 74</t>
        </is>
      </c>
    </row>
    <row r="76">
      <c r="A76" s="2" t="n">
        <v>75</v>
      </c>
      <c r="B76" s="3" t="inlineStr">
        <is>
          <t xml:space="preserve">N J DOS SANTOS SILVA </t>
        </is>
      </c>
      <c r="C76" s="3" t="inlineStr">
        <is>
          <t>NORDESTE</t>
        </is>
      </c>
      <c r="D76" s="3" t="inlineStr">
        <is>
          <t>AL</t>
        </is>
      </c>
      <c r="E76" s="3" t="inlineStr">
        <is>
          <t>SANTANA DO IPANEMA</t>
        </is>
      </c>
      <c r="F76" s="3" t="inlineStr">
        <is>
          <t xml:space="preserve">CENTRO </t>
        </is>
      </c>
      <c r="G76" s="3" t="inlineStr">
        <is>
          <t>57500000</t>
        </is>
      </c>
      <c r="H76" s="3" t="inlineStr">
        <is>
          <t>Rodrigo</t>
        </is>
      </c>
      <c r="I76" s="3" t="inlineStr">
        <is>
          <t>Pontual</t>
        </is>
      </c>
      <c r="J76" s="2" t="n">
        <v>201</v>
      </c>
      <c r="K76" s="3" t="inlineStr">
        <is>
          <t>Semana 1</t>
        </is>
      </c>
      <c r="L76" s="3" t="inlineStr">
        <is>
          <t>Normal</t>
        </is>
      </c>
      <c r="M76" s="3" t="inlineStr">
        <is>
          <t>chave 75</t>
        </is>
      </c>
    </row>
    <row r="77">
      <c r="A77" s="2" t="n">
        <v>76</v>
      </c>
      <c r="B77" s="3" t="inlineStr">
        <is>
          <t xml:space="preserve">MACHADO ARMARINHOS LTDA </t>
        </is>
      </c>
      <c r="C77" s="3" t="inlineStr">
        <is>
          <t>NORDESTE</t>
        </is>
      </c>
      <c r="D77" s="3" t="inlineStr">
        <is>
          <t>AL</t>
        </is>
      </c>
      <c r="E77" s="3" t="inlineStr">
        <is>
          <t>Palmeira dos Índios</t>
        </is>
      </c>
      <c r="F77" s="3" t="inlineStr">
        <is>
          <t xml:space="preserve">GRACILIANO RAMOS </t>
        </is>
      </c>
      <c r="G77" s="3" t="inlineStr">
        <is>
          <t>57604595</t>
        </is>
      </c>
      <c r="H77" s="3" t="inlineStr">
        <is>
          <t>Rodrigo</t>
        </is>
      </c>
      <c r="I77" s="3" t="inlineStr">
        <is>
          <t>Pontual</t>
        </is>
      </c>
      <c r="J77" s="2" t="n">
        <v>201</v>
      </c>
      <c r="K77" s="3" t="inlineStr">
        <is>
          <t>Semana 1</t>
        </is>
      </c>
      <c r="L77" s="3" t="inlineStr">
        <is>
          <t>Normal</t>
        </is>
      </c>
      <c r="M77" s="3" t="inlineStr">
        <is>
          <t>chave 76</t>
        </is>
      </c>
    </row>
    <row r="78">
      <c r="A78" s="2" t="n">
        <v>77</v>
      </c>
      <c r="B78" s="3" t="inlineStr">
        <is>
          <t xml:space="preserve">GENIVALDO DA COSTA QUINTINO </t>
        </is>
      </c>
      <c r="C78" s="3" t="inlineStr">
        <is>
          <t>NORDESTE</t>
        </is>
      </c>
      <c r="D78" s="3" t="inlineStr">
        <is>
          <t>AL</t>
        </is>
      </c>
      <c r="E78" s="3" t="inlineStr">
        <is>
          <t>ARAPIRACA</t>
        </is>
      </c>
      <c r="F78" s="3" t="inlineStr">
        <is>
          <t xml:space="preserve">CENTRO </t>
        </is>
      </c>
      <c r="G78" s="3" t="inlineStr">
        <is>
          <t>57300005</t>
        </is>
      </c>
      <c r="H78" s="3" t="inlineStr">
        <is>
          <t>Rodrigo</t>
        </is>
      </c>
      <c r="I78" s="3" t="inlineStr">
        <is>
          <t>Pontual</t>
        </is>
      </c>
      <c r="J78" s="2" t="n">
        <v>201</v>
      </c>
      <c r="K78" s="3" t="inlineStr">
        <is>
          <t>Semana 1</t>
        </is>
      </c>
      <c r="L78" s="3" t="inlineStr">
        <is>
          <t>Normal</t>
        </is>
      </c>
      <c r="M78" s="3" t="inlineStr">
        <is>
          <t>chave 77</t>
        </is>
      </c>
    </row>
    <row r="79">
      <c r="A79" s="2" t="n">
        <v>78</v>
      </c>
      <c r="B79" s="3" t="inlineStr">
        <is>
          <t xml:space="preserve">LIVRARIA E PAPELARIA CENTRAL LTDA </t>
        </is>
      </c>
      <c r="C79" s="3" t="inlineStr">
        <is>
          <t>NORDESTE</t>
        </is>
      </c>
      <c r="D79" s="3" t="inlineStr">
        <is>
          <t>AL</t>
        </is>
      </c>
      <c r="E79" s="3" t="inlineStr">
        <is>
          <t>ARAPIRACA</t>
        </is>
      </c>
      <c r="F79" s="3" t="inlineStr">
        <is>
          <t xml:space="preserve">CENTRO </t>
        </is>
      </c>
      <c r="G79" s="3" t="inlineStr">
        <is>
          <t>57300310</t>
        </is>
      </c>
      <c r="H79" s="3" t="inlineStr">
        <is>
          <t>Rodrigo</t>
        </is>
      </c>
      <c r="I79" s="3" t="inlineStr">
        <is>
          <t>Pontual</t>
        </is>
      </c>
      <c r="J79" s="2" t="n">
        <v>201</v>
      </c>
      <c r="K79" s="3" t="inlineStr">
        <is>
          <t>Semana 1</t>
        </is>
      </c>
      <c r="L79" s="3" t="inlineStr">
        <is>
          <t>Normal</t>
        </is>
      </c>
      <c r="M79" s="3" t="inlineStr">
        <is>
          <t>chave 78</t>
        </is>
      </c>
    </row>
    <row r="80">
      <c r="A80" s="2" t="n">
        <v>79</v>
      </c>
      <c r="B80" s="3" t="inlineStr">
        <is>
          <t xml:space="preserve">MERCADAO DAS MIUDEZAS E PAPELARIA LTDA </t>
        </is>
      </c>
      <c r="C80" s="3" t="inlineStr">
        <is>
          <t>NORDESTE</t>
        </is>
      </c>
      <c r="D80" s="3" t="inlineStr">
        <is>
          <t>AL</t>
        </is>
      </c>
      <c r="E80" s="3" t="inlineStr">
        <is>
          <t>Maceió</t>
        </is>
      </c>
      <c r="F80" s="3" t="inlineStr">
        <is>
          <t xml:space="preserve">CENTRO </t>
        </is>
      </c>
      <c r="G80" s="3" t="inlineStr">
        <is>
          <t>57020220</t>
        </is>
      </c>
      <c r="H80" s="3" t="inlineStr">
        <is>
          <t>Rodrigo</t>
        </is>
      </c>
      <c r="I80" s="3" t="inlineStr">
        <is>
          <t>Pontual</t>
        </is>
      </c>
      <c r="J80" s="2" t="n">
        <v>201</v>
      </c>
      <c r="K80" s="3" t="inlineStr">
        <is>
          <t>Semana 1</t>
        </is>
      </c>
      <c r="L80" s="3" t="inlineStr">
        <is>
          <t>Normal</t>
        </is>
      </c>
      <c r="M80" s="3" t="inlineStr">
        <is>
          <t>chave 79</t>
        </is>
      </c>
    </row>
    <row r="81">
      <c r="A81" s="2" t="n">
        <v>80</v>
      </c>
      <c r="B81" s="3" t="inlineStr">
        <is>
          <t xml:space="preserve">PAPEL CENTRAL LTDA </t>
        </is>
      </c>
      <c r="C81" s="3" t="inlineStr">
        <is>
          <t>NORDESTE</t>
        </is>
      </c>
      <c r="D81" s="3" t="inlineStr">
        <is>
          <t>AL</t>
        </is>
      </c>
      <c r="E81" s="3" t="inlineStr">
        <is>
          <t>Maceió</t>
        </is>
      </c>
      <c r="F81" s="3" t="inlineStr">
        <is>
          <t xml:space="preserve">CENTRO </t>
        </is>
      </c>
      <c r="G81" s="3" t="inlineStr">
        <is>
          <t>57020110</t>
        </is>
      </c>
      <c r="H81" s="3" t="inlineStr">
        <is>
          <t>Rodrigo</t>
        </is>
      </c>
      <c r="I81" s="3" t="inlineStr">
        <is>
          <t>Pontual</t>
        </is>
      </c>
      <c r="J81" s="2" t="n">
        <v>201</v>
      </c>
      <c r="K81" s="3" t="inlineStr">
        <is>
          <t>Semana 1</t>
        </is>
      </c>
      <c r="L81" s="3" t="inlineStr">
        <is>
          <t>Normal</t>
        </is>
      </c>
      <c r="M81" s="3" t="inlineStr">
        <is>
          <t>chave 80</t>
        </is>
      </c>
    </row>
    <row r="82">
      <c r="A82" s="2" t="n">
        <v>81</v>
      </c>
      <c r="B82" s="3" t="inlineStr">
        <is>
          <t xml:space="preserve">VASSOURAS ELO LTDA </t>
        </is>
      </c>
      <c r="C82" s="3" t="inlineStr">
        <is>
          <t>NORDESTE</t>
        </is>
      </c>
      <c r="D82" s="3" t="inlineStr">
        <is>
          <t>AL</t>
        </is>
      </c>
      <c r="E82" s="3" t="inlineStr">
        <is>
          <t>RIO LARGO</t>
        </is>
      </c>
      <c r="F82" s="3" t="inlineStr">
        <is>
          <t xml:space="preserve">PREF.ANTONIO LINS DE SOUZA </t>
        </is>
      </c>
      <c r="G82" s="3" t="inlineStr">
        <is>
          <t>57100000</t>
        </is>
      </c>
      <c r="H82" s="3" t="inlineStr">
        <is>
          <t>Rodrigo</t>
        </is>
      </c>
      <c r="I82" s="3" t="inlineStr">
        <is>
          <t>Pontual</t>
        </is>
      </c>
      <c r="J82" s="2" t="n">
        <v>201</v>
      </c>
      <c r="K82" s="3" t="inlineStr">
        <is>
          <t>Semana 1</t>
        </is>
      </c>
      <c r="L82" s="3" t="inlineStr">
        <is>
          <t>Normal</t>
        </is>
      </c>
      <c r="M82" s="3" t="inlineStr">
        <is>
          <t>chave 81</t>
        </is>
      </c>
    </row>
    <row r="83">
      <c r="A83" s="2" t="n">
        <v>82</v>
      </c>
      <c r="B83" s="3" t="inlineStr">
        <is>
          <t xml:space="preserve">A Q ABREU &amp; CIA LTDA </t>
        </is>
      </c>
      <c r="C83" s="3" t="inlineStr">
        <is>
          <t>NORDESTE</t>
        </is>
      </c>
      <c r="D83" s="3" t="inlineStr">
        <is>
          <t>AL</t>
        </is>
      </c>
      <c r="E83" s="3" t="inlineStr">
        <is>
          <t>Olho d'Água das Flores</t>
        </is>
      </c>
      <c r="F83" s="3" t="inlineStr">
        <is>
          <t xml:space="preserve">CENTRO </t>
        </is>
      </c>
      <c r="G83" s="3" t="inlineStr">
        <is>
          <t>57442000</t>
        </is>
      </c>
      <c r="H83" s="3" t="inlineStr">
        <is>
          <t>Rodrigo</t>
        </is>
      </c>
      <c r="I83" s="3" t="inlineStr">
        <is>
          <t>Pontual</t>
        </is>
      </c>
      <c r="J83" s="2" t="n">
        <v>201</v>
      </c>
      <c r="K83" s="3" t="inlineStr">
        <is>
          <t>Semana 1</t>
        </is>
      </c>
      <c r="L83" s="3" t="inlineStr">
        <is>
          <t>Normal</t>
        </is>
      </c>
      <c r="M83" s="3" t="inlineStr">
        <is>
          <t>chave 82</t>
        </is>
      </c>
    </row>
    <row r="84">
      <c r="A84" s="2" t="n">
        <v>83</v>
      </c>
      <c r="B84" s="3" t="inlineStr">
        <is>
          <t xml:space="preserve">ALAN ALVES COSTA </t>
        </is>
      </c>
      <c r="C84" s="3" t="inlineStr">
        <is>
          <t>NORDESTE</t>
        </is>
      </c>
      <c r="D84" s="3" t="inlineStr">
        <is>
          <t>AL</t>
        </is>
      </c>
      <c r="E84" s="3" t="inlineStr">
        <is>
          <t>ARAPIRACA</t>
        </is>
      </c>
      <c r="F84" s="3" t="inlineStr">
        <is>
          <t xml:space="preserve">CENTRO </t>
        </is>
      </c>
      <c r="G84" s="3" t="inlineStr">
        <is>
          <t>57300210</t>
        </is>
      </c>
      <c r="H84" s="3" t="inlineStr">
        <is>
          <t>Rodrigo</t>
        </is>
      </c>
      <c r="I84" s="3" t="inlineStr">
        <is>
          <t>Pontual</t>
        </is>
      </c>
      <c r="J84" s="2" t="n">
        <v>201</v>
      </c>
      <c r="K84" s="3" t="inlineStr">
        <is>
          <t>Semana 1</t>
        </is>
      </c>
      <c r="L84" s="3" t="inlineStr">
        <is>
          <t>Normal</t>
        </is>
      </c>
      <c r="M84" s="3" t="inlineStr">
        <is>
          <t>chave 83</t>
        </is>
      </c>
    </row>
    <row r="85">
      <c r="A85" s="2" t="n">
        <v>84</v>
      </c>
      <c r="B85" s="3" t="inlineStr">
        <is>
          <t xml:space="preserve">T &amp; S INFORMATICA LTDA </t>
        </is>
      </c>
      <c r="C85" s="3" t="inlineStr">
        <is>
          <t>NORDESTE</t>
        </is>
      </c>
      <c r="D85" s="3" t="inlineStr">
        <is>
          <t>AL</t>
        </is>
      </c>
      <c r="E85" s="3" t="inlineStr">
        <is>
          <t>DELMIRO GOUVEIA</t>
        </is>
      </c>
      <c r="F85" s="3" t="inlineStr">
        <is>
          <t xml:space="preserve">CENTRO </t>
        </is>
      </c>
      <c r="G85" s="3" t="inlineStr">
        <is>
          <t>57480000</t>
        </is>
      </c>
      <c r="H85" s="3" t="inlineStr">
        <is>
          <t>Rodrigo</t>
        </is>
      </c>
      <c r="I85" s="3" t="inlineStr">
        <is>
          <t>Pontual</t>
        </is>
      </c>
      <c r="J85" s="2" t="n">
        <v>201</v>
      </c>
      <c r="K85" s="3" t="inlineStr">
        <is>
          <t>Semana 1</t>
        </is>
      </c>
      <c r="L85" s="3" t="inlineStr">
        <is>
          <t>Normal</t>
        </is>
      </c>
      <c r="M85" s="3" t="inlineStr">
        <is>
          <t>chave 84</t>
        </is>
      </c>
    </row>
    <row r="86">
      <c r="A86" s="2" t="n">
        <v>85</v>
      </c>
      <c r="B86" s="3" t="inlineStr">
        <is>
          <t xml:space="preserve">M DE MELLO SILVA LTDA </t>
        </is>
      </c>
      <c r="C86" s="3" t="inlineStr">
        <is>
          <t>NORDESTE</t>
        </is>
      </c>
      <c r="D86" s="3" t="inlineStr">
        <is>
          <t>AL</t>
        </is>
      </c>
      <c r="E86" s="3" t="inlineStr">
        <is>
          <t>Palmeira dos Índios</t>
        </is>
      </c>
      <c r="F86" s="3" t="inlineStr">
        <is>
          <t xml:space="preserve">CENTRO </t>
        </is>
      </c>
      <c r="G86" s="3" t="inlineStr">
        <is>
          <t>57600330</t>
        </is>
      </c>
      <c r="H86" s="3" t="inlineStr">
        <is>
          <t>Rodrigo</t>
        </is>
      </c>
      <c r="I86" s="3" t="inlineStr">
        <is>
          <t>Pontual</t>
        </is>
      </c>
      <c r="J86" s="2" t="n">
        <v>201</v>
      </c>
      <c r="K86" s="3" t="inlineStr">
        <is>
          <t>Semana 1</t>
        </is>
      </c>
      <c r="L86" s="3" t="inlineStr">
        <is>
          <t>Normal</t>
        </is>
      </c>
      <c r="M86" s="3" t="inlineStr">
        <is>
          <t>chave 85</t>
        </is>
      </c>
    </row>
    <row r="87">
      <c r="A87" s="2" t="n">
        <v>86</v>
      </c>
      <c r="B87" s="3" t="inlineStr">
        <is>
          <t xml:space="preserve">L MARQUES PORTELLA LTDA </t>
        </is>
      </c>
      <c r="C87" s="3" t="inlineStr">
        <is>
          <t>NORDESTE</t>
        </is>
      </c>
      <c r="D87" s="3" t="inlineStr">
        <is>
          <t>AL</t>
        </is>
      </c>
      <c r="E87" s="3" t="inlineStr">
        <is>
          <t>Maceió</t>
        </is>
      </c>
      <c r="F87" s="3" t="inlineStr">
        <is>
          <t xml:space="preserve">GRUTA DE LOURDES </t>
        </is>
      </c>
      <c r="G87" s="3" t="inlineStr">
        <is>
          <t>57052675</t>
        </is>
      </c>
      <c r="H87" s="3" t="inlineStr">
        <is>
          <t>Rodrigo</t>
        </is>
      </c>
      <c r="I87" s="3" t="inlineStr">
        <is>
          <t>Pontual</t>
        </is>
      </c>
      <c r="J87" s="2" t="n">
        <v>201</v>
      </c>
      <c r="K87" s="3" t="inlineStr">
        <is>
          <t>Semana 1</t>
        </is>
      </c>
      <c r="L87" s="3" t="inlineStr">
        <is>
          <t>Normal</t>
        </is>
      </c>
      <c r="M87" s="3" t="inlineStr">
        <is>
          <t>chave 86</t>
        </is>
      </c>
    </row>
    <row r="88">
      <c r="A88" s="2" t="n">
        <v>87</v>
      </c>
      <c r="B88" s="3" t="inlineStr">
        <is>
          <t xml:space="preserve">OSVALDO J DOS SANTOS ARMARINHO </t>
        </is>
      </c>
      <c r="C88" s="3" t="inlineStr">
        <is>
          <t>NORDESTE</t>
        </is>
      </c>
      <c r="D88" s="3" t="inlineStr">
        <is>
          <t>AL</t>
        </is>
      </c>
      <c r="E88" s="3" t="inlineStr">
        <is>
          <t>Teotônio Vilela</t>
        </is>
      </c>
      <c r="F88" s="3" t="inlineStr">
        <is>
          <t xml:space="preserve">CENTRO </t>
        </is>
      </c>
      <c r="G88" s="3" t="inlineStr">
        <is>
          <t>57265120</t>
        </is>
      </c>
      <c r="H88" s="3" t="inlineStr">
        <is>
          <t>Rodrigo</t>
        </is>
      </c>
      <c r="I88" s="3" t="inlineStr">
        <is>
          <t>Pontual</t>
        </is>
      </c>
      <c r="J88" s="2" t="n">
        <v>201</v>
      </c>
      <c r="K88" s="3" t="inlineStr">
        <is>
          <t>Semana 1</t>
        </is>
      </c>
      <c r="L88" s="3" t="inlineStr">
        <is>
          <t>Normal</t>
        </is>
      </c>
      <c r="M88" s="3" t="inlineStr">
        <is>
          <t>chave 87</t>
        </is>
      </c>
    </row>
    <row r="89">
      <c r="A89" s="2" t="n">
        <v>88</v>
      </c>
      <c r="B89" s="3" t="inlineStr">
        <is>
          <t xml:space="preserve">ARNALDO ANDRADE DA SILVA </t>
        </is>
      </c>
      <c r="C89" s="3" t="inlineStr">
        <is>
          <t>NORDESTE</t>
        </is>
      </c>
      <c r="D89" s="3" t="inlineStr">
        <is>
          <t>AL</t>
        </is>
      </c>
      <c r="E89" s="3" t="inlineStr">
        <is>
          <t>São José da Tapera</t>
        </is>
      </c>
      <c r="F89" s="3" t="inlineStr">
        <is>
          <t xml:space="preserve">CENTRO </t>
        </is>
      </c>
      <c r="G89" s="3" t="inlineStr">
        <is>
          <t>57445000</t>
        </is>
      </c>
      <c r="H89" s="3" t="inlineStr">
        <is>
          <t>Rodrigo</t>
        </is>
      </c>
      <c r="I89" s="3" t="inlineStr">
        <is>
          <t>Pontual</t>
        </is>
      </c>
      <c r="J89" s="2" t="n">
        <v>201</v>
      </c>
      <c r="K89" s="3" t="inlineStr">
        <is>
          <t>Semana 1</t>
        </is>
      </c>
      <c r="L89" s="3" t="inlineStr">
        <is>
          <t>Normal</t>
        </is>
      </c>
      <c r="M89" s="3" t="inlineStr">
        <is>
          <t>chave 88</t>
        </is>
      </c>
    </row>
    <row r="90">
      <c r="A90" s="2" t="n">
        <v>89</v>
      </c>
      <c r="B90" s="3" t="inlineStr">
        <is>
          <t xml:space="preserve">SUPERMERCADO COMPRE BEM LTDA </t>
        </is>
      </c>
      <c r="C90" s="3" t="inlineStr">
        <is>
          <t>NORDESTE</t>
        </is>
      </c>
      <c r="D90" s="3" t="inlineStr">
        <is>
          <t>AL</t>
        </is>
      </c>
      <c r="E90" s="3" t="inlineStr">
        <is>
          <t>Viçosa</t>
        </is>
      </c>
      <c r="F90" s="3" t="inlineStr">
        <is>
          <t xml:space="preserve">CENTRO </t>
        </is>
      </c>
      <c r="G90" s="3" t="inlineStr">
        <is>
          <t>57700000</t>
        </is>
      </c>
      <c r="H90" s="3" t="inlineStr">
        <is>
          <t>Rodrigo</t>
        </is>
      </c>
      <c r="I90" s="3" t="inlineStr">
        <is>
          <t>Pontual</t>
        </is>
      </c>
      <c r="J90" s="2" t="n">
        <v>201</v>
      </c>
      <c r="K90" s="3" t="inlineStr">
        <is>
          <t>Semana 1</t>
        </is>
      </c>
      <c r="L90" s="3" t="inlineStr">
        <is>
          <t>Normal</t>
        </is>
      </c>
      <c r="M90" s="3" t="inlineStr">
        <is>
          <t>chave 89</t>
        </is>
      </c>
    </row>
    <row r="91">
      <c r="A91" s="2" t="n">
        <v>90</v>
      </c>
      <c r="B91" s="3" t="inlineStr">
        <is>
          <t xml:space="preserve">PAPELARIA CASA DA COPIA LTDA </t>
        </is>
      </c>
      <c r="C91" s="3" t="inlineStr">
        <is>
          <t>NORDESTE</t>
        </is>
      </c>
      <c r="D91" s="3" t="inlineStr">
        <is>
          <t>AL</t>
        </is>
      </c>
      <c r="E91" s="3" t="inlineStr">
        <is>
          <t>DELMIRO GOUVEIA</t>
        </is>
      </c>
      <c r="F91" s="3" t="inlineStr">
        <is>
          <t xml:space="preserve">CENTRO </t>
        </is>
      </c>
      <c r="G91" s="3" t="inlineStr">
        <is>
          <t>57480000</t>
        </is>
      </c>
      <c r="H91" s="3" t="inlineStr">
        <is>
          <t>Rodrigo</t>
        </is>
      </c>
      <c r="I91" s="3" t="inlineStr">
        <is>
          <t>Pontual</t>
        </is>
      </c>
      <c r="J91" s="2" t="n">
        <v>201</v>
      </c>
      <c r="K91" s="3" t="inlineStr">
        <is>
          <t>Semana 1</t>
        </is>
      </c>
      <c r="L91" s="3" t="inlineStr">
        <is>
          <t>Normal</t>
        </is>
      </c>
      <c r="M91" s="3" t="inlineStr">
        <is>
          <t>chave 90</t>
        </is>
      </c>
    </row>
    <row r="92">
      <c r="A92" s="2" t="n">
        <v>91</v>
      </c>
      <c r="B92" s="3" t="inlineStr">
        <is>
          <t xml:space="preserve">MARIA V L DE ARAUJO </t>
        </is>
      </c>
      <c r="C92" s="3" t="inlineStr">
        <is>
          <t>NORDESTE</t>
        </is>
      </c>
      <c r="D92" s="3" t="inlineStr">
        <is>
          <t>AL</t>
        </is>
      </c>
      <c r="E92" s="3" t="inlineStr">
        <is>
          <t>Viçosa</t>
        </is>
      </c>
      <c r="F92" s="3" t="inlineStr">
        <is>
          <t xml:space="preserve">CENTRO </t>
        </is>
      </c>
      <c r="G92" s="3" t="inlineStr">
        <is>
          <t>57700000</t>
        </is>
      </c>
      <c r="H92" s="3" t="inlineStr">
        <is>
          <t>Rodrigo</t>
        </is>
      </c>
      <c r="I92" s="3" t="inlineStr">
        <is>
          <t>Pontual</t>
        </is>
      </c>
      <c r="J92" s="2" t="n">
        <v>201</v>
      </c>
      <c r="K92" s="3" t="inlineStr">
        <is>
          <t>Semana 1</t>
        </is>
      </c>
      <c r="L92" s="3" t="inlineStr">
        <is>
          <t>Normal</t>
        </is>
      </c>
      <c r="M92" s="3" t="inlineStr">
        <is>
          <t>chave 91</t>
        </is>
      </c>
    </row>
    <row r="93">
      <c r="A93" s="2" t="n">
        <v>92</v>
      </c>
      <c r="B93" s="3" t="inlineStr">
        <is>
          <t xml:space="preserve">VERA LUCIA PEREIRA SOUZA </t>
        </is>
      </c>
      <c r="C93" s="3" t="inlineStr">
        <is>
          <t>NORDESTE</t>
        </is>
      </c>
      <c r="D93" s="3" t="inlineStr">
        <is>
          <t>AL</t>
        </is>
      </c>
      <c r="E93" s="3" t="inlineStr">
        <is>
          <t>ARAPIRACA</t>
        </is>
      </c>
      <c r="F93" s="3" t="inlineStr">
        <is>
          <t xml:space="preserve">CENTRO </t>
        </is>
      </c>
      <c r="G93" s="3" t="inlineStr">
        <is>
          <t>57300620</t>
        </is>
      </c>
      <c r="H93" s="3" t="inlineStr">
        <is>
          <t>Rodrigo</t>
        </is>
      </c>
      <c r="I93" s="3" t="inlineStr">
        <is>
          <t>Pontual</t>
        </is>
      </c>
      <c r="J93" s="2" t="n">
        <v>201</v>
      </c>
      <c r="K93" s="3" t="inlineStr">
        <is>
          <t>Semana 1</t>
        </is>
      </c>
      <c r="L93" s="3" t="inlineStr">
        <is>
          <t>Normal</t>
        </is>
      </c>
      <c r="M93" s="3" t="inlineStr">
        <is>
          <t>chave 92</t>
        </is>
      </c>
    </row>
    <row r="94">
      <c r="A94" s="2" t="n">
        <v>93</v>
      </c>
      <c r="B94" s="3" t="inlineStr">
        <is>
          <t xml:space="preserve">COMERCIAL DE FERRAGENS SAO LUIS LTDA </t>
        </is>
      </c>
      <c r="C94" s="3" t="inlineStr">
        <is>
          <t>NORDESTE</t>
        </is>
      </c>
      <c r="D94" s="3" t="inlineStr">
        <is>
          <t>BA</t>
        </is>
      </c>
      <c r="E94" s="3" t="inlineStr">
        <is>
          <t>Santo Antônio de Jesus</t>
        </is>
      </c>
      <c r="F94" s="3" t="inlineStr">
        <is>
          <t xml:space="preserve">CENTRO </t>
        </is>
      </c>
      <c r="G94" s="3" t="inlineStr">
        <is>
          <t>44430116</t>
        </is>
      </c>
      <c r="H94" s="3" t="inlineStr">
        <is>
          <t>Rodrigo</t>
        </is>
      </c>
      <c r="I94" s="3" t="inlineStr">
        <is>
          <t>Pontual</t>
        </is>
      </c>
      <c r="J94" s="2" t="n">
        <v>675</v>
      </c>
      <c r="K94" s="3" t="inlineStr">
        <is>
          <t>Semana 2</t>
        </is>
      </c>
      <c r="L94" s="3" t="inlineStr">
        <is>
          <t>Normal</t>
        </is>
      </c>
      <c r="M94" s="3" t="inlineStr">
        <is>
          <t>chave 93</t>
        </is>
      </c>
    </row>
    <row r="95">
      <c r="A95" s="2" t="n">
        <v>94</v>
      </c>
      <c r="B95" s="3" t="inlineStr">
        <is>
          <t xml:space="preserve">D.N. PAPELARIA E INFORMATICA LTDA </t>
        </is>
      </c>
      <c r="C95" s="3" t="inlineStr">
        <is>
          <t>NORDESTE</t>
        </is>
      </c>
      <c r="D95" s="3" t="inlineStr">
        <is>
          <t>BA</t>
        </is>
      </c>
      <c r="E95" s="3" t="inlineStr">
        <is>
          <t>Santo Antônio de Jesus</t>
        </is>
      </c>
      <c r="F95" s="3" t="inlineStr">
        <is>
          <t xml:space="preserve">BARRO VERMELHO </t>
        </is>
      </c>
      <c r="G95" s="3" t="inlineStr">
        <is>
          <t>44437068</t>
        </is>
      </c>
      <c r="H95" s="3" t="inlineStr">
        <is>
          <t>Rodrigo</t>
        </is>
      </c>
      <c r="I95" s="3" t="inlineStr">
        <is>
          <t>Pontual</t>
        </is>
      </c>
      <c r="J95" s="2" t="n">
        <v>675</v>
      </c>
      <c r="K95" s="3" t="inlineStr">
        <is>
          <t>Semana 2</t>
        </is>
      </c>
      <c r="L95" s="3" t="inlineStr">
        <is>
          <t>Normal</t>
        </is>
      </c>
      <c r="M95" s="3" t="inlineStr">
        <is>
          <t>chave 94</t>
        </is>
      </c>
    </row>
    <row r="96">
      <c r="A96" s="2" t="n">
        <v>95</v>
      </c>
      <c r="B96" s="3" t="inlineStr">
        <is>
          <t xml:space="preserve">PAPELARIA E LIVRARIA MONALIZA LTDA </t>
        </is>
      </c>
      <c r="C96" s="3" t="inlineStr">
        <is>
          <t>NORDESTE</t>
        </is>
      </c>
      <c r="D96" s="3" t="inlineStr">
        <is>
          <t>BA</t>
        </is>
      </c>
      <c r="E96" s="3" t="inlineStr">
        <is>
          <t>Irecê</t>
        </is>
      </c>
      <c r="F96" s="3" t="inlineStr">
        <is>
          <t xml:space="preserve">CENTRO </t>
        </is>
      </c>
      <c r="G96" s="3" t="inlineStr">
        <is>
          <t>44900000</t>
        </is>
      </c>
      <c r="H96" s="3" t="inlineStr">
        <is>
          <t>Rodrigo</t>
        </is>
      </c>
      <c r="I96" s="3" t="inlineStr">
        <is>
          <t>Pontual</t>
        </is>
      </c>
      <c r="J96" s="2" t="n">
        <v>675</v>
      </c>
      <c r="K96" s="3" t="inlineStr">
        <is>
          <t>Semana 2</t>
        </is>
      </c>
      <c r="L96" s="3" t="inlineStr">
        <is>
          <t>Normal</t>
        </is>
      </c>
      <c r="M96" s="3" t="inlineStr">
        <is>
          <t>chave 95</t>
        </is>
      </c>
    </row>
    <row r="97">
      <c r="A97" s="2" t="n">
        <v>96</v>
      </c>
      <c r="B97" s="3" t="inlineStr">
        <is>
          <t xml:space="preserve">PAPELARIA EXTREMO SUL LTDA </t>
        </is>
      </c>
      <c r="C97" s="3" t="inlineStr">
        <is>
          <t>NORDESTE</t>
        </is>
      </c>
      <c r="D97" s="3" t="inlineStr">
        <is>
          <t>BA</t>
        </is>
      </c>
      <c r="E97" s="3" t="inlineStr">
        <is>
          <t>PORTO SEGURO</t>
        </is>
      </c>
      <c r="F97" s="3" t="inlineStr">
        <is>
          <t xml:space="preserve">CENTRO </t>
        </is>
      </c>
      <c r="G97" s="3" t="inlineStr">
        <is>
          <t>45810000</t>
        </is>
      </c>
      <c r="H97" s="3" t="inlineStr">
        <is>
          <t>Rodrigo</t>
        </is>
      </c>
      <c r="I97" s="3" t="inlineStr">
        <is>
          <t>Pontual</t>
        </is>
      </c>
      <c r="J97" s="2" t="n">
        <v>675</v>
      </c>
      <c r="K97" s="3" t="inlineStr">
        <is>
          <t>Semana 2</t>
        </is>
      </c>
      <c r="L97" s="3" t="inlineStr">
        <is>
          <t>Normal</t>
        </is>
      </c>
      <c r="M97" s="3" t="inlineStr">
        <is>
          <t>chave 96</t>
        </is>
      </c>
    </row>
    <row r="98">
      <c r="A98" s="2" t="n">
        <v>97</v>
      </c>
      <c r="B98" s="3" t="inlineStr">
        <is>
          <t xml:space="preserve">JSA MULTIMARCAS LTDA </t>
        </is>
      </c>
      <c r="C98" s="3" t="inlineStr">
        <is>
          <t>NORDESTE</t>
        </is>
      </c>
      <c r="D98" s="3" t="inlineStr">
        <is>
          <t>BA</t>
        </is>
      </c>
      <c r="E98" s="3" t="inlineStr">
        <is>
          <t>SALVADOR</t>
        </is>
      </c>
      <c r="F98" s="3" t="inlineStr">
        <is>
          <t xml:space="preserve">CABULA </t>
        </is>
      </c>
      <c r="G98" s="3" t="inlineStr">
        <is>
          <t>41150000</t>
        </is>
      </c>
      <c r="H98" s="3" t="inlineStr">
        <is>
          <t>Rodrigo</t>
        </is>
      </c>
      <c r="I98" s="3" t="inlineStr">
        <is>
          <t>Estratégico</t>
        </is>
      </c>
      <c r="J98" s="2" t="n">
        <v>675</v>
      </c>
      <c r="K98" s="3" t="inlineStr">
        <is>
          <t>Semana 1</t>
        </is>
      </c>
      <c r="L98" s="3" t="inlineStr">
        <is>
          <t>Alta</t>
        </is>
      </c>
      <c r="M98" s="3" t="inlineStr">
        <is>
          <t>chave 97</t>
        </is>
      </c>
    </row>
    <row r="99">
      <c r="A99" s="2" t="n">
        <v>98</v>
      </c>
      <c r="B99" s="3" t="inlineStr">
        <is>
          <t xml:space="preserve">LIVRARIA E PAPELARIA BRASILIA LTDA </t>
        </is>
      </c>
      <c r="C99" s="3" t="inlineStr">
        <is>
          <t>NORDESTE</t>
        </is>
      </c>
      <c r="D99" s="3" t="inlineStr">
        <is>
          <t>BA</t>
        </is>
      </c>
      <c r="E99" s="3" t="inlineStr">
        <is>
          <t>ITABUNA</t>
        </is>
      </c>
      <c r="F99" s="3" t="inlineStr">
        <is>
          <t xml:space="preserve">CENTRO </t>
        </is>
      </c>
      <c r="G99" s="3" t="inlineStr">
        <is>
          <t>45600171</t>
        </is>
      </c>
      <c r="H99" s="3" t="inlineStr">
        <is>
          <t>Rodrigo</t>
        </is>
      </c>
      <c r="I99" s="3" t="inlineStr">
        <is>
          <t>Pontual</t>
        </is>
      </c>
      <c r="J99" s="2" t="n">
        <v>675</v>
      </c>
      <c r="K99" s="3" t="inlineStr">
        <is>
          <t>Semana 2</t>
        </is>
      </c>
      <c r="L99" s="3" t="inlineStr">
        <is>
          <t>Normal</t>
        </is>
      </c>
      <c r="M99" s="3" t="inlineStr">
        <is>
          <t>chave 98</t>
        </is>
      </c>
    </row>
    <row r="100">
      <c r="A100" s="2" t="n">
        <v>99</v>
      </c>
      <c r="B100" s="3" t="inlineStr">
        <is>
          <t xml:space="preserve">DUBAI IMPORTADORA E DISTRIBUIDORA LTDA </t>
        </is>
      </c>
      <c r="C100" s="3" t="inlineStr">
        <is>
          <t>NORDESTE</t>
        </is>
      </c>
      <c r="D100" s="3" t="inlineStr">
        <is>
          <t>BA</t>
        </is>
      </c>
      <c r="E100" s="3" t="inlineStr">
        <is>
          <t>SALVADOR</t>
        </is>
      </c>
      <c r="F100" s="3" t="inlineStr">
        <is>
          <t xml:space="preserve">URUGUAI </t>
        </is>
      </c>
      <c r="G100" s="3" t="inlineStr">
        <is>
          <t>40454260</t>
        </is>
      </c>
      <c r="H100" s="3" t="inlineStr">
        <is>
          <t>Rodrigo</t>
        </is>
      </c>
      <c r="I100" s="3" t="inlineStr">
        <is>
          <t>Estratégico</t>
        </is>
      </c>
      <c r="J100" s="2" t="n">
        <v>675</v>
      </c>
      <c r="K100" s="3" t="inlineStr">
        <is>
          <t>Semana 1</t>
        </is>
      </c>
      <c r="L100" s="3" t="inlineStr">
        <is>
          <t>Alta</t>
        </is>
      </c>
      <c r="M100" s="3" t="inlineStr">
        <is>
          <t>chave 99</t>
        </is>
      </c>
    </row>
    <row r="101">
      <c r="A101" s="2" t="n">
        <v>100</v>
      </c>
      <c r="B101" s="3" t="inlineStr">
        <is>
          <t xml:space="preserve">JOANICE REIS RIOS LTDA </t>
        </is>
      </c>
      <c r="C101" s="3" t="inlineStr">
        <is>
          <t>NORDESTE</t>
        </is>
      </c>
      <c r="D101" s="3" t="inlineStr">
        <is>
          <t>BA</t>
        </is>
      </c>
      <c r="E101" s="3" t="inlineStr">
        <is>
          <t>Várzea da Roça</t>
        </is>
      </c>
      <c r="F101" s="3" t="inlineStr">
        <is>
          <t xml:space="preserve">CENTRO </t>
        </is>
      </c>
      <c r="G101" s="3" t="inlineStr">
        <is>
          <t>44635000</t>
        </is>
      </c>
      <c r="H101" s="3" t="inlineStr">
        <is>
          <t>Rodrigo</t>
        </is>
      </c>
      <c r="I101" s="3" t="inlineStr">
        <is>
          <t>Pontual</t>
        </is>
      </c>
      <c r="J101" s="2" t="n">
        <v>675</v>
      </c>
      <c r="K101" s="3" t="inlineStr">
        <is>
          <t>Semana 2</t>
        </is>
      </c>
      <c r="L101" s="3" t="inlineStr">
        <is>
          <t>Normal</t>
        </is>
      </c>
      <c r="M101" s="3" t="inlineStr">
        <is>
          <t>chave 100</t>
        </is>
      </c>
    </row>
    <row r="102">
      <c r="A102" s="2" t="n">
        <v>101</v>
      </c>
      <c r="B102" s="3" t="inlineStr">
        <is>
          <t xml:space="preserve">VALLE DISTRIBUIDORA LTDA </t>
        </is>
      </c>
      <c r="C102" s="3" t="inlineStr">
        <is>
          <t>NORDESTE</t>
        </is>
      </c>
      <c r="D102" s="3" t="inlineStr">
        <is>
          <t>BA</t>
        </is>
      </c>
      <c r="E102" s="3" t="inlineStr">
        <is>
          <t>JUAZEIRO</t>
        </is>
      </c>
      <c r="F102" s="3" t="inlineStr">
        <is>
          <t xml:space="preserve">ANTONIO CONSELHEIRO </t>
        </is>
      </c>
      <c r="G102" s="3" t="inlineStr">
        <is>
          <t>48917237</t>
        </is>
      </c>
      <c r="H102" s="3" t="inlineStr">
        <is>
          <t>Rodrigo</t>
        </is>
      </c>
      <c r="I102" s="3" t="inlineStr">
        <is>
          <t>Pontual</t>
        </is>
      </c>
      <c r="J102" s="2" t="n">
        <v>675</v>
      </c>
      <c r="K102" s="3" t="inlineStr">
        <is>
          <t>Semana 2</t>
        </is>
      </c>
      <c r="L102" s="3" t="inlineStr">
        <is>
          <t>Normal</t>
        </is>
      </c>
      <c r="M102" s="3" t="inlineStr">
        <is>
          <t>chave 101</t>
        </is>
      </c>
    </row>
    <row r="103">
      <c r="A103" s="2" t="n">
        <v>102</v>
      </c>
      <c r="B103" s="3" t="inlineStr">
        <is>
          <t xml:space="preserve">MERCANTE COMERCIO E EMPREENDIMENTOS LTDA </t>
        </is>
      </c>
      <c r="C103" s="3" t="inlineStr">
        <is>
          <t>NORDESTE</t>
        </is>
      </c>
      <c r="D103" s="3" t="inlineStr">
        <is>
          <t>BA</t>
        </is>
      </c>
      <c r="E103" s="3" t="inlineStr">
        <is>
          <t>Eunápolis</t>
        </is>
      </c>
      <c r="F103" s="3" t="inlineStr">
        <is>
          <t xml:space="preserve">CENTRO </t>
        </is>
      </c>
      <c r="G103" s="3" t="inlineStr">
        <is>
          <t>45820040</t>
        </is>
      </c>
      <c r="H103" s="3" t="inlineStr">
        <is>
          <t>Rodrigo</t>
        </is>
      </c>
      <c r="I103" s="3" t="inlineStr">
        <is>
          <t>Pontual</t>
        </is>
      </c>
      <c r="J103" s="2" t="n">
        <v>675</v>
      </c>
      <c r="K103" s="3" t="inlineStr">
        <is>
          <t>Semana 2</t>
        </is>
      </c>
      <c r="L103" s="3" t="inlineStr">
        <is>
          <t>Normal</t>
        </is>
      </c>
      <c r="M103" s="3" t="inlineStr">
        <is>
          <t>chave 102</t>
        </is>
      </c>
    </row>
    <row r="104">
      <c r="A104" s="2" t="n">
        <v>103</v>
      </c>
      <c r="B104" s="3" t="inlineStr">
        <is>
          <t xml:space="preserve">PRIMUS PAPELARIA, MOVEIS E SUPRIMENTOS LTDA </t>
        </is>
      </c>
      <c r="C104" s="3" t="inlineStr">
        <is>
          <t>NORDESTE</t>
        </is>
      </c>
      <c r="D104" s="3" t="inlineStr">
        <is>
          <t>BA</t>
        </is>
      </c>
      <c r="E104" s="3" t="inlineStr">
        <is>
          <t>Jequié</t>
        </is>
      </c>
      <c r="F104" s="3" t="inlineStr">
        <is>
          <t xml:space="preserve">CENTRO </t>
        </is>
      </c>
      <c r="G104" s="3" t="inlineStr">
        <is>
          <t>45200250</t>
        </is>
      </c>
      <c r="H104" s="3" t="inlineStr">
        <is>
          <t>Rodrigo</t>
        </is>
      </c>
      <c r="I104" s="3" t="inlineStr">
        <is>
          <t>Pontual</t>
        </is>
      </c>
      <c r="J104" s="2" t="n">
        <v>675</v>
      </c>
      <c r="K104" s="3" t="inlineStr">
        <is>
          <t>Semana 2</t>
        </is>
      </c>
      <c r="L104" s="3" t="inlineStr">
        <is>
          <t>Normal</t>
        </is>
      </c>
      <c r="M104" s="3" t="inlineStr">
        <is>
          <t>chave 103</t>
        </is>
      </c>
    </row>
    <row r="105">
      <c r="A105" s="2" t="n">
        <v>104</v>
      </c>
      <c r="B105" s="3" t="inlineStr">
        <is>
          <t xml:space="preserve">ITAMAR CASTRO RIBEIRO &amp; CIA LTDA </t>
        </is>
      </c>
      <c r="C105" s="3" t="inlineStr">
        <is>
          <t>NORDESTE</t>
        </is>
      </c>
      <c r="D105" s="3" t="inlineStr">
        <is>
          <t>BA</t>
        </is>
      </c>
      <c r="E105" s="3" t="inlineStr">
        <is>
          <t>JACOBINA</t>
        </is>
      </c>
      <c r="F105" s="3" t="inlineStr">
        <is>
          <t xml:space="preserve">CENTRO </t>
        </is>
      </c>
      <c r="G105" s="3" t="inlineStr">
        <is>
          <t>44700000</t>
        </is>
      </c>
      <c r="H105" s="3" t="inlineStr">
        <is>
          <t>Rodrigo</t>
        </is>
      </c>
      <c r="I105" s="3" t="inlineStr">
        <is>
          <t>Pontual</t>
        </is>
      </c>
      <c r="J105" s="2" t="n">
        <v>675</v>
      </c>
      <c r="K105" s="3" t="inlineStr">
        <is>
          <t>Semana 2</t>
        </is>
      </c>
      <c r="L105" s="3" t="inlineStr">
        <is>
          <t>Normal</t>
        </is>
      </c>
      <c r="M105" s="3" t="inlineStr">
        <is>
          <t>chave 104</t>
        </is>
      </c>
    </row>
    <row r="106">
      <c r="A106" s="2" t="n">
        <v>105</v>
      </c>
      <c r="B106" s="3" t="inlineStr">
        <is>
          <t xml:space="preserve">PAPELARIA STAR LTDA </t>
        </is>
      </c>
      <c r="C106" s="3" t="inlineStr">
        <is>
          <t>NORDESTE</t>
        </is>
      </c>
      <c r="D106" s="3" t="inlineStr">
        <is>
          <t>BA</t>
        </is>
      </c>
      <c r="E106" s="3" t="inlineStr">
        <is>
          <t>PORTO SEGURO</t>
        </is>
      </c>
      <c r="F106" s="3" t="inlineStr">
        <is>
          <t xml:space="preserve">CENTRO </t>
        </is>
      </c>
      <c r="G106" s="3" t="inlineStr">
        <is>
          <t>45810000</t>
        </is>
      </c>
      <c r="H106" s="3" t="inlineStr">
        <is>
          <t>Rodrigo</t>
        </is>
      </c>
      <c r="I106" s="3" t="inlineStr">
        <is>
          <t>Pontual</t>
        </is>
      </c>
      <c r="J106" s="2" t="n">
        <v>675</v>
      </c>
      <c r="K106" s="3" t="inlineStr">
        <is>
          <t>Semana 2</t>
        </is>
      </c>
      <c r="L106" s="3" t="inlineStr">
        <is>
          <t>Normal</t>
        </is>
      </c>
      <c r="M106" s="3" t="inlineStr">
        <is>
          <t>chave 105</t>
        </is>
      </c>
    </row>
    <row r="107">
      <c r="A107" s="2" t="n">
        <v>106</v>
      </c>
      <c r="B107" s="3" t="inlineStr">
        <is>
          <t xml:space="preserve">C Q PASSOS </t>
        </is>
      </c>
      <c r="C107" s="3" t="inlineStr">
        <is>
          <t>NORDESTE</t>
        </is>
      </c>
      <c r="D107" s="3" t="inlineStr">
        <is>
          <t>BA</t>
        </is>
      </c>
      <c r="E107" s="3" t="inlineStr">
        <is>
          <t>CAMAMU</t>
        </is>
      </c>
      <c r="F107" s="3" t="inlineStr">
        <is>
          <t xml:space="preserve">CIDADE ALTA </t>
        </is>
      </c>
      <c r="G107" s="3" t="inlineStr">
        <is>
          <t>45445000</t>
        </is>
      </c>
      <c r="H107" s="3" t="inlineStr">
        <is>
          <t>Rodrigo</t>
        </is>
      </c>
      <c r="I107" s="3" t="inlineStr">
        <is>
          <t>Pontual</t>
        </is>
      </c>
      <c r="J107" s="2" t="n">
        <v>675</v>
      </c>
      <c r="K107" s="3" t="inlineStr">
        <is>
          <t>Semana 2</t>
        </is>
      </c>
      <c r="L107" s="3" t="inlineStr">
        <is>
          <t>Normal</t>
        </is>
      </c>
      <c r="M107" s="3" t="inlineStr">
        <is>
          <t>chave 106</t>
        </is>
      </c>
    </row>
    <row r="108">
      <c r="A108" s="2" t="n">
        <v>107</v>
      </c>
      <c r="B108" s="3" t="inlineStr">
        <is>
          <t xml:space="preserve">MUNDO DAS OPCOES ITAMARAJU LTDA </t>
        </is>
      </c>
      <c r="C108" s="3" t="inlineStr">
        <is>
          <t>NORDESTE</t>
        </is>
      </c>
      <c r="D108" s="3" t="inlineStr">
        <is>
          <t>BA</t>
        </is>
      </c>
      <c r="E108" s="3" t="inlineStr">
        <is>
          <t>Itamaraju</t>
        </is>
      </c>
      <c r="F108" s="3" t="inlineStr">
        <is>
          <t xml:space="preserve">CENTRO </t>
        </is>
      </c>
      <c r="G108" s="3" t="inlineStr">
        <is>
          <t>45836000</t>
        </is>
      </c>
      <c r="H108" s="3" t="inlineStr">
        <is>
          <t>Rodrigo</t>
        </is>
      </c>
      <c r="I108" s="3" t="inlineStr">
        <is>
          <t>Pontual</t>
        </is>
      </c>
      <c r="J108" s="2" t="n">
        <v>675</v>
      </c>
      <c r="K108" s="3" t="inlineStr">
        <is>
          <t>Semana 2</t>
        </is>
      </c>
      <c r="L108" s="3" t="inlineStr">
        <is>
          <t>Normal</t>
        </is>
      </c>
      <c r="M108" s="3" t="inlineStr">
        <is>
          <t>chave 107</t>
        </is>
      </c>
    </row>
    <row r="109">
      <c r="A109" s="2" t="n">
        <v>108</v>
      </c>
      <c r="B109" s="3" t="inlineStr">
        <is>
          <t xml:space="preserve">L F A DA SILVA LTDA </t>
        </is>
      </c>
      <c r="C109" s="3" t="inlineStr">
        <is>
          <t>NORDESTE</t>
        </is>
      </c>
      <c r="D109" s="3" t="inlineStr">
        <is>
          <t>BA</t>
        </is>
      </c>
      <c r="E109" s="3" t="inlineStr">
        <is>
          <t>ALAGOINHAS</t>
        </is>
      </c>
      <c r="F109" s="3" t="inlineStr">
        <is>
          <t xml:space="preserve">CENTRO </t>
        </is>
      </c>
      <c r="G109" s="3" t="inlineStr">
        <is>
          <t>48000129</t>
        </is>
      </c>
      <c r="H109" s="3" t="inlineStr">
        <is>
          <t>Rodrigo</t>
        </is>
      </c>
      <c r="I109" s="3" t="inlineStr">
        <is>
          <t>Pontual</t>
        </is>
      </c>
      <c r="J109" s="2" t="n">
        <v>675</v>
      </c>
      <c r="K109" s="3" t="inlineStr">
        <is>
          <t>Semana 2</t>
        </is>
      </c>
      <c r="L109" s="3" t="inlineStr">
        <is>
          <t>Normal</t>
        </is>
      </c>
      <c r="M109" s="3" t="inlineStr">
        <is>
          <t>chave 108</t>
        </is>
      </c>
    </row>
    <row r="110">
      <c r="A110" s="2" t="n">
        <v>109</v>
      </c>
      <c r="B110" s="3" t="inlineStr">
        <is>
          <t xml:space="preserve">A. C. FREITAS </t>
        </is>
      </c>
      <c r="C110" s="3" t="inlineStr">
        <is>
          <t>NORDESTE</t>
        </is>
      </c>
      <c r="D110" s="3" t="inlineStr">
        <is>
          <t>BA</t>
        </is>
      </c>
      <c r="E110" s="3" t="inlineStr">
        <is>
          <t>CAMAÇARI</t>
        </is>
      </c>
      <c r="F110" s="3" t="inlineStr">
        <is>
          <t xml:space="preserve">CENTRO </t>
        </is>
      </c>
      <c r="G110" s="3" t="inlineStr">
        <is>
          <t>42800031</t>
        </is>
      </c>
      <c r="H110" s="3" t="inlineStr">
        <is>
          <t>Rodrigo</t>
        </is>
      </c>
      <c r="I110" s="3" t="inlineStr">
        <is>
          <t>Pontual</t>
        </is>
      </c>
      <c r="J110" s="2" t="n">
        <v>675</v>
      </c>
      <c r="K110" s="3" t="inlineStr">
        <is>
          <t>Semana 2</t>
        </is>
      </c>
      <c r="L110" s="3" t="inlineStr">
        <is>
          <t>Normal</t>
        </is>
      </c>
      <c r="M110" s="3" t="inlineStr">
        <is>
          <t>chave 109</t>
        </is>
      </c>
    </row>
    <row r="111">
      <c r="A111" s="2" t="n">
        <v>110</v>
      </c>
      <c r="B111" s="3" t="inlineStr">
        <is>
          <t xml:space="preserve">R L PARDINHO PAPELARIA </t>
        </is>
      </c>
      <c r="C111" s="3" t="inlineStr">
        <is>
          <t>NORDESTE</t>
        </is>
      </c>
      <c r="D111" s="3" t="inlineStr">
        <is>
          <t>BA</t>
        </is>
      </c>
      <c r="E111" s="3" t="inlineStr">
        <is>
          <t>PORTO SEGURO</t>
        </is>
      </c>
      <c r="F111" s="3" t="inlineStr">
        <is>
          <t xml:space="preserve">FREI CALIXTO </t>
        </is>
      </c>
      <c r="G111" s="3" t="inlineStr">
        <is>
          <t>45810000</t>
        </is>
      </c>
      <c r="H111" s="3" t="inlineStr">
        <is>
          <t>Rodrigo</t>
        </is>
      </c>
      <c r="I111" s="3" t="inlineStr">
        <is>
          <t>Pontual</t>
        </is>
      </c>
      <c r="J111" s="2" t="n">
        <v>675</v>
      </c>
      <c r="K111" s="3" t="inlineStr">
        <is>
          <t>Semana 2</t>
        </is>
      </c>
      <c r="L111" s="3" t="inlineStr">
        <is>
          <t>Normal</t>
        </is>
      </c>
      <c r="M111" s="3" t="inlineStr">
        <is>
          <t>chave 110</t>
        </is>
      </c>
    </row>
    <row r="112">
      <c r="A112" s="2" t="n">
        <v>111</v>
      </c>
      <c r="B112" s="3" t="inlineStr">
        <is>
          <t xml:space="preserve">2002 DISTRIBUIDORA E COMERCIO LTDA </t>
        </is>
      </c>
      <c r="C112" s="3" t="inlineStr">
        <is>
          <t>NORDESTE</t>
        </is>
      </c>
      <c r="D112" s="3" t="inlineStr">
        <is>
          <t>BA</t>
        </is>
      </c>
      <c r="E112" s="3" t="inlineStr">
        <is>
          <t>Camaçari</t>
        </is>
      </c>
      <c r="F112" s="3" t="inlineStr">
        <is>
          <t xml:space="preserve">POLOPLAST </t>
        </is>
      </c>
      <c r="G112" s="3" t="inlineStr">
        <is>
          <t>42801589</t>
        </is>
      </c>
      <c r="H112" s="3" t="inlineStr">
        <is>
          <t>Rodrigo</t>
        </is>
      </c>
      <c r="I112" s="3" t="inlineStr">
        <is>
          <t>Pontual</t>
        </is>
      </c>
      <c r="J112" s="2" t="n">
        <v>675</v>
      </c>
      <c r="K112" s="3" t="inlineStr">
        <is>
          <t>Semana 2</t>
        </is>
      </c>
      <c r="L112" s="3" t="inlineStr">
        <is>
          <t>Normal</t>
        </is>
      </c>
      <c r="M112" s="3" t="inlineStr">
        <is>
          <t>chave 111</t>
        </is>
      </c>
    </row>
    <row r="113">
      <c r="A113" s="2" t="n">
        <v>112</v>
      </c>
      <c r="B113" s="3" t="inlineStr">
        <is>
          <t xml:space="preserve">OLATY COMERCIO DE PRESENTES E PAPELARIA LTDA </t>
        </is>
      </c>
      <c r="C113" s="3" t="inlineStr">
        <is>
          <t>NORDESTE</t>
        </is>
      </c>
      <c r="D113" s="3" t="inlineStr">
        <is>
          <t>BA</t>
        </is>
      </c>
      <c r="E113" s="3" t="inlineStr">
        <is>
          <t>FEIRA DE SANTANA</t>
        </is>
      </c>
      <c r="F113" s="3" t="inlineStr">
        <is>
          <t xml:space="preserve">CENTRO </t>
        </is>
      </c>
      <c r="G113" s="3" t="inlineStr">
        <is>
          <t>44002296</t>
        </is>
      </c>
      <c r="H113" s="3" t="inlineStr">
        <is>
          <t>Rodrigo</t>
        </is>
      </c>
      <c r="I113" s="3" t="inlineStr">
        <is>
          <t>Pontual</t>
        </is>
      </c>
      <c r="J113" s="2" t="n">
        <v>675</v>
      </c>
      <c r="K113" s="3" t="inlineStr">
        <is>
          <t>Semana 2</t>
        </is>
      </c>
      <c r="L113" s="3" t="inlineStr">
        <is>
          <t>Normal</t>
        </is>
      </c>
      <c r="M113" s="3" t="inlineStr">
        <is>
          <t>chave 112</t>
        </is>
      </c>
    </row>
    <row r="114">
      <c r="A114" s="2" t="n">
        <v>113</v>
      </c>
      <c r="B114" s="3" t="inlineStr">
        <is>
          <t xml:space="preserve">FOX COMERCIO DE PAPEIS E LIVROS LTDA </t>
        </is>
      </c>
      <c r="C114" s="3" t="inlineStr">
        <is>
          <t>NORDESTE</t>
        </is>
      </c>
      <c r="D114" s="3" t="inlineStr">
        <is>
          <t>BA</t>
        </is>
      </c>
      <c r="E114" s="3" t="inlineStr">
        <is>
          <t>Ilhéus</t>
        </is>
      </c>
      <c r="F114" s="3" t="inlineStr">
        <is>
          <t xml:space="preserve">CENTRO </t>
        </is>
      </c>
      <c r="G114" s="3" t="inlineStr">
        <is>
          <t>45653000</t>
        </is>
      </c>
      <c r="H114" s="3" t="inlineStr">
        <is>
          <t>Rodrigo</t>
        </is>
      </c>
      <c r="I114" s="3" t="inlineStr">
        <is>
          <t>Pontual</t>
        </is>
      </c>
      <c r="J114" s="2" t="n">
        <v>675</v>
      </c>
      <c r="K114" s="3" t="inlineStr">
        <is>
          <t>Semana 2</t>
        </is>
      </c>
      <c r="L114" s="3" t="inlineStr">
        <is>
          <t>Normal</t>
        </is>
      </c>
      <c r="M114" s="3" t="inlineStr">
        <is>
          <t>chave 113</t>
        </is>
      </c>
    </row>
    <row r="115">
      <c r="A115" s="2" t="n">
        <v>114</v>
      </c>
      <c r="B115" s="3" t="inlineStr">
        <is>
          <t xml:space="preserve">CASA DAS LOUCAS COM.UTIL.DOMESTICAS LTDA </t>
        </is>
      </c>
      <c r="C115" s="3" t="inlineStr">
        <is>
          <t>NORDESTE</t>
        </is>
      </c>
      <c r="D115" s="3" t="inlineStr">
        <is>
          <t>BA</t>
        </is>
      </c>
      <c r="E115" s="3" t="inlineStr">
        <is>
          <t>SALVADOR</t>
        </is>
      </c>
      <c r="F115" s="3" t="inlineStr">
        <is>
          <t xml:space="preserve">SUSSUARANA </t>
        </is>
      </c>
      <c r="G115" s="3" t="inlineStr">
        <is>
          <t>41213000</t>
        </is>
      </c>
      <c r="H115" s="3" t="inlineStr">
        <is>
          <t>Rodrigo</t>
        </is>
      </c>
      <c r="I115" s="3" t="inlineStr">
        <is>
          <t>Estratégico</t>
        </is>
      </c>
      <c r="J115" s="2" t="n">
        <v>675</v>
      </c>
      <c r="K115" s="3" t="inlineStr">
        <is>
          <t>Semana 1</t>
        </is>
      </c>
      <c r="L115" s="3" t="inlineStr">
        <is>
          <t>Alta</t>
        </is>
      </c>
      <c r="M115" s="3" t="inlineStr">
        <is>
          <t>chave 114</t>
        </is>
      </c>
    </row>
    <row r="116">
      <c r="A116" s="2" t="n">
        <v>115</v>
      </c>
      <c r="B116" s="3" t="inlineStr">
        <is>
          <t xml:space="preserve">KRETTI &amp; KRETLI LTDA </t>
        </is>
      </c>
      <c r="C116" s="3" t="inlineStr">
        <is>
          <t>NORDESTE</t>
        </is>
      </c>
      <c r="D116" s="3" t="inlineStr">
        <is>
          <t>BA</t>
        </is>
      </c>
      <c r="E116" s="3" t="inlineStr">
        <is>
          <t>TEIXEIRA DE FREITAS</t>
        </is>
      </c>
      <c r="F116" s="3" t="inlineStr">
        <is>
          <t xml:space="preserve">CENTRO </t>
        </is>
      </c>
      <c r="G116" s="3" t="inlineStr">
        <is>
          <t>45995152</t>
        </is>
      </c>
      <c r="H116" s="3" t="inlineStr">
        <is>
          <t>Rodrigo</t>
        </is>
      </c>
      <c r="I116" s="3" t="inlineStr">
        <is>
          <t>Pontual</t>
        </is>
      </c>
      <c r="J116" s="2" t="n">
        <v>675</v>
      </c>
      <c r="K116" s="3" t="inlineStr">
        <is>
          <t>Semana 2</t>
        </is>
      </c>
      <c r="L116" s="3" t="inlineStr">
        <is>
          <t>Normal</t>
        </is>
      </c>
      <c r="M116" s="3" t="inlineStr">
        <is>
          <t>chave 115</t>
        </is>
      </c>
    </row>
    <row r="117">
      <c r="A117" s="2" t="n">
        <v>116</v>
      </c>
      <c r="B117" s="3" t="inlineStr">
        <is>
          <t xml:space="preserve">PAPEL MIX COMERCIO E SERVICOS DE IPIAU LTDA </t>
        </is>
      </c>
      <c r="C117" s="3" t="inlineStr">
        <is>
          <t>NORDESTE</t>
        </is>
      </c>
      <c r="D117" s="3" t="inlineStr">
        <is>
          <t>BA</t>
        </is>
      </c>
      <c r="E117" s="3" t="inlineStr">
        <is>
          <t>Ipiaú</t>
        </is>
      </c>
      <c r="F117" s="3" t="inlineStr">
        <is>
          <t xml:space="preserve">CENTRO </t>
        </is>
      </c>
      <c r="G117" s="3" t="inlineStr">
        <is>
          <t>45570000</t>
        </is>
      </c>
      <c r="H117" s="3" t="inlineStr">
        <is>
          <t>Rodrigo</t>
        </is>
      </c>
      <c r="I117" s="3" t="inlineStr">
        <is>
          <t>Pontual</t>
        </is>
      </c>
      <c r="J117" s="2" t="n">
        <v>675</v>
      </c>
      <c r="K117" s="3" t="inlineStr">
        <is>
          <t>Semana 2</t>
        </is>
      </c>
      <c r="L117" s="3" t="inlineStr">
        <is>
          <t>Normal</t>
        </is>
      </c>
      <c r="M117" s="3" t="inlineStr">
        <is>
          <t>chave 116</t>
        </is>
      </c>
    </row>
    <row r="118">
      <c r="A118" s="2" t="n">
        <v>117</v>
      </c>
      <c r="B118" s="3" t="inlineStr">
        <is>
          <t xml:space="preserve">SX PAPELARIA E COMERCIO LTDA </t>
        </is>
      </c>
      <c r="C118" s="3" t="inlineStr">
        <is>
          <t>NORDESTE</t>
        </is>
      </c>
      <c r="D118" s="3" t="inlineStr">
        <is>
          <t>BA</t>
        </is>
      </c>
      <c r="E118" s="3" t="inlineStr">
        <is>
          <t>PAULO AFONSO</t>
        </is>
      </c>
      <c r="F118" s="3" t="inlineStr">
        <is>
          <t xml:space="preserve">CENTRO </t>
        </is>
      </c>
      <c r="G118" s="3" t="inlineStr">
        <is>
          <t>48602010</t>
        </is>
      </c>
      <c r="H118" s="3" t="inlineStr">
        <is>
          <t>Rodrigo</t>
        </is>
      </c>
      <c r="I118" s="3" t="inlineStr">
        <is>
          <t>Pontual</t>
        </is>
      </c>
      <c r="J118" s="2" t="n">
        <v>675</v>
      </c>
      <c r="K118" s="3" t="inlineStr">
        <is>
          <t>Semana 2</t>
        </is>
      </c>
      <c r="L118" s="3" t="inlineStr">
        <is>
          <t>Normal</t>
        </is>
      </c>
      <c r="M118" s="3" t="inlineStr">
        <is>
          <t>chave 117</t>
        </is>
      </c>
    </row>
    <row r="119">
      <c r="A119" s="2" t="n">
        <v>118</v>
      </c>
      <c r="B119" s="3" t="inlineStr">
        <is>
          <t xml:space="preserve">V ALEXANDRE PINTO LTDA </t>
        </is>
      </c>
      <c r="C119" s="3" t="inlineStr">
        <is>
          <t>NORDESTE</t>
        </is>
      </c>
      <c r="D119" s="3" t="inlineStr">
        <is>
          <t>BA</t>
        </is>
      </c>
      <c r="E119" s="3" t="inlineStr">
        <is>
          <t>FEIRA DE SANTANA</t>
        </is>
      </c>
      <c r="F119" s="3" t="inlineStr">
        <is>
          <t xml:space="preserve">CENTRO </t>
        </is>
      </c>
      <c r="G119" s="3" t="inlineStr">
        <is>
          <t>44002528</t>
        </is>
      </c>
      <c r="H119" s="3" t="inlineStr">
        <is>
          <t>Rodrigo</t>
        </is>
      </c>
      <c r="I119" s="3" t="inlineStr">
        <is>
          <t>Pontual</t>
        </is>
      </c>
      <c r="J119" s="2" t="n">
        <v>675</v>
      </c>
      <c r="K119" s="3" t="inlineStr">
        <is>
          <t>Semana 2</t>
        </is>
      </c>
      <c r="L119" s="3" t="inlineStr">
        <is>
          <t>Normal</t>
        </is>
      </c>
      <c r="M119" s="3" t="inlineStr">
        <is>
          <t>chave 118</t>
        </is>
      </c>
    </row>
    <row r="120">
      <c r="A120" s="2" t="n">
        <v>119</v>
      </c>
      <c r="B120" s="3" t="inlineStr">
        <is>
          <t xml:space="preserve">MARCO ANTONIO SOUZA PASSOS &amp; CIA LTDA </t>
        </is>
      </c>
      <c r="C120" s="3" t="inlineStr">
        <is>
          <t>NORDESTE</t>
        </is>
      </c>
      <c r="D120" s="3" t="inlineStr">
        <is>
          <t>BA</t>
        </is>
      </c>
      <c r="E120" s="3" t="inlineStr">
        <is>
          <t>CAMAMU</t>
        </is>
      </c>
      <c r="F120" s="3" t="inlineStr">
        <is>
          <t xml:space="preserve">CENTRO </t>
        </is>
      </c>
      <c r="G120" s="3" t="inlineStr">
        <is>
          <t>45445000</t>
        </is>
      </c>
      <c r="H120" s="3" t="inlineStr">
        <is>
          <t>Rodrigo</t>
        </is>
      </c>
      <c r="I120" s="3" t="inlineStr">
        <is>
          <t>Pontual</t>
        </is>
      </c>
      <c r="J120" s="2" t="n">
        <v>675</v>
      </c>
      <c r="K120" s="3" t="inlineStr">
        <is>
          <t>Semana 2</t>
        </is>
      </c>
      <c r="L120" s="3" t="inlineStr">
        <is>
          <t>Normal</t>
        </is>
      </c>
      <c r="M120" s="3" t="inlineStr">
        <is>
          <t>chave 119</t>
        </is>
      </c>
    </row>
    <row r="121">
      <c r="A121" s="2" t="n">
        <v>120</v>
      </c>
      <c r="B121" s="3" t="inlineStr">
        <is>
          <t xml:space="preserve">K.E REPRESENTACOES LTDA </t>
        </is>
      </c>
      <c r="C121" s="3" t="inlineStr">
        <is>
          <t>NORDESTE</t>
        </is>
      </c>
      <c r="D121" s="3" t="inlineStr">
        <is>
          <t>BA</t>
        </is>
      </c>
      <c r="E121" s="3" t="inlineStr">
        <is>
          <t>RIO REAL</t>
        </is>
      </c>
      <c r="F121" s="3" t="inlineStr">
        <is>
          <t xml:space="preserve">CENTRO </t>
        </is>
      </c>
      <c r="G121" s="3" t="inlineStr">
        <is>
          <t>48330000</t>
        </is>
      </c>
      <c r="H121" s="3" t="inlineStr">
        <is>
          <t>Rodrigo</t>
        </is>
      </c>
      <c r="I121" s="3" t="inlineStr">
        <is>
          <t>Pontual</t>
        </is>
      </c>
      <c r="J121" s="2" t="n">
        <v>675</v>
      </c>
      <c r="K121" s="3" t="inlineStr">
        <is>
          <t>Semana 2</t>
        </is>
      </c>
      <c r="L121" s="3" t="inlineStr">
        <is>
          <t>Normal</t>
        </is>
      </c>
      <c r="M121" s="3" t="inlineStr">
        <is>
          <t>chave 120</t>
        </is>
      </c>
    </row>
    <row r="122">
      <c r="A122" s="2" t="n">
        <v>121</v>
      </c>
      <c r="B122" s="3" t="inlineStr">
        <is>
          <t xml:space="preserve">DUCA E CATRINQUE LTDA </t>
        </is>
      </c>
      <c r="C122" s="3" t="inlineStr">
        <is>
          <t>NORDESTE</t>
        </is>
      </c>
      <c r="D122" s="3" t="inlineStr">
        <is>
          <t>BA</t>
        </is>
      </c>
      <c r="E122" s="3" t="inlineStr">
        <is>
          <t>Eunápolis</t>
        </is>
      </c>
      <c r="F122" s="3" t="inlineStr">
        <is>
          <t xml:space="preserve">CENTRO </t>
        </is>
      </c>
      <c r="G122" s="3" t="inlineStr">
        <is>
          <t>45820050</t>
        </is>
      </c>
      <c r="H122" s="3" t="inlineStr">
        <is>
          <t>Rodrigo</t>
        </is>
      </c>
      <c r="I122" s="3" t="inlineStr">
        <is>
          <t>Pontual</t>
        </is>
      </c>
      <c r="J122" s="2" t="n">
        <v>675</v>
      </c>
      <c r="K122" s="3" t="inlineStr">
        <is>
          <t>Semana 2</t>
        </is>
      </c>
      <c r="L122" s="3" t="inlineStr">
        <is>
          <t>Normal</t>
        </is>
      </c>
      <c r="M122" s="3" t="inlineStr">
        <is>
          <t>chave 121</t>
        </is>
      </c>
    </row>
    <row r="123">
      <c r="A123" s="2" t="n">
        <v>122</v>
      </c>
      <c r="B123" s="3" t="inlineStr">
        <is>
          <t xml:space="preserve">JOSE LOPES DA SILVA DE POCOS </t>
        </is>
      </c>
      <c r="C123" s="3" t="inlineStr">
        <is>
          <t>NORDESTE</t>
        </is>
      </c>
      <c r="D123" s="3" t="inlineStr">
        <is>
          <t>BA</t>
        </is>
      </c>
      <c r="E123" s="3" t="inlineStr">
        <is>
          <t>CAMPO FORMOSO</t>
        </is>
      </c>
      <c r="F123" s="3" t="inlineStr">
        <is>
          <t xml:space="preserve">CENTRO </t>
        </is>
      </c>
      <c r="G123" s="3" t="inlineStr">
        <is>
          <t>44790000</t>
        </is>
      </c>
      <c r="H123" s="3" t="inlineStr">
        <is>
          <t>Rodrigo</t>
        </is>
      </c>
      <c r="I123" s="3" t="inlineStr">
        <is>
          <t>Pontual</t>
        </is>
      </c>
      <c r="J123" s="2" t="n">
        <v>675</v>
      </c>
      <c r="K123" s="3" t="inlineStr">
        <is>
          <t>Semana 2</t>
        </is>
      </c>
      <c r="L123" s="3" t="inlineStr">
        <is>
          <t>Normal</t>
        </is>
      </c>
      <c r="M123" s="3" t="inlineStr">
        <is>
          <t>chave 122</t>
        </is>
      </c>
    </row>
    <row r="124">
      <c r="A124" s="2" t="n">
        <v>123</v>
      </c>
      <c r="B124" s="3" t="inlineStr">
        <is>
          <t xml:space="preserve">NM PAPELARIA LTDA </t>
        </is>
      </c>
      <c r="C124" s="3" t="inlineStr">
        <is>
          <t>NORDESTE</t>
        </is>
      </c>
      <c r="D124" s="3" t="inlineStr">
        <is>
          <t>BA</t>
        </is>
      </c>
      <c r="E124" s="3" t="inlineStr">
        <is>
          <t>JAGUAQUARA</t>
        </is>
      </c>
      <c r="F124" s="3" t="inlineStr">
        <is>
          <t xml:space="preserve">ENTRONCAMENTO </t>
        </is>
      </c>
      <c r="G124" s="3" t="inlineStr">
        <is>
          <t>45345000</t>
        </is>
      </c>
      <c r="H124" s="3" t="inlineStr">
        <is>
          <t>Rodrigo</t>
        </is>
      </c>
      <c r="I124" s="3" t="inlineStr">
        <is>
          <t>Pontual</t>
        </is>
      </c>
      <c r="J124" s="2" t="n">
        <v>675</v>
      </c>
      <c r="K124" s="3" t="inlineStr">
        <is>
          <t>Semana 2</t>
        </is>
      </c>
      <c r="L124" s="3" t="inlineStr">
        <is>
          <t>Normal</t>
        </is>
      </c>
      <c r="M124" s="3" t="inlineStr">
        <is>
          <t>chave 123</t>
        </is>
      </c>
    </row>
    <row r="125">
      <c r="A125" s="2" t="n">
        <v>124</v>
      </c>
      <c r="B125" s="3" t="inlineStr">
        <is>
          <t xml:space="preserve">VANUZIA GERALDA LIMA DA PENHA </t>
        </is>
      </c>
      <c r="C125" s="3" t="inlineStr">
        <is>
          <t>NORDESTE</t>
        </is>
      </c>
      <c r="D125" s="3" t="inlineStr">
        <is>
          <t>BA</t>
        </is>
      </c>
      <c r="E125" s="3" t="inlineStr">
        <is>
          <t>ITABELA</t>
        </is>
      </c>
      <c r="F125" s="3" t="inlineStr">
        <is>
          <t xml:space="preserve">CENTRO </t>
        </is>
      </c>
      <c r="G125" s="3" t="inlineStr">
        <is>
          <t>45848000</t>
        </is>
      </c>
      <c r="H125" s="3" t="inlineStr">
        <is>
          <t>Rodrigo</t>
        </is>
      </c>
      <c r="I125" s="3" t="inlineStr">
        <is>
          <t>Pontual</t>
        </is>
      </c>
      <c r="J125" s="2" t="n">
        <v>675</v>
      </c>
      <c r="K125" s="3" t="inlineStr">
        <is>
          <t>Semana 2</t>
        </is>
      </c>
      <c r="L125" s="3" t="inlineStr">
        <is>
          <t>Normal</t>
        </is>
      </c>
      <c r="M125" s="3" t="inlineStr">
        <is>
          <t>chave 124</t>
        </is>
      </c>
    </row>
    <row r="126">
      <c r="A126" s="2" t="n">
        <v>125</v>
      </c>
      <c r="B126" s="3" t="inlineStr">
        <is>
          <t xml:space="preserve">MARKKO COMERCIO E DISTRIBUICAO LTDA </t>
        </is>
      </c>
      <c r="C126" s="3" t="inlineStr">
        <is>
          <t>NORDESTE</t>
        </is>
      </c>
      <c r="D126" s="3" t="inlineStr">
        <is>
          <t>BA</t>
        </is>
      </c>
      <c r="E126" s="3" t="inlineStr">
        <is>
          <t>Santo Antônio de Jesus</t>
        </is>
      </c>
      <c r="F126" s="3" t="inlineStr">
        <is>
          <t xml:space="preserve">CENTRO </t>
        </is>
      </c>
      <c r="G126" s="3" t="inlineStr">
        <is>
          <t>44430088</t>
        </is>
      </c>
      <c r="H126" s="3" t="inlineStr">
        <is>
          <t>Rodrigo</t>
        </is>
      </c>
      <c r="I126" s="3" t="inlineStr">
        <is>
          <t>Pontual</t>
        </is>
      </c>
      <c r="J126" s="2" t="n">
        <v>675</v>
      </c>
      <c r="K126" s="3" t="inlineStr">
        <is>
          <t>Semana 2</t>
        </is>
      </c>
      <c r="L126" s="3" t="inlineStr">
        <is>
          <t>Normal</t>
        </is>
      </c>
      <c r="M126" s="3" t="inlineStr">
        <is>
          <t>chave 125</t>
        </is>
      </c>
    </row>
    <row r="127">
      <c r="A127" s="2" t="n">
        <v>126</v>
      </c>
      <c r="B127" s="3" t="inlineStr">
        <is>
          <t xml:space="preserve">MAIS PAPEL &amp; CIA LTDA </t>
        </is>
      </c>
      <c r="C127" s="3" t="inlineStr">
        <is>
          <t>NORDESTE</t>
        </is>
      </c>
      <c r="D127" s="3" t="inlineStr">
        <is>
          <t>BA</t>
        </is>
      </c>
      <c r="E127" s="3" t="inlineStr">
        <is>
          <t>ITABERABA</t>
        </is>
      </c>
      <c r="F127" s="3" t="inlineStr">
        <is>
          <t xml:space="preserve">CENTRO </t>
        </is>
      </c>
      <c r="G127" s="3" t="inlineStr">
        <is>
          <t>46880000</t>
        </is>
      </c>
      <c r="H127" s="3" t="inlineStr">
        <is>
          <t>Rodrigo</t>
        </is>
      </c>
      <c r="I127" s="3" t="inlineStr">
        <is>
          <t>Pontual</t>
        </is>
      </c>
      <c r="J127" s="2" t="n">
        <v>675</v>
      </c>
      <c r="K127" s="3" t="inlineStr">
        <is>
          <t>Semana 2</t>
        </is>
      </c>
      <c r="L127" s="3" t="inlineStr">
        <is>
          <t>Normal</t>
        </is>
      </c>
      <c r="M127" s="3" t="inlineStr">
        <is>
          <t>chave 126</t>
        </is>
      </c>
    </row>
    <row r="128">
      <c r="A128" s="2" t="n">
        <v>127</v>
      </c>
      <c r="B128" s="3" t="inlineStr">
        <is>
          <t xml:space="preserve">COMERCIAL ASSIS NOVAIS LTDA </t>
        </is>
      </c>
      <c r="C128" s="3" t="inlineStr">
        <is>
          <t>NORDESTE</t>
        </is>
      </c>
      <c r="D128" s="3" t="inlineStr">
        <is>
          <t>BA</t>
        </is>
      </c>
      <c r="E128" s="3" t="inlineStr">
        <is>
          <t>TEIXEIRA DE FREITAS</t>
        </is>
      </c>
      <c r="F128" s="3" t="inlineStr">
        <is>
          <t xml:space="preserve">SAO LOURENCO </t>
        </is>
      </c>
      <c r="G128" s="3" t="inlineStr">
        <is>
          <t>45992000</t>
        </is>
      </c>
      <c r="H128" s="3" t="inlineStr">
        <is>
          <t>Rodrigo</t>
        </is>
      </c>
      <c r="I128" s="3" t="inlineStr">
        <is>
          <t>Pontual</t>
        </is>
      </c>
      <c r="J128" s="2" t="n">
        <v>675</v>
      </c>
      <c r="K128" s="3" t="inlineStr">
        <is>
          <t>Semana 2</t>
        </is>
      </c>
      <c r="L128" s="3" t="inlineStr">
        <is>
          <t>Normal</t>
        </is>
      </c>
      <c r="M128" s="3" t="inlineStr">
        <is>
          <t>chave 127</t>
        </is>
      </c>
    </row>
    <row r="129">
      <c r="A129" s="2" t="n">
        <v>128</v>
      </c>
      <c r="B129" s="3" t="inlineStr">
        <is>
          <t xml:space="preserve">SILVEIRA &amp; SILVEIRA LTDA </t>
        </is>
      </c>
      <c r="C129" s="3" t="inlineStr">
        <is>
          <t>NORDESTE</t>
        </is>
      </c>
      <c r="D129" s="3" t="inlineStr">
        <is>
          <t>BA</t>
        </is>
      </c>
      <c r="E129" s="3" t="inlineStr">
        <is>
          <t>Vitória da Conquista</t>
        </is>
      </c>
      <c r="F129" s="3" t="inlineStr">
        <is>
          <t xml:space="preserve">CRUZEIRO </t>
        </is>
      </c>
      <c r="G129" s="3" t="inlineStr">
        <is>
          <t>45000390</t>
        </is>
      </c>
      <c r="H129" s="3" t="inlineStr">
        <is>
          <t>Rodrigo</t>
        </is>
      </c>
      <c r="I129" s="3" t="inlineStr">
        <is>
          <t>Estratégico</t>
        </is>
      </c>
      <c r="J129" s="2" t="n">
        <v>675</v>
      </c>
      <c r="K129" s="3" t="inlineStr">
        <is>
          <t>Semana 1</t>
        </is>
      </c>
      <c r="L129" s="3" t="inlineStr">
        <is>
          <t>Alta</t>
        </is>
      </c>
      <c r="M129" s="3" t="inlineStr">
        <is>
          <t>chave 128</t>
        </is>
      </c>
    </row>
    <row r="130">
      <c r="A130" s="2" t="n">
        <v>129</v>
      </c>
      <c r="B130" s="3" t="inlineStr">
        <is>
          <t xml:space="preserve">CARIRI DISTRIBUIDORA E REPRESENTACOES LTDA </t>
        </is>
      </c>
      <c r="C130" s="3" t="inlineStr">
        <is>
          <t>NORDESTE</t>
        </is>
      </c>
      <c r="D130" s="3" t="inlineStr">
        <is>
          <t>CE</t>
        </is>
      </c>
      <c r="E130" s="3" t="inlineStr">
        <is>
          <t>JUAZEIRO DO NORTE</t>
        </is>
      </c>
      <c r="F130" s="3" t="inlineStr">
        <is>
          <t xml:space="preserve">LEANDRO BEZERRA DE MENEZES </t>
        </is>
      </c>
      <c r="G130" s="3" t="inlineStr">
        <is>
          <t>63035215</t>
        </is>
      </c>
      <c r="H130" s="3" t="inlineStr">
        <is>
          <t>Rodrigo</t>
        </is>
      </c>
      <c r="I130" s="3" t="inlineStr">
        <is>
          <t>Pontual</t>
        </is>
      </c>
      <c r="J130" s="2" t="n">
        <v>628</v>
      </c>
      <c r="K130" s="3" t="inlineStr">
        <is>
          <t>Semana 2</t>
        </is>
      </c>
      <c r="L130" s="3" t="inlineStr">
        <is>
          <t>Normal</t>
        </is>
      </c>
      <c r="M130" s="3" t="inlineStr">
        <is>
          <t>chave 129</t>
        </is>
      </c>
    </row>
    <row r="131">
      <c r="A131" s="2" t="n">
        <v>130</v>
      </c>
      <c r="B131" s="3" t="inlineStr">
        <is>
          <t xml:space="preserve">M. L. MIRANDA GOMES LTDA </t>
        </is>
      </c>
      <c r="C131" s="3" t="inlineStr">
        <is>
          <t>NORDESTE</t>
        </is>
      </c>
      <c r="D131" s="3" t="inlineStr">
        <is>
          <t>CE</t>
        </is>
      </c>
      <c r="E131" s="3" t="inlineStr">
        <is>
          <t>Massapê</t>
        </is>
      </c>
      <c r="F131" s="3" t="inlineStr">
        <is>
          <t xml:space="preserve">CENTRO </t>
        </is>
      </c>
      <c r="G131" s="3" t="inlineStr">
        <is>
          <t>62140000</t>
        </is>
      </c>
      <c r="H131" s="3" t="inlineStr">
        <is>
          <t>Rodrigo</t>
        </is>
      </c>
      <c r="I131" s="3" t="inlineStr">
        <is>
          <t>Pontual</t>
        </is>
      </c>
      <c r="J131" s="2" t="n">
        <v>628</v>
      </c>
      <c r="K131" s="3" t="inlineStr">
        <is>
          <t>Semana 2</t>
        </is>
      </c>
      <c r="L131" s="3" t="inlineStr">
        <is>
          <t>Normal</t>
        </is>
      </c>
      <c r="M131" s="3" t="inlineStr">
        <is>
          <t>chave 130</t>
        </is>
      </c>
    </row>
    <row r="132">
      <c r="A132" s="2" t="n">
        <v>131</v>
      </c>
      <c r="B132" s="3" t="inlineStr">
        <is>
          <t xml:space="preserve">PONTO G DISTRIBUIDORA LTDA </t>
        </is>
      </c>
      <c r="C132" s="3" t="inlineStr">
        <is>
          <t>NORDESTE</t>
        </is>
      </c>
      <c r="D132" s="3" t="inlineStr">
        <is>
          <t>CE</t>
        </is>
      </c>
      <c r="E132" s="3" t="inlineStr">
        <is>
          <t>FORTALEZA</t>
        </is>
      </c>
      <c r="F132" s="3" t="inlineStr">
        <is>
          <t xml:space="preserve">CENTRO </t>
        </is>
      </c>
      <c r="G132" s="3" t="inlineStr">
        <is>
          <t>60025000</t>
        </is>
      </c>
      <c r="H132" s="3" t="inlineStr">
        <is>
          <t>Rodrigo</t>
        </is>
      </c>
      <c r="I132" s="3" t="inlineStr">
        <is>
          <t>Estratégico</t>
        </is>
      </c>
      <c r="J132" s="2" t="n">
        <v>628</v>
      </c>
      <c r="K132" s="3" t="inlineStr">
        <is>
          <t>Semana 1</t>
        </is>
      </c>
      <c r="L132" s="3" t="inlineStr">
        <is>
          <t>Alta</t>
        </is>
      </c>
      <c r="M132" s="3" t="inlineStr">
        <is>
          <t>chave 131</t>
        </is>
      </c>
    </row>
    <row r="133">
      <c r="A133" s="2" t="n">
        <v>132</v>
      </c>
      <c r="B133" s="3" t="inlineStr">
        <is>
          <t xml:space="preserve">INFINITY DISTRIBUIDORA LTDA </t>
        </is>
      </c>
      <c r="C133" s="3" t="inlineStr">
        <is>
          <t>NORDESTE</t>
        </is>
      </c>
      <c r="D133" s="3" t="inlineStr">
        <is>
          <t>CE</t>
        </is>
      </c>
      <c r="E133" s="3" t="inlineStr">
        <is>
          <t>FORTALEZA</t>
        </is>
      </c>
      <c r="F133" s="3" t="inlineStr">
        <is>
          <t xml:space="preserve">BOA VISTA CASTELAO </t>
        </is>
      </c>
      <c r="G133" s="3" t="inlineStr">
        <is>
          <t>60867650</t>
        </is>
      </c>
      <c r="H133" s="3" t="inlineStr">
        <is>
          <t>Rodrigo</t>
        </is>
      </c>
      <c r="I133" s="3" t="inlineStr">
        <is>
          <t>Estratégico</t>
        </is>
      </c>
      <c r="J133" s="2" t="n">
        <v>628</v>
      </c>
      <c r="K133" s="3" t="inlineStr">
        <is>
          <t>Semana 1</t>
        </is>
      </c>
      <c r="L133" s="3" t="inlineStr">
        <is>
          <t>Alta</t>
        </is>
      </c>
      <c r="M133" s="3" t="inlineStr">
        <is>
          <t>chave 132</t>
        </is>
      </c>
    </row>
    <row r="134">
      <c r="A134" s="2" t="n">
        <v>133</v>
      </c>
      <c r="B134" s="3" t="inlineStr">
        <is>
          <t xml:space="preserve">A E SILVA ALMEIDA </t>
        </is>
      </c>
      <c r="C134" s="3" t="inlineStr">
        <is>
          <t>NORDESTE</t>
        </is>
      </c>
      <c r="D134" s="3" t="inlineStr">
        <is>
          <t>CE</t>
        </is>
      </c>
      <c r="E134" s="3" t="inlineStr">
        <is>
          <t>MARACANAU</t>
        </is>
      </c>
      <c r="F134" s="3" t="inlineStr">
        <is>
          <t xml:space="preserve">JEREISSATI II </t>
        </is>
      </c>
      <c r="G134" s="3" t="inlineStr">
        <is>
          <t>61901050</t>
        </is>
      </c>
      <c r="H134" s="3" t="inlineStr">
        <is>
          <t>Rodrigo</t>
        </is>
      </c>
      <c r="I134" s="3" t="inlineStr">
        <is>
          <t>Pontual</t>
        </is>
      </c>
      <c r="J134" s="2" t="n">
        <v>628</v>
      </c>
      <c r="K134" s="3" t="inlineStr">
        <is>
          <t>Semana 2</t>
        </is>
      </c>
      <c r="L134" s="3" t="inlineStr">
        <is>
          <t>Normal</t>
        </is>
      </c>
      <c r="M134" s="3" t="inlineStr">
        <is>
          <t>chave 133</t>
        </is>
      </c>
    </row>
    <row r="135">
      <c r="A135" s="2" t="n">
        <v>134</v>
      </c>
      <c r="B135" s="3" t="inlineStr">
        <is>
          <t xml:space="preserve">AMS COMERCIAL MULTIMARCAS LTDA </t>
        </is>
      </c>
      <c r="C135" s="3" t="inlineStr">
        <is>
          <t>NORDESTE</t>
        </is>
      </c>
      <c r="D135" s="3" t="inlineStr">
        <is>
          <t>CE</t>
        </is>
      </c>
      <c r="E135" s="3" t="inlineStr">
        <is>
          <t>JUAZEIRO DO NORTE</t>
        </is>
      </c>
      <c r="F135" s="3" t="inlineStr">
        <is>
          <t xml:space="preserve">CENTRO </t>
        </is>
      </c>
      <c r="G135" s="3" t="inlineStr">
        <is>
          <t>63010000</t>
        </is>
      </c>
      <c r="H135" s="3" t="inlineStr">
        <is>
          <t>Rodrigo</t>
        </is>
      </c>
      <c r="I135" s="3" t="inlineStr">
        <is>
          <t>Pontual</t>
        </is>
      </c>
      <c r="J135" s="2" t="n">
        <v>628</v>
      </c>
      <c r="K135" s="3" t="inlineStr">
        <is>
          <t>Semana 2</t>
        </is>
      </c>
      <c r="L135" s="3" t="inlineStr">
        <is>
          <t>Normal</t>
        </is>
      </c>
      <c r="M135" s="3" t="inlineStr">
        <is>
          <t>chave 134</t>
        </is>
      </c>
    </row>
    <row r="136">
      <c r="A136" s="2" t="n">
        <v>135</v>
      </c>
      <c r="B136" s="3" t="inlineStr">
        <is>
          <t xml:space="preserve">THE NEW CLASSIC LTDA </t>
        </is>
      </c>
      <c r="C136" s="3" t="inlineStr">
        <is>
          <t>NORDESTE</t>
        </is>
      </c>
      <c r="D136" s="3" t="inlineStr">
        <is>
          <t>CE</t>
        </is>
      </c>
      <c r="E136" s="3" t="inlineStr">
        <is>
          <t>FORTALEZA</t>
        </is>
      </c>
      <c r="F136" s="3" t="inlineStr">
        <is>
          <t xml:space="preserve">ANTONIO BEZERRA </t>
        </is>
      </c>
      <c r="G136" s="3" t="inlineStr">
        <is>
          <t>60361130</t>
        </is>
      </c>
      <c r="H136" s="3" t="inlineStr">
        <is>
          <t>Rodrigo</t>
        </is>
      </c>
      <c r="I136" s="3" t="inlineStr">
        <is>
          <t>Estratégico</t>
        </is>
      </c>
      <c r="J136" s="2" t="n">
        <v>628</v>
      </c>
      <c r="K136" s="3" t="inlineStr">
        <is>
          <t>Semana 1</t>
        </is>
      </c>
      <c r="L136" s="3" t="inlineStr">
        <is>
          <t>Alta</t>
        </is>
      </c>
      <c r="M136" s="3" t="inlineStr">
        <is>
          <t>chave 135</t>
        </is>
      </c>
    </row>
    <row r="137">
      <c r="A137" s="2" t="n">
        <v>136</v>
      </c>
      <c r="B137" s="3" t="inlineStr">
        <is>
          <t xml:space="preserve">JR DISTRIBUICOES LTDA </t>
        </is>
      </c>
      <c r="C137" s="3" t="inlineStr">
        <is>
          <t>NORDESTE</t>
        </is>
      </c>
      <c r="D137" s="3" t="inlineStr">
        <is>
          <t>CE</t>
        </is>
      </c>
      <c r="E137" s="3" t="inlineStr">
        <is>
          <t>SANTA QUITÉRIA</t>
        </is>
      </c>
      <c r="F137" s="3" t="inlineStr">
        <is>
          <t xml:space="preserve">EDSON LOBO DE MESQUITA </t>
        </is>
      </c>
      <c r="G137" s="3" t="inlineStr">
        <is>
          <t>62280000</t>
        </is>
      </c>
      <c r="H137" s="3" t="inlineStr">
        <is>
          <t>Rodrigo</t>
        </is>
      </c>
      <c r="I137" s="3" t="inlineStr">
        <is>
          <t>Pontual</t>
        </is>
      </c>
      <c r="J137" s="2" t="n">
        <v>628</v>
      </c>
      <c r="K137" s="3" t="inlineStr">
        <is>
          <t>Semana 2</t>
        </is>
      </c>
      <c r="L137" s="3" t="inlineStr">
        <is>
          <t>Normal</t>
        </is>
      </c>
      <c r="M137" s="3" t="inlineStr">
        <is>
          <t>chave 136</t>
        </is>
      </c>
    </row>
    <row r="138">
      <c r="A138" s="2" t="n">
        <v>137</v>
      </c>
      <c r="B138" s="3" t="inlineStr">
        <is>
          <t xml:space="preserve">COMERCIAL BX DE ALIMENTOS LTDA </t>
        </is>
      </c>
      <c r="C138" s="3" t="inlineStr">
        <is>
          <t>NORDESTE</t>
        </is>
      </c>
      <c r="D138" s="3" t="inlineStr">
        <is>
          <t>CE</t>
        </is>
      </c>
      <c r="E138" s="3" t="inlineStr">
        <is>
          <t>FORTALEZA</t>
        </is>
      </c>
      <c r="F138" s="3" t="inlineStr">
        <is>
          <t xml:space="preserve">VILA UNIAO </t>
        </is>
      </c>
      <c r="G138" s="3" t="inlineStr">
        <is>
          <t>60410838</t>
        </is>
      </c>
      <c r="H138" s="3" t="inlineStr">
        <is>
          <t>Rodrigo</t>
        </is>
      </c>
      <c r="I138" s="3" t="inlineStr">
        <is>
          <t>Estratégico</t>
        </is>
      </c>
      <c r="J138" s="2" t="n">
        <v>628</v>
      </c>
      <c r="K138" s="3" t="inlineStr">
        <is>
          <t>Semana 1</t>
        </is>
      </c>
      <c r="L138" s="3" t="inlineStr">
        <is>
          <t>Alta</t>
        </is>
      </c>
      <c r="M138" s="3" t="inlineStr">
        <is>
          <t>chave 137</t>
        </is>
      </c>
    </row>
    <row r="139">
      <c r="A139" s="2" t="n">
        <v>138</v>
      </c>
      <c r="B139" s="3" t="inlineStr">
        <is>
          <t xml:space="preserve">CASA DO ESCRITORIO COMERCIO DE PAPELARIA E ARTIGOS DE PRESENTES LTDA </t>
        </is>
      </c>
      <c r="C139" s="3" t="inlineStr">
        <is>
          <t>NORDESTE</t>
        </is>
      </c>
      <c r="D139" s="3" t="inlineStr">
        <is>
          <t>CE</t>
        </is>
      </c>
      <c r="E139" s="3" t="inlineStr">
        <is>
          <t>FORTALEZA</t>
        </is>
      </c>
      <c r="F139" s="3" t="inlineStr">
        <is>
          <t xml:space="preserve">PRAIA DE IRACEMA </t>
        </is>
      </c>
      <c r="G139" s="3" t="inlineStr">
        <is>
          <t>60060360</t>
        </is>
      </c>
      <c r="H139" s="3" t="inlineStr">
        <is>
          <t>Rodrigo</t>
        </is>
      </c>
      <c r="I139" s="3" t="inlineStr">
        <is>
          <t>Estratégico</t>
        </is>
      </c>
      <c r="J139" s="2" t="n">
        <v>628</v>
      </c>
      <c r="K139" s="3" t="inlineStr">
        <is>
          <t>Semana 1</t>
        </is>
      </c>
      <c r="L139" s="3" t="inlineStr">
        <is>
          <t>Alta</t>
        </is>
      </c>
      <c r="M139" s="3" t="inlineStr">
        <is>
          <t>chave 138</t>
        </is>
      </c>
    </row>
    <row r="140">
      <c r="A140" s="2" t="n">
        <v>139</v>
      </c>
      <c r="B140" s="3" t="inlineStr">
        <is>
          <t xml:space="preserve">MAX ELETRO E MAGAZINE LTDA </t>
        </is>
      </c>
      <c r="C140" s="3" t="inlineStr">
        <is>
          <t>NORDESTE</t>
        </is>
      </c>
      <c r="D140" s="3" t="inlineStr">
        <is>
          <t>CE</t>
        </is>
      </c>
      <c r="E140" s="3" t="inlineStr">
        <is>
          <t>SENADOR POMPEU</t>
        </is>
      </c>
      <c r="F140" s="3" t="inlineStr">
        <is>
          <t xml:space="preserve">CARACARA </t>
        </is>
      </c>
      <c r="G140" s="3" t="inlineStr">
        <is>
          <t>63600000</t>
        </is>
      </c>
      <c r="H140" s="3" t="inlineStr">
        <is>
          <t>Rodrigo</t>
        </is>
      </c>
      <c r="I140" s="3" t="inlineStr">
        <is>
          <t>Pontual</t>
        </is>
      </c>
      <c r="J140" s="2" t="n">
        <v>628</v>
      </c>
      <c r="K140" s="3" t="inlineStr">
        <is>
          <t>Semana 2</t>
        </is>
      </c>
      <c r="L140" s="3" t="inlineStr">
        <is>
          <t>Normal</t>
        </is>
      </c>
      <c r="M140" s="3" t="inlineStr">
        <is>
          <t>chave 139</t>
        </is>
      </c>
    </row>
    <row r="141">
      <c r="A141" s="2" t="n">
        <v>140</v>
      </c>
      <c r="B141" s="3" t="inlineStr">
        <is>
          <t xml:space="preserve">LIVRARIA E PAPELARIA PAGUE MENOS LTDA </t>
        </is>
      </c>
      <c r="C141" s="3" t="inlineStr">
        <is>
          <t>NORDESTE</t>
        </is>
      </c>
      <c r="D141" s="3" t="inlineStr">
        <is>
          <t>CE</t>
        </is>
      </c>
      <c r="E141" s="3" t="inlineStr">
        <is>
          <t>FORTALEZA</t>
        </is>
      </c>
      <c r="F141" s="3" t="inlineStr">
        <is>
          <t xml:space="preserve">CENTRO </t>
        </is>
      </c>
      <c r="G141" s="3" t="inlineStr">
        <is>
          <t>60025130</t>
        </is>
      </c>
      <c r="H141" s="3" t="inlineStr">
        <is>
          <t>Rodrigo</t>
        </is>
      </c>
      <c r="I141" s="3" t="inlineStr">
        <is>
          <t>Estratégico</t>
        </is>
      </c>
      <c r="J141" s="2" t="n">
        <v>628</v>
      </c>
      <c r="K141" s="3" t="inlineStr">
        <is>
          <t>Semana 1</t>
        </is>
      </c>
      <c r="L141" s="3" t="inlineStr">
        <is>
          <t>Alta</t>
        </is>
      </c>
      <c r="M141" s="3" t="inlineStr">
        <is>
          <t>chave 140</t>
        </is>
      </c>
    </row>
    <row r="142">
      <c r="A142" s="2" t="n">
        <v>141</v>
      </c>
      <c r="B142" s="3" t="inlineStr">
        <is>
          <t xml:space="preserve">SANDRA A. RODRIGUES MESQUITA </t>
        </is>
      </c>
      <c r="C142" s="3" t="inlineStr">
        <is>
          <t>NORDESTE</t>
        </is>
      </c>
      <c r="D142" s="3" t="inlineStr">
        <is>
          <t>CE</t>
        </is>
      </c>
      <c r="E142" s="3" t="inlineStr">
        <is>
          <t>SOBRAL</t>
        </is>
      </c>
      <c r="F142" s="3" t="inlineStr">
        <is>
          <t xml:space="preserve">ALTO DO CRISTO </t>
        </is>
      </c>
      <c r="G142" s="3" t="inlineStr">
        <is>
          <t>62020615</t>
        </is>
      </c>
      <c r="H142" s="3" t="inlineStr">
        <is>
          <t>Rodrigo</t>
        </is>
      </c>
      <c r="I142" s="3" t="inlineStr">
        <is>
          <t>Pontual</t>
        </is>
      </c>
      <c r="J142" s="2" t="n">
        <v>628</v>
      </c>
      <c r="K142" s="3" t="inlineStr">
        <is>
          <t>Semana 2</t>
        </is>
      </c>
      <c r="L142" s="3" t="inlineStr">
        <is>
          <t>Normal</t>
        </is>
      </c>
      <c r="M142" s="3" t="inlineStr">
        <is>
          <t>chave 141</t>
        </is>
      </c>
    </row>
    <row r="143">
      <c r="A143" s="2" t="n">
        <v>142</v>
      </c>
      <c r="B143" s="3" t="inlineStr">
        <is>
          <t xml:space="preserve">OSMAR P ALBUQUERQUE FILHO </t>
        </is>
      </c>
      <c r="C143" s="3" t="inlineStr">
        <is>
          <t>NORDESTE</t>
        </is>
      </c>
      <c r="D143" s="3" t="inlineStr">
        <is>
          <t>CE</t>
        </is>
      </c>
      <c r="E143" s="3" t="inlineStr">
        <is>
          <t>CAMOCIM</t>
        </is>
      </c>
      <c r="F143" s="3" t="inlineStr">
        <is>
          <t xml:space="preserve">CENTRO </t>
        </is>
      </c>
      <c r="G143" s="3" t="inlineStr">
        <is>
          <t>62400000</t>
        </is>
      </c>
      <c r="H143" s="3" t="inlineStr">
        <is>
          <t>Rodrigo</t>
        </is>
      </c>
      <c r="I143" s="3" t="inlineStr">
        <is>
          <t>Pontual</t>
        </is>
      </c>
      <c r="J143" s="2" t="n">
        <v>628</v>
      </c>
      <c r="K143" s="3" t="inlineStr">
        <is>
          <t>Semana 2</t>
        </is>
      </c>
      <c r="L143" s="3" t="inlineStr">
        <is>
          <t>Normal</t>
        </is>
      </c>
      <c r="M143" s="3" t="inlineStr">
        <is>
          <t>chave 142</t>
        </is>
      </c>
    </row>
    <row r="144">
      <c r="A144" s="2" t="n">
        <v>143</v>
      </c>
      <c r="B144" s="3" t="inlineStr">
        <is>
          <t xml:space="preserve">L S COMERCIAL DE BALAS LTDA </t>
        </is>
      </c>
      <c r="C144" s="3" t="inlineStr">
        <is>
          <t>NORDESTE</t>
        </is>
      </c>
      <c r="D144" s="3" t="inlineStr">
        <is>
          <t>CE</t>
        </is>
      </c>
      <c r="E144" s="3" t="inlineStr">
        <is>
          <t>Maracanaú</t>
        </is>
      </c>
      <c r="F144" s="3" t="inlineStr">
        <is>
          <t xml:space="preserve">DISTRITO INDUSTRIAL </t>
        </is>
      </c>
      <c r="G144" s="3" t="inlineStr">
        <is>
          <t>61939210</t>
        </is>
      </c>
      <c r="H144" s="3" t="inlineStr">
        <is>
          <t>Rodrigo</t>
        </is>
      </c>
      <c r="I144" s="3" t="inlineStr">
        <is>
          <t>Pontual</t>
        </is>
      </c>
      <c r="J144" s="2" t="n">
        <v>628</v>
      </c>
      <c r="K144" s="3" t="inlineStr">
        <is>
          <t>Semana 2</t>
        </is>
      </c>
      <c r="L144" s="3" t="inlineStr">
        <is>
          <t>Normal</t>
        </is>
      </c>
      <c r="M144" s="3" t="inlineStr">
        <is>
          <t>chave 143</t>
        </is>
      </c>
    </row>
    <row r="145">
      <c r="A145" s="2" t="n">
        <v>144</v>
      </c>
      <c r="B145" s="3" t="inlineStr">
        <is>
          <t xml:space="preserve">CARVALHO DISTRIBUIDORA DE PROD DE HIGIENE LTDA </t>
        </is>
      </c>
      <c r="C145" s="3" t="inlineStr">
        <is>
          <t>NORDESTE</t>
        </is>
      </c>
      <c r="D145" s="3" t="inlineStr">
        <is>
          <t>CE</t>
        </is>
      </c>
      <c r="E145" s="3" t="inlineStr">
        <is>
          <t>FORTALEZA</t>
        </is>
      </c>
      <c r="F145" s="3" t="inlineStr">
        <is>
          <t xml:space="preserve">SALINAS </t>
        </is>
      </c>
      <c r="G145" s="3" t="inlineStr">
        <is>
          <t>60834170</t>
        </is>
      </c>
      <c r="H145" s="3" t="inlineStr">
        <is>
          <t>Rodrigo</t>
        </is>
      </c>
      <c r="I145" s="3" t="inlineStr">
        <is>
          <t>Estratégico</t>
        </is>
      </c>
      <c r="J145" s="2" t="n">
        <v>628</v>
      </c>
      <c r="K145" s="3" t="inlineStr">
        <is>
          <t>Semana 1</t>
        </is>
      </c>
      <c r="L145" s="3" t="inlineStr">
        <is>
          <t>Alta</t>
        </is>
      </c>
      <c r="M145" s="3" t="inlineStr">
        <is>
          <t>chave 144</t>
        </is>
      </c>
    </row>
    <row r="146">
      <c r="A146" s="2" t="n">
        <v>145</v>
      </c>
      <c r="B146" s="3" t="inlineStr">
        <is>
          <t xml:space="preserve">FESTINFAN COMERCIO VAREJISTA LTDA </t>
        </is>
      </c>
      <c r="C146" s="3" t="inlineStr">
        <is>
          <t>NORDESTE</t>
        </is>
      </c>
      <c r="D146" s="3" t="inlineStr">
        <is>
          <t>CE</t>
        </is>
      </c>
      <c r="E146" s="3" t="inlineStr">
        <is>
          <t>CAUCAIA</t>
        </is>
      </c>
      <c r="F146" s="3" t="inlineStr">
        <is>
          <t xml:space="preserve">CENTRO </t>
        </is>
      </c>
      <c r="G146" s="3" t="inlineStr">
        <is>
          <t>61600040</t>
        </is>
      </c>
      <c r="H146" s="3" t="inlineStr">
        <is>
          <t>Rodrigo</t>
        </is>
      </c>
      <c r="I146" s="3" t="inlineStr">
        <is>
          <t>Pontual</t>
        </is>
      </c>
      <c r="J146" s="2" t="n">
        <v>628</v>
      </c>
      <c r="K146" s="3" t="inlineStr">
        <is>
          <t>Semana 2</t>
        </is>
      </c>
      <c r="L146" s="3" t="inlineStr">
        <is>
          <t>Normal</t>
        </is>
      </c>
      <c r="M146" s="3" t="inlineStr">
        <is>
          <t>chave 145</t>
        </is>
      </c>
    </row>
    <row r="147">
      <c r="A147" s="2" t="n">
        <v>146</v>
      </c>
      <c r="B147" s="3" t="inlineStr">
        <is>
          <t xml:space="preserve">MARQUES LIVRARIA E PAPELARIA LTDA </t>
        </is>
      </c>
      <c r="C147" s="3" t="inlineStr">
        <is>
          <t>NORDESTE</t>
        </is>
      </c>
      <c r="D147" s="3" t="inlineStr">
        <is>
          <t>CE</t>
        </is>
      </c>
      <c r="E147" s="3" t="inlineStr">
        <is>
          <t>FORTALEZA</t>
        </is>
      </c>
      <c r="F147" s="3" t="inlineStr">
        <is>
          <t xml:space="preserve">AGUA FRIA </t>
        </is>
      </c>
      <c r="G147" s="3" t="inlineStr">
        <is>
          <t>60830641</t>
        </is>
      </c>
      <c r="H147" s="3" t="inlineStr">
        <is>
          <t>Rodrigo</t>
        </is>
      </c>
      <c r="I147" s="3" t="inlineStr">
        <is>
          <t>Estratégico</t>
        </is>
      </c>
      <c r="J147" s="2" t="n">
        <v>628</v>
      </c>
      <c r="K147" s="3" t="inlineStr">
        <is>
          <t>Semana 1</t>
        </is>
      </c>
      <c r="L147" s="3" t="inlineStr">
        <is>
          <t>Alta</t>
        </is>
      </c>
      <c r="M147" s="3" t="inlineStr">
        <is>
          <t>chave 146</t>
        </is>
      </c>
    </row>
    <row r="148">
      <c r="A148" s="2" t="n">
        <v>147</v>
      </c>
      <c r="B148" s="3" t="inlineStr">
        <is>
          <t xml:space="preserve">V.M.F.DUARTE </t>
        </is>
      </c>
      <c r="C148" s="3" t="inlineStr">
        <is>
          <t>NORDESTE</t>
        </is>
      </c>
      <c r="D148" s="3" t="inlineStr">
        <is>
          <t>CE</t>
        </is>
      </c>
      <c r="E148" s="3" t="inlineStr">
        <is>
          <t>Maracanaú</t>
        </is>
      </c>
      <c r="F148" s="3" t="inlineStr">
        <is>
          <t xml:space="preserve">JEREISSATI II </t>
        </is>
      </c>
      <c r="G148" s="3" t="inlineStr">
        <is>
          <t>61901000</t>
        </is>
      </c>
      <c r="H148" s="3" t="inlineStr">
        <is>
          <t>Rodrigo</t>
        </is>
      </c>
      <c r="I148" s="3" t="inlineStr">
        <is>
          <t>Pontual</t>
        </is>
      </c>
      <c r="J148" s="2" t="n">
        <v>628</v>
      </c>
      <c r="K148" s="3" t="inlineStr">
        <is>
          <t>Semana 2</t>
        </is>
      </c>
      <c r="L148" s="3" t="inlineStr">
        <is>
          <t>Normal</t>
        </is>
      </c>
      <c r="M148" s="3" t="inlineStr">
        <is>
          <t>chave 147</t>
        </is>
      </c>
    </row>
    <row r="149">
      <c r="A149" s="2" t="n">
        <v>148</v>
      </c>
      <c r="B149" s="3" t="inlineStr">
        <is>
          <t xml:space="preserve">M DE JESUS MARANHAO RODRIGUES </t>
        </is>
      </c>
      <c r="C149" s="3" t="inlineStr">
        <is>
          <t>NORDESTE</t>
        </is>
      </c>
      <c r="D149" s="3" t="inlineStr">
        <is>
          <t>CE</t>
        </is>
      </c>
      <c r="E149" s="3" t="inlineStr">
        <is>
          <t>SOBRAL</t>
        </is>
      </c>
      <c r="F149" s="3" t="inlineStr">
        <is>
          <t xml:space="preserve">CENTRO </t>
        </is>
      </c>
      <c r="G149" s="3" t="inlineStr">
        <is>
          <t>62010010</t>
        </is>
      </c>
      <c r="H149" s="3" t="inlineStr">
        <is>
          <t>Rodrigo</t>
        </is>
      </c>
      <c r="I149" s="3" t="inlineStr">
        <is>
          <t>Pontual</t>
        </is>
      </c>
      <c r="J149" s="2" t="n">
        <v>628</v>
      </c>
      <c r="K149" s="3" t="inlineStr">
        <is>
          <t>Semana 2</t>
        </is>
      </c>
      <c r="L149" s="3" t="inlineStr">
        <is>
          <t>Normal</t>
        </is>
      </c>
      <c r="M149" s="3" t="inlineStr">
        <is>
          <t>chave 148</t>
        </is>
      </c>
    </row>
    <row r="150">
      <c r="A150" s="2" t="n">
        <v>149</v>
      </c>
      <c r="B150" s="3" t="inlineStr">
        <is>
          <t xml:space="preserve">COMERCIAL LOJA DOIS LTDA </t>
        </is>
      </c>
      <c r="C150" s="3" t="inlineStr">
        <is>
          <t>NORDESTE</t>
        </is>
      </c>
      <c r="D150" s="3" t="inlineStr">
        <is>
          <t>MA</t>
        </is>
      </c>
      <c r="E150" s="3" t="inlineStr">
        <is>
          <t>PEDREIRAS</t>
        </is>
      </c>
      <c r="F150" s="3" t="inlineStr">
        <is>
          <t xml:space="preserve">CENTRO </t>
        </is>
      </c>
      <c r="G150" s="3" t="inlineStr">
        <is>
          <t>65725000</t>
        </is>
      </c>
      <c r="H150" s="3" t="inlineStr">
        <is>
          <t>Rodrigo</t>
        </is>
      </c>
      <c r="I150" s="3" t="inlineStr">
        <is>
          <t>Pontual</t>
        </is>
      </c>
      <c r="J150" s="2" t="n">
        <v>1208</v>
      </c>
      <c r="K150" s="3" t="inlineStr">
        <is>
          <t>Semana 2</t>
        </is>
      </c>
      <c r="L150" s="3" t="inlineStr">
        <is>
          <t>Normal</t>
        </is>
      </c>
      <c r="M150" s="3" t="inlineStr">
        <is>
          <t>chave 149</t>
        </is>
      </c>
    </row>
    <row r="151">
      <c r="A151" s="2" t="n">
        <v>150</v>
      </c>
      <c r="B151" s="3" t="inlineStr">
        <is>
          <t xml:space="preserve">MUNDO DO REAL LTDA </t>
        </is>
      </c>
      <c r="C151" s="3" t="inlineStr">
        <is>
          <t>NORDESTE</t>
        </is>
      </c>
      <c r="D151" s="3" t="inlineStr">
        <is>
          <t>MA</t>
        </is>
      </c>
      <c r="E151" s="3" t="inlineStr">
        <is>
          <t>Codó</t>
        </is>
      </c>
      <c r="F151" s="3" t="inlineStr">
        <is>
          <t xml:space="preserve">CENTRO </t>
        </is>
      </c>
      <c r="G151" s="3" t="inlineStr">
        <is>
          <t>65400000</t>
        </is>
      </c>
      <c r="H151" s="3" t="inlineStr">
        <is>
          <t>Rodrigo</t>
        </is>
      </c>
      <c r="I151" s="3" t="inlineStr">
        <is>
          <t>Pontual</t>
        </is>
      </c>
      <c r="J151" s="2" t="n">
        <v>1208</v>
      </c>
      <c r="K151" s="3" t="inlineStr">
        <is>
          <t>Semana 2</t>
        </is>
      </c>
      <c r="L151" s="3" t="inlineStr">
        <is>
          <t>Normal</t>
        </is>
      </c>
      <c r="M151" s="3" t="inlineStr">
        <is>
          <t>chave 150</t>
        </is>
      </c>
    </row>
    <row r="152">
      <c r="A152" s="2" t="n">
        <v>151</v>
      </c>
      <c r="B152" s="3" t="inlineStr">
        <is>
          <t xml:space="preserve">BRASIL ESCOLAR LTDA </t>
        </is>
      </c>
      <c r="C152" s="3" t="inlineStr">
        <is>
          <t>NORDESTE</t>
        </is>
      </c>
      <c r="D152" s="3" t="inlineStr">
        <is>
          <t>MA</t>
        </is>
      </c>
      <c r="E152" s="3" t="inlineStr">
        <is>
          <t>PINHEIRO</t>
        </is>
      </c>
      <c r="F152" s="3" t="inlineStr">
        <is>
          <t xml:space="preserve">CENTRO </t>
        </is>
      </c>
      <c r="G152" s="3" t="inlineStr">
        <is>
          <t>65200000</t>
        </is>
      </c>
      <c r="H152" s="3" t="inlineStr">
        <is>
          <t>Rodrigo</t>
        </is>
      </c>
      <c r="I152" s="3" t="inlineStr">
        <is>
          <t>Pontual</t>
        </is>
      </c>
      <c r="J152" s="2" t="n">
        <v>1208</v>
      </c>
      <c r="K152" s="3" t="inlineStr">
        <is>
          <t>Semana 2</t>
        </is>
      </c>
      <c r="L152" s="3" t="inlineStr">
        <is>
          <t>Normal</t>
        </is>
      </c>
      <c r="M152" s="3" t="inlineStr">
        <is>
          <t>chave 151</t>
        </is>
      </c>
    </row>
    <row r="153">
      <c r="A153" s="2" t="n">
        <v>152</v>
      </c>
      <c r="B153" s="3" t="inlineStr">
        <is>
          <t xml:space="preserve">A COLEGIAL LIVRARIA E PAPELARIA LTDA </t>
        </is>
      </c>
      <c r="C153" s="3" t="inlineStr">
        <is>
          <t>NORDESTE</t>
        </is>
      </c>
      <c r="D153" s="3" t="inlineStr">
        <is>
          <t>MA</t>
        </is>
      </c>
      <c r="E153" s="3" t="inlineStr">
        <is>
          <t>Santa Inês</t>
        </is>
      </c>
      <c r="F153" s="3" t="inlineStr">
        <is>
          <t xml:space="preserve">CENTRO </t>
        </is>
      </c>
      <c r="G153" s="3" t="inlineStr">
        <is>
          <t>65300046</t>
        </is>
      </c>
      <c r="H153" s="3" t="inlineStr">
        <is>
          <t>Rodrigo</t>
        </is>
      </c>
      <c r="I153" s="3" t="inlineStr">
        <is>
          <t>Pontual</t>
        </is>
      </c>
      <c r="J153" s="2" t="n">
        <v>1208</v>
      </c>
      <c r="K153" s="3" t="inlineStr">
        <is>
          <t>Semana 2</t>
        </is>
      </c>
      <c r="L153" s="3" t="inlineStr">
        <is>
          <t>Normal</t>
        </is>
      </c>
      <c r="M153" s="3" t="inlineStr">
        <is>
          <t>chave 152</t>
        </is>
      </c>
    </row>
    <row r="154">
      <c r="A154" s="2" t="n">
        <v>153</v>
      </c>
      <c r="B154" s="3" t="inlineStr">
        <is>
          <t xml:space="preserve">L C VAZ DISTRIBUIDORA LTDA </t>
        </is>
      </c>
      <c r="C154" s="3" t="inlineStr">
        <is>
          <t>NORDESTE</t>
        </is>
      </c>
      <c r="D154" s="3" t="inlineStr">
        <is>
          <t>MA</t>
        </is>
      </c>
      <c r="E154" s="3" t="inlineStr">
        <is>
          <t>São Luís</t>
        </is>
      </c>
      <c r="F154" s="3" t="inlineStr">
        <is>
          <t xml:space="preserve">CENTRO </t>
        </is>
      </c>
      <c r="G154" s="3" t="inlineStr">
        <is>
          <t>65025180</t>
        </is>
      </c>
      <c r="H154" s="3" t="inlineStr">
        <is>
          <t>Rodrigo</t>
        </is>
      </c>
      <c r="I154" s="3" t="inlineStr">
        <is>
          <t>Pontual</t>
        </is>
      </c>
      <c r="J154" s="2" t="n">
        <v>1208</v>
      </c>
      <c r="K154" s="3" t="inlineStr">
        <is>
          <t>Semana 2</t>
        </is>
      </c>
      <c r="L154" s="3" t="inlineStr">
        <is>
          <t>Normal</t>
        </is>
      </c>
      <c r="M154" s="3" t="inlineStr">
        <is>
          <t>chave 153</t>
        </is>
      </c>
    </row>
    <row r="155">
      <c r="A155" s="2" t="n">
        <v>154</v>
      </c>
      <c r="B155" s="3" t="inlineStr">
        <is>
          <t xml:space="preserve">H O CENTER LTDA </t>
        </is>
      </c>
      <c r="C155" s="3" t="inlineStr">
        <is>
          <t>NORDESTE</t>
        </is>
      </c>
      <c r="D155" s="3" t="inlineStr">
        <is>
          <t>MA</t>
        </is>
      </c>
      <c r="E155" s="3" t="inlineStr">
        <is>
          <t>São Luís</t>
        </is>
      </c>
      <c r="F155" s="3" t="inlineStr">
        <is>
          <t xml:space="preserve">JD SAO CRISTOVAO II </t>
        </is>
      </c>
      <c r="G155" s="3" t="inlineStr">
        <is>
          <t>65040120</t>
        </is>
      </c>
      <c r="H155" s="3" t="inlineStr">
        <is>
          <t>Rodrigo</t>
        </is>
      </c>
      <c r="I155" s="3" t="inlineStr">
        <is>
          <t>Pontual</t>
        </is>
      </c>
      <c r="J155" s="2" t="n">
        <v>1208</v>
      </c>
      <c r="K155" s="3" t="inlineStr">
        <is>
          <t>Semana 2</t>
        </is>
      </c>
      <c r="L155" s="3" t="inlineStr">
        <is>
          <t>Normal</t>
        </is>
      </c>
      <c r="M155" s="3" t="inlineStr">
        <is>
          <t>chave 154</t>
        </is>
      </c>
    </row>
    <row r="156">
      <c r="A156" s="2" t="n">
        <v>155</v>
      </c>
      <c r="B156" s="3" t="inlineStr">
        <is>
          <t xml:space="preserve">J C SOUSA PEREIRA LTDA </t>
        </is>
      </c>
      <c r="C156" s="3" t="inlineStr">
        <is>
          <t>NORDESTE</t>
        </is>
      </c>
      <c r="D156" s="3" t="inlineStr">
        <is>
          <t>MA</t>
        </is>
      </c>
      <c r="E156" s="3" t="inlineStr">
        <is>
          <t>Paço do Lumiar</t>
        </is>
      </c>
      <c r="F156" s="3" t="inlineStr">
        <is>
          <t xml:space="preserve">MAIOBAO </t>
        </is>
      </c>
      <c r="G156" s="3" t="inlineStr">
        <is>
          <t>65130000</t>
        </is>
      </c>
      <c r="H156" s="3" t="inlineStr">
        <is>
          <t>Rodrigo</t>
        </is>
      </c>
      <c r="I156" s="3" t="inlineStr">
        <is>
          <t>Pontual</t>
        </is>
      </c>
      <c r="J156" s="2" t="n">
        <v>1208</v>
      </c>
      <c r="K156" s="3" t="inlineStr">
        <is>
          <t>Semana 2</t>
        </is>
      </c>
      <c r="L156" s="3" t="inlineStr">
        <is>
          <t>Normal</t>
        </is>
      </c>
      <c r="M156" s="3" t="inlineStr">
        <is>
          <t>chave 155</t>
        </is>
      </c>
    </row>
    <row r="157">
      <c r="A157" s="2" t="n">
        <v>156</v>
      </c>
      <c r="B157" s="3" t="inlineStr">
        <is>
          <t xml:space="preserve">RECICLE INFO E PAPELARIA LTDA </t>
        </is>
      </c>
      <c r="C157" s="3" t="inlineStr">
        <is>
          <t>NORDESTE</t>
        </is>
      </c>
      <c r="D157" s="3" t="inlineStr">
        <is>
          <t>MA</t>
        </is>
      </c>
      <c r="E157" s="3" t="inlineStr">
        <is>
          <t>PEDREIRAS</t>
        </is>
      </c>
      <c r="F157" s="3" t="inlineStr">
        <is>
          <t xml:space="preserve">CENTRO </t>
        </is>
      </c>
      <c r="G157" s="3" t="inlineStr">
        <is>
          <t>65725000</t>
        </is>
      </c>
      <c r="H157" s="3" t="inlineStr">
        <is>
          <t>Rodrigo</t>
        </is>
      </c>
      <c r="I157" s="3" t="inlineStr">
        <is>
          <t>Pontual</t>
        </is>
      </c>
      <c r="J157" s="2" t="n">
        <v>1208</v>
      </c>
      <c r="K157" s="3" t="inlineStr">
        <is>
          <t>Semana 2</t>
        </is>
      </c>
      <c r="L157" s="3" t="inlineStr">
        <is>
          <t>Normal</t>
        </is>
      </c>
      <c r="M157" s="3" t="inlineStr">
        <is>
          <t>chave 156</t>
        </is>
      </c>
    </row>
    <row r="158">
      <c r="A158" s="2" t="n">
        <v>157</v>
      </c>
      <c r="B158" s="3" t="inlineStr">
        <is>
          <t xml:space="preserve">CASA VERDE LTDA </t>
        </is>
      </c>
      <c r="C158" s="3" t="inlineStr">
        <is>
          <t>NORDESTE</t>
        </is>
      </c>
      <c r="D158" s="3" t="inlineStr">
        <is>
          <t>MA</t>
        </is>
      </c>
      <c r="E158" s="3" t="inlineStr">
        <is>
          <t>São Luís</t>
        </is>
      </c>
      <c r="F158" s="3" t="inlineStr">
        <is>
          <t xml:space="preserve">CENTRO </t>
        </is>
      </c>
      <c r="G158" s="3" t="inlineStr">
        <is>
          <t>65010120</t>
        </is>
      </c>
      <c r="H158" s="3" t="inlineStr">
        <is>
          <t>Rodrigo</t>
        </is>
      </c>
      <c r="I158" s="3" t="inlineStr">
        <is>
          <t>Pontual</t>
        </is>
      </c>
      <c r="J158" s="2" t="n">
        <v>1208</v>
      </c>
      <c r="K158" s="3" t="inlineStr">
        <is>
          <t>Semana 2</t>
        </is>
      </c>
      <c r="L158" s="3" t="inlineStr">
        <is>
          <t>Normal</t>
        </is>
      </c>
      <c r="M158" s="3" t="inlineStr">
        <is>
          <t>chave 157</t>
        </is>
      </c>
    </row>
    <row r="159">
      <c r="A159" s="2" t="n">
        <v>158</v>
      </c>
      <c r="B159" s="3" t="inlineStr">
        <is>
          <t xml:space="preserve">J. K. PAPELARIA LTDA </t>
        </is>
      </c>
      <c r="C159" s="3" t="inlineStr">
        <is>
          <t>NORDESTE</t>
        </is>
      </c>
      <c r="D159" s="3" t="inlineStr">
        <is>
          <t>MA</t>
        </is>
      </c>
      <c r="E159" s="3" t="inlineStr">
        <is>
          <t>CHAPADINHA</t>
        </is>
      </c>
      <c r="F159" s="3" t="inlineStr">
        <is>
          <t xml:space="preserve">CENTRO </t>
        </is>
      </c>
      <c r="G159" s="3" t="inlineStr">
        <is>
          <t>65500000</t>
        </is>
      </c>
      <c r="H159" s="3" t="inlineStr">
        <is>
          <t>Rodrigo</t>
        </is>
      </c>
      <c r="I159" s="3" t="inlineStr">
        <is>
          <t>Pontual</t>
        </is>
      </c>
      <c r="J159" s="2" t="n">
        <v>1208</v>
      </c>
      <c r="K159" s="3" t="inlineStr">
        <is>
          <t>Semana 2</t>
        </is>
      </c>
      <c r="L159" s="3" t="inlineStr">
        <is>
          <t>Normal</t>
        </is>
      </c>
      <c r="M159" s="3" t="inlineStr">
        <is>
          <t>chave 158</t>
        </is>
      </c>
    </row>
    <row r="160">
      <c r="A160" s="2" t="n">
        <v>159</v>
      </c>
      <c r="B160" s="3" t="inlineStr">
        <is>
          <t xml:space="preserve">ANTONIA BARBOSA LIMA </t>
        </is>
      </c>
      <c r="C160" s="3" t="inlineStr">
        <is>
          <t>NORDESTE</t>
        </is>
      </c>
      <c r="D160" s="3" t="inlineStr">
        <is>
          <t>MA</t>
        </is>
      </c>
      <c r="E160" s="3" t="inlineStr">
        <is>
          <t>PRESIDENTE DUTRA</t>
        </is>
      </c>
      <c r="F160" s="3" t="inlineStr">
        <is>
          <t xml:space="preserve">CENTRO </t>
        </is>
      </c>
      <c r="G160" s="3" t="inlineStr">
        <is>
          <t>65760000</t>
        </is>
      </c>
      <c r="H160" s="3" t="inlineStr">
        <is>
          <t>Rodrigo</t>
        </is>
      </c>
      <c r="I160" s="3" t="inlineStr">
        <is>
          <t>Pontual</t>
        </is>
      </c>
      <c r="J160" s="2" t="n">
        <v>1208</v>
      </c>
      <c r="K160" s="3" t="inlineStr">
        <is>
          <t>Semana 2</t>
        </is>
      </c>
      <c r="L160" s="3" t="inlineStr">
        <is>
          <t>Normal</t>
        </is>
      </c>
      <c r="M160" s="3" t="inlineStr">
        <is>
          <t>chave 159</t>
        </is>
      </c>
    </row>
    <row r="161">
      <c r="A161" s="2" t="n">
        <v>160</v>
      </c>
      <c r="B161" s="3" t="inlineStr">
        <is>
          <t xml:space="preserve">MERCATTO DA FESTA LTDA </t>
        </is>
      </c>
      <c r="C161" s="3" t="inlineStr">
        <is>
          <t>NORDESTE</t>
        </is>
      </c>
      <c r="D161" s="3" t="inlineStr">
        <is>
          <t>MA</t>
        </is>
      </c>
      <c r="E161" s="3" t="inlineStr">
        <is>
          <t>SÃO JOÃO DOS PATOS</t>
        </is>
      </c>
      <c r="F161" s="3" t="inlineStr">
        <is>
          <t xml:space="preserve">CENTRO </t>
        </is>
      </c>
      <c r="G161" s="3" t="inlineStr">
        <is>
          <t>65665000</t>
        </is>
      </c>
      <c r="H161" s="3" t="inlineStr">
        <is>
          <t>Rodrigo</t>
        </is>
      </c>
      <c r="I161" s="3" t="inlineStr">
        <is>
          <t>Pontual</t>
        </is>
      </c>
      <c r="J161" s="2" t="n">
        <v>1208</v>
      </c>
      <c r="K161" s="3" t="inlineStr">
        <is>
          <t>Semana 2</t>
        </is>
      </c>
      <c r="L161" s="3" t="inlineStr">
        <is>
          <t>Normal</t>
        </is>
      </c>
      <c r="M161" s="3" t="inlineStr">
        <is>
          <t>chave 160</t>
        </is>
      </c>
    </row>
    <row r="162">
      <c r="A162" s="2" t="n">
        <v>161</v>
      </c>
      <c r="B162" s="3" t="inlineStr">
        <is>
          <t xml:space="preserve">PAPIROSSAUROS - LIVRARIA E PAPELARIA LTDA </t>
        </is>
      </c>
      <c r="C162" s="3" t="inlineStr">
        <is>
          <t>NORDESTE</t>
        </is>
      </c>
      <c r="D162" s="3" t="inlineStr">
        <is>
          <t>PB</t>
        </is>
      </c>
      <c r="E162" s="3" t="inlineStr">
        <is>
          <t>SOUSA</t>
        </is>
      </c>
      <c r="F162" s="3" t="inlineStr">
        <is>
          <t xml:space="preserve">CENTRO </t>
        </is>
      </c>
      <c r="G162" s="3" t="inlineStr">
        <is>
          <t>58800160</t>
        </is>
      </c>
      <c r="H162" s="3" t="inlineStr">
        <is>
          <t>Rodrigo</t>
        </is>
      </c>
      <c r="I162" s="3" t="inlineStr">
        <is>
          <t>Pontual</t>
        </is>
      </c>
      <c r="J162" s="2" t="n">
        <v>105</v>
      </c>
      <c r="K162" s="3" t="inlineStr">
        <is>
          <t>Semana 3</t>
        </is>
      </c>
      <c r="L162" s="3" t="inlineStr">
        <is>
          <t>Normal</t>
        </is>
      </c>
      <c r="M162" s="3" t="inlineStr">
        <is>
          <t>chave 161</t>
        </is>
      </c>
    </row>
    <row r="163">
      <c r="A163" s="2" t="n">
        <v>162</v>
      </c>
      <c r="B163" s="3" t="inlineStr">
        <is>
          <t xml:space="preserve">JOSE RODRIGUES DA SILVA PAPELARIA </t>
        </is>
      </c>
      <c r="C163" s="3" t="inlineStr">
        <is>
          <t>NORDESTE</t>
        </is>
      </c>
      <c r="D163" s="3" t="inlineStr">
        <is>
          <t>PB</t>
        </is>
      </c>
      <c r="E163" s="3" t="inlineStr">
        <is>
          <t>JOÃO PESSOA</t>
        </is>
      </c>
      <c r="F163" s="3" t="inlineStr">
        <is>
          <t xml:space="preserve">MANGABEIRA </t>
        </is>
      </c>
      <c r="G163" s="3" t="inlineStr">
        <is>
          <t>58055590</t>
        </is>
      </c>
      <c r="H163" s="3" t="inlineStr">
        <is>
          <t>Rodrigo</t>
        </is>
      </c>
      <c r="I163" s="3" t="inlineStr">
        <is>
          <t>Pontual</t>
        </is>
      </c>
      <c r="J163" s="2" t="n">
        <v>105</v>
      </c>
      <c r="K163" s="3" t="inlineStr">
        <is>
          <t>Semana 3</t>
        </is>
      </c>
      <c r="L163" s="3" t="inlineStr">
        <is>
          <t>Normal</t>
        </is>
      </c>
      <c r="M163" s="3" t="inlineStr">
        <is>
          <t>chave 162</t>
        </is>
      </c>
    </row>
    <row r="164">
      <c r="A164" s="2" t="n">
        <v>163</v>
      </c>
      <c r="B164" s="3" t="inlineStr">
        <is>
          <t xml:space="preserve">FREITAS &amp; COSTA LTDA </t>
        </is>
      </c>
      <c r="C164" s="3" t="inlineStr">
        <is>
          <t>NORDESTE</t>
        </is>
      </c>
      <c r="D164" s="3" t="inlineStr">
        <is>
          <t>PB</t>
        </is>
      </c>
      <c r="E164" s="3" t="inlineStr">
        <is>
          <t>GUARABIRA</t>
        </is>
      </c>
      <c r="F164" s="3" t="inlineStr">
        <is>
          <t xml:space="preserve">CENTRO </t>
        </is>
      </c>
      <c r="G164" s="3" t="inlineStr">
        <is>
          <t>58200000</t>
        </is>
      </c>
      <c r="H164" s="3" t="inlineStr">
        <is>
          <t>Rodrigo</t>
        </is>
      </c>
      <c r="I164" s="3" t="inlineStr">
        <is>
          <t>Pontual</t>
        </is>
      </c>
      <c r="J164" s="2" t="n">
        <v>105</v>
      </c>
      <c r="K164" s="3" t="inlineStr">
        <is>
          <t>Semana 3</t>
        </is>
      </c>
      <c r="L164" s="3" t="inlineStr">
        <is>
          <t>Normal</t>
        </is>
      </c>
      <c r="M164" s="3" t="inlineStr">
        <is>
          <t>chave 163</t>
        </is>
      </c>
    </row>
    <row r="165">
      <c r="A165" s="2" t="n">
        <v>164</v>
      </c>
      <c r="B165" s="3" t="inlineStr">
        <is>
          <t xml:space="preserve">MARIA EUNICE TERTULINO TAVEIRA </t>
        </is>
      </c>
      <c r="C165" s="3" t="inlineStr">
        <is>
          <t>NORDESTE</t>
        </is>
      </c>
      <c r="D165" s="3" t="inlineStr">
        <is>
          <t>PB</t>
        </is>
      </c>
      <c r="E165" s="3" t="inlineStr">
        <is>
          <t>CAMPINA GRANDE</t>
        </is>
      </c>
      <c r="F165" s="3" t="inlineStr">
        <is>
          <t xml:space="preserve">CENTRO </t>
        </is>
      </c>
      <c r="G165" s="3" t="inlineStr">
        <is>
          <t>58102279</t>
        </is>
      </c>
      <c r="H165" s="3" t="inlineStr">
        <is>
          <t>Rodrigo</t>
        </is>
      </c>
      <c r="I165" s="3" t="inlineStr">
        <is>
          <t>Pontual</t>
        </is>
      </c>
      <c r="J165" s="2" t="n">
        <v>105</v>
      </c>
      <c r="K165" s="3" t="inlineStr">
        <is>
          <t>Semana 3</t>
        </is>
      </c>
      <c r="L165" s="3" t="inlineStr">
        <is>
          <t>Normal</t>
        </is>
      </c>
      <c r="M165" s="3" t="inlineStr">
        <is>
          <t>chave 164</t>
        </is>
      </c>
    </row>
    <row r="166">
      <c r="A166" s="2" t="n">
        <v>165</v>
      </c>
      <c r="B166" s="3" t="inlineStr">
        <is>
          <t xml:space="preserve">MAURILIO DE ALMEIDA MENDES </t>
        </is>
      </c>
      <c r="C166" s="3" t="inlineStr">
        <is>
          <t>NORDESTE</t>
        </is>
      </c>
      <c r="D166" s="3" t="inlineStr">
        <is>
          <t>PB</t>
        </is>
      </c>
      <c r="E166" s="3" t="inlineStr">
        <is>
          <t>GUARABIRA</t>
        </is>
      </c>
      <c r="F166" s="3" t="inlineStr">
        <is>
          <t xml:space="preserve">CENTRO </t>
        </is>
      </c>
      <c r="G166" s="3" t="inlineStr">
        <is>
          <t>58200000</t>
        </is>
      </c>
      <c r="H166" s="3" t="inlineStr">
        <is>
          <t>Rodrigo</t>
        </is>
      </c>
      <c r="I166" s="3" t="inlineStr">
        <is>
          <t>Pontual</t>
        </is>
      </c>
      <c r="J166" s="2" t="n">
        <v>105</v>
      </c>
      <c r="K166" s="3" t="inlineStr">
        <is>
          <t>Semana 3</t>
        </is>
      </c>
      <c r="L166" s="3" t="inlineStr">
        <is>
          <t>Normal</t>
        </is>
      </c>
      <c r="M166" s="3" t="inlineStr">
        <is>
          <t>chave 165</t>
        </is>
      </c>
    </row>
    <row r="167">
      <c r="A167" s="2" t="n">
        <v>166</v>
      </c>
      <c r="B167" s="3" t="inlineStr">
        <is>
          <t xml:space="preserve">LEIA COMERCIAL DE LIVROS E MAGAZINE LTDA </t>
        </is>
      </c>
      <c r="C167" s="3" t="inlineStr">
        <is>
          <t>NORDESTE</t>
        </is>
      </c>
      <c r="D167" s="3" t="inlineStr">
        <is>
          <t>PB</t>
        </is>
      </c>
      <c r="E167" s="3" t="inlineStr">
        <is>
          <t>CAJAZEIRAS</t>
        </is>
      </c>
      <c r="F167" s="3" t="inlineStr">
        <is>
          <t xml:space="preserve">CENTRO </t>
        </is>
      </c>
      <c r="G167" s="3" t="inlineStr">
        <is>
          <t>58900000</t>
        </is>
      </c>
      <c r="H167" s="3" t="inlineStr">
        <is>
          <t>Rodrigo</t>
        </is>
      </c>
      <c r="I167" s="3" t="inlineStr">
        <is>
          <t>Pontual</t>
        </is>
      </c>
      <c r="J167" s="2" t="n">
        <v>105</v>
      </c>
      <c r="K167" s="3" t="inlineStr">
        <is>
          <t>Semana 3</t>
        </is>
      </c>
      <c r="L167" s="3" t="inlineStr">
        <is>
          <t>Normal</t>
        </is>
      </c>
      <c r="M167" s="3" t="inlineStr">
        <is>
          <t>chave 166</t>
        </is>
      </c>
    </row>
    <row r="168">
      <c r="A168" s="2" t="n">
        <v>167</v>
      </c>
      <c r="B168" s="3" t="inlineStr">
        <is>
          <t xml:space="preserve">FRANCIVANIA RODRIGUES ALBUQUERQUE E MENEZES </t>
        </is>
      </c>
      <c r="C168" s="3" t="inlineStr">
        <is>
          <t>NORDESTE</t>
        </is>
      </c>
      <c r="D168" s="3" t="inlineStr">
        <is>
          <t>PB</t>
        </is>
      </c>
      <c r="E168" s="3" t="inlineStr">
        <is>
          <t>POMBAL</t>
        </is>
      </c>
      <c r="F168" s="3" t="inlineStr">
        <is>
          <t xml:space="preserve">CENTRO </t>
        </is>
      </c>
      <c r="G168" s="3" t="inlineStr">
        <is>
          <t>58840000</t>
        </is>
      </c>
      <c r="H168" s="3" t="inlineStr">
        <is>
          <t>Rodrigo</t>
        </is>
      </c>
      <c r="I168" s="3" t="inlineStr">
        <is>
          <t>Pontual</t>
        </is>
      </c>
      <c r="J168" s="2" t="n">
        <v>105</v>
      </c>
      <c r="K168" s="3" t="inlineStr">
        <is>
          <t>Semana 3</t>
        </is>
      </c>
      <c r="L168" s="3" t="inlineStr">
        <is>
          <t>Normal</t>
        </is>
      </c>
      <c r="M168" s="3" t="inlineStr">
        <is>
          <t>chave 167</t>
        </is>
      </c>
    </row>
    <row r="169">
      <c r="A169" s="2" t="n">
        <v>168</v>
      </c>
      <c r="B169" s="3" t="inlineStr">
        <is>
          <t xml:space="preserve">ARMARINHO OLIVEIRA COMERCIO LTDA </t>
        </is>
      </c>
      <c r="C169" s="3" t="inlineStr">
        <is>
          <t>NORDESTE</t>
        </is>
      </c>
      <c r="D169" s="3" t="inlineStr">
        <is>
          <t>PB</t>
        </is>
      </c>
      <c r="E169" s="3" t="inlineStr">
        <is>
          <t>ITABAIANA</t>
        </is>
      </c>
      <c r="F169" s="3" t="inlineStr">
        <is>
          <t xml:space="preserve">CENTRO </t>
        </is>
      </c>
      <c r="G169" s="3" t="inlineStr">
        <is>
          <t>58360000</t>
        </is>
      </c>
      <c r="H169" s="3" t="inlineStr">
        <is>
          <t>Rodrigo</t>
        </is>
      </c>
      <c r="I169" s="3" t="inlineStr">
        <is>
          <t>Pontual</t>
        </is>
      </c>
      <c r="J169" s="2" t="n">
        <v>105</v>
      </c>
      <c r="K169" s="3" t="inlineStr">
        <is>
          <t>Semana 3</t>
        </is>
      </c>
      <c r="L169" s="3" t="inlineStr">
        <is>
          <t>Normal</t>
        </is>
      </c>
      <c r="M169" s="3" t="inlineStr">
        <is>
          <t>chave 168</t>
        </is>
      </c>
    </row>
    <row r="170">
      <c r="A170" s="2" t="n">
        <v>169</v>
      </c>
      <c r="B170" s="3" t="inlineStr">
        <is>
          <t xml:space="preserve">SOLANGE AFONSO  DE CARVALHO PEREIRA LTDA </t>
        </is>
      </c>
      <c r="C170" s="3" t="inlineStr">
        <is>
          <t>NORDESTE</t>
        </is>
      </c>
      <c r="D170" s="3" t="inlineStr">
        <is>
          <t>PB</t>
        </is>
      </c>
      <c r="E170" s="3" t="inlineStr">
        <is>
          <t>PATOS</t>
        </is>
      </c>
      <c r="F170" s="3" t="inlineStr">
        <is>
          <t xml:space="preserve">CENTRO </t>
        </is>
      </c>
      <c r="G170" s="3" t="inlineStr">
        <is>
          <t>58700410</t>
        </is>
      </c>
      <c r="H170" s="3" t="inlineStr">
        <is>
          <t>Rodrigo</t>
        </is>
      </c>
      <c r="I170" s="3" t="inlineStr">
        <is>
          <t>Pontual</t>
        </is>
      </c>
      <c r="J170" s="2" t="n">
        <v>105</v>
      </c>
      <c r="K170" s="3" t="inlineStr">
        <is>
          <t>Semana 3</t>
        </is>
      </c>
      <c r="L170" s="3" t="inlineStr">
        <is>
          <t>Normal</t>
        </is>
      </c>
      <c r="M170" s="3" t="inlineStr">
        <is>
          <t>chave 169</t>
        </is>
      </c>
    </row>
    <row r="171">
      <c r="A171" s="2" t="n">
        <v>170</v>
      </c>
      <c r="B171" s="3" t="inlineStr">
        <is>
          <t xml:space="preserve">A CASA DO COLEGIAL MARIA AMELIA LTDA </t>
        </is>
      </c>
      <c r="C171" s="3" t="inlineStr">
        <is>
          <t>NORDESTE</t>
        </is>
      </c>
      <c r="D171" s="3" t="inlineStr">
        <is>
          <t>PB</t>
        </is>
      </c>
      <c r="E171" s="3" t="inlineStr">
        <is>
          <t>CAMPINA GRANDE</t>
        </is>
      </c>
      <c r="F171" s="3" t="inlineStr">
        <is>
          <t xml:space="preserve">CENTRO </t>
        </is>
      </c>
      <c r="G171" s="3" t="inlineStr">
        <is>
          <t>58400085</t>
        </is>
      </c>
      <c r="H171" s="3" t="inlineStr">
        <is>
          <t>Rodrigo</t>
        </is>
      </c>
      <c r="I171" s="3" t="inlineStr">
        <is>
          <t>Pontual</t>
        </is>
      </c>
      <c r="J171" s="2" t="n">
        <v>105</v>
      </c>
      <c r="K171" s="3" t="inlineStr">
        <is>
          <t>Semana 3</t>
        </is>
      </c>
      <c r="L171" s="3" t="inlineStr">
        <is>
          <t>Normal</t>
        </is>
      </c>
      <c r="M171" s="3" t="inlineStr">
        <is>
          <t>chave 170</t>
        </is>
      </c>
    </row>
    <row r="172">
      <c r="A172" s="2" t="n">
        <v>171</v>
      </c>
      <c r="B172" s="3" t="inlineStr">
        <is>
          <t xml:space="preserve">NOVO LAR DISTRIBUIDORA LTDA </t>
        </is>
      </c>
      <c r="C172" s="3" t="inlineStr">
        <is>
          <t>NORDESTE</t>
        </is>
      </c>
      <c r="D172" s="3" t="inlineStr">
        <is>
          <t>PB</t>
        </is>
      </c>
      <c r="E172" s="3" t="inlineStr">
        <is>
          <t>JOÃO PESSOA</t>
        </is>
      </c>
      <c r="F172" s="3" t="inlineStr">
        <is>
          <t xml:space="preserve">CENTRO </t>
        </is>
      </c>
      <c r="G172" s="3" t="inlineStr">
        <is>
          <t>58010100</t>
        </is>
      </c>
      <c r="H172" s="3" t="inlineStr">
        <is>
          <t>Rodrigo</t>
        </is>
      </c>
      <c r="I172" s="3" t="inlineStr">
        <is>
          <t>Pontual</t>
        </is>
      </c>
      <c r="J172" s="2" t="n">
        <v>105</v>
      </c>
      <c r="K172" s="3" t="inlineStr">
        <is>
          <t>Semana 3</t>
        </is>
      </c>
      <c r="L172" s="3" t="inlineStr">
        <is>
          <t>Normal</t>
        </is>
      </c>
      <c r="M172" s="3" t="inlineStr">
        <is>
          <t>chave 171</t>
        </is>
      </c>
    </row>
    <row r="173">
      <c r="A173" s="2" t="n">
        <v>172</v>
      </c>
      <c r="B173" s="3" t="inlineStr">
        <is>
          <t xml:space="preserve">HOZANA MARIA TEIXEIRA MARQUES LIRA </t>
        </is>
      </c>
      <c r="C173" s="3" t="inlineStr">
        <is>
          <t>NORDESTE</t>
        </is>
      </c>
      <c r="D173" s="3" t="inlineStr">
        <is>
          <t>PB</t>
        </is>
      </c>
      <c r="E173" s="3" t="inlineStr">
        <is>
          <t>João Pessoa</t>
        </is>
      </c>
      <c r="F173" s="3" t="inlineStr">
        <is>
          <t xml:space="preserve">TORRE </t>
        </is>
      </c>
      <c r="G173" s="3" t="inlineStr">
        <is>
          <t>58040020</t>
        </is>
      </c>
      <c r="H173" s="3" t="inlineStr">
        <is>
          <t>Rodrigo</t>
        </is>
      </c>
      <c r="I173" s="3" t="inlineStr">
        <is>
          <t>Pontual</t>
        </is>
      </c>
      <c r="J173" s="2" t="n">
        <v>105</v>
      </c>
      <c r="K173" s="3" t="inlineStr">
        <is>
          <t>Semana 3</t>
        </is>
      </c>
      <c r="L173" s="3" t="inlineStr">
        <is>
          <t>Normal</t>
        </is>
      </c>
      <c r="M173" s="3" t="inlineStr">
        <is>
          <t>chave 172</t>
        </is>
      </c>
    </row>
    <row r="174">
      <c r="A174" s="2" t="n">
        <v>173</v>
      </c>
      <c r="B174" s="3" t="inlineStr">
        <is>
          <t xml:space="preserve">E ZALMA SOUZA LTDA </t>
        </is>
      </c>
      <c r="C174" s="3" t="inlineStr">
        <is>
          <t>NORDESTE</t>
        </is>
      </c>
      <c r="D174" s="3" t="inlineStr">
        <is>
          <t>PB</t>
        </is>
      </c>
      <c r="E174" s="3" t="inlineStr">
        <is>
          <t>CAMPINA GRANDE</t>
        </is>
      </c>
      <c r="F174" s="3" t="inlineStr">
        <is>
          <t xml:space="preserve">CENTRO </t>
        </is>
      </c>
      <c r="G174" s="3" t="inlineStr">
        <is>
          <t>58400126</t>
        </is>
      </c>
      <c r="H174" s="3" t="inlineStr">
        <is>
          <t>Rodrigo</t>
        </is>
      </c>
      <c r="I174" s="3" t="inlineStr">
        <is>
          <t>Pontual</t>
        </is>
      </c>
      <c r="J174" s="2" t="n">
        <v>105</v>
      </c>
      <c r="K174" s="3" t="inlineStr">
        <is>
          <t>Semana 3</t>
        </is>
      </c>
      <c r="L174" s="3" t="inlineStr">
        <is>
          <t>Normal</t>
        </is>
      </c>
      <c r="M174" s="3" t="inlineStr">
        <is>
          <t>chave 173</t>
        </is>
      </c>
    </row>
    <row r="175">
      <c r="A175" s="2" t="n">
        <v>174</v>
      </c>
      <c r="B175" s="3" t="inlineStr">
        <is>
          <t xml:space="preserve">VINICIUS MENDONCA SANTOS </t>
        </is>
      </c>
      <c r="C175" s="3" t="inlineStr">
        <is>
          <t>NORDESTE</t>
        </is>
      </c>
      <c r="D175" s="3" t="inlineStr">
        <is>
          <t>PB</t>
        </is>
      </c>
      <c r="E175" s="3" t="inlineStr">
        <is>
          <t>João Pessoa</t>
        </is>
      </c>
      <c r="F175" s="3" t="inlineStr">
        <is>
          <t xml:space="preserve">CRUZ DAS ALMAS </t>
        </is>
      </c>
      <c r="G175" s="3" t="inlineStr">
        <is>
          <t>58085000</t>
        </is>
      </c>
      <c r="H175" s="3" t="inlineStr">
        <is>
          <t>Rodrigo</t>
        </is>
      </c>
      <c r="I175" s="3" t="inlineStr">
        <is>
          <t>Pontual</t>
        </is>
      </c>
      <c r="J175" s="2" t="n">
        <v>105</v>
      </c>
      <c r="K175" s="3" t="inlineStr">
        <is>
          <t>Semana 3</t>
        </is>
      </c>
      <c r="L175" s="3" t="inlineStr">
        <is>
          <t>Normal</t>
        </is>
      </c>
      <c r="M175" s="3" t="inlineStr">
        <is>
          <t>chave 174</t>
        </is>
      </c>
    </row>
    <row r="176">
      <c r="A176" s="2" t="n">
        <v>175</v>
      </c>
      <c r="B176" s="3" t="inlineStr">
        <is>
          <t xml:space="preserve">ALBUQUERQUE &amp; ALBUQUERQUE LTDA </t>
        </is>
      </c>
      <c r="C176" s="3" t="inlineStr">
        <is>
          <t>NORDESTE</t>
        </is>
      </c>
      <c r="D176" s="3" t="inlineStr">
        <is>
          <t>PB</t>
        </is>
      </c>
      <c r="E176" s="3" t="inlineStr">
        <is>
          <t>CAMPINA GRANDE</t>
        </is>
      </c>
      <c r="F176" s="3" t="inlineStr">
        <is>
          <t xml:space="preserve">CENTRO </t>
        </is>
      </c>
      <c r="G176" s="3" t="inlineStr">
        <is>
          <t>58400062</t>
        </is>
      </c>
      <c r="H176" s="3" t="inlineStr">
        <is>
          <t>Rodrigo</t>
        </is>
      </c>
      <c r="I176" s="3" t="inlineStr">
        <is>
          <t>Pontual</t>
        </is>
      </c>
      <c r="J176" s="2" t="n">
        <v>105</v>
      </c>
      <c r="K176" s="3" t="inlineStr">
        <is>
          <t>Semana 3</t>
        </is>
      </c>
      <c r="L176" s="3" t="inlineStr">
        <is>
          <t>Normal</t>
        </is>
      </c>
      <c r="M176" s="3" t="inlineStr">
        <is>
          <t>chave 175</t>
        </is>
      </c>
    </row>
    <row r="177">
      <c r="A177" s="2" t="n">
        <v>176</v>
      </c>
      <c r="B177" s="3" t="inlineStr">
        <is>
          <t xml:space="preserve">IVONALDO DE SA CAVALCANTE </t>
        </is>
      </c>
      <c r="C177" s="3" t="inlineStr">
        <is>
          <t>NORDESTE</t>
        </is>
      </c>
      <c r="D177" s="3" t="inlineStr">
        <is>
          <t>PB</t>
        </is>
      </c>
      <c r="E177" s="3" t="inlineStr">
        <is>
          <t>Catolé do Rocha</t>
        </is>
      </c>
      <c r="F177" s="3" t="inlineStr">
        <is>
          <t xml:space="preserve">CENTRO </t>
        </is>
      </c>
      <c r="G177" s="3" t="inlineStr">
        <is>
          <t>58884000</t>
        </is>
      </c>
      <c r="H177" s="3" t="inlineStr">
        <is>
          <t>Rodrigo</t>
        </is>
      </c>
      <c r="I177" s="3" t="inlineStr">
        <is>
          <t>Pontual</t>
        </is>
      </c>
      <c r="J177" s="2" t="n">
        <v>105</v>
      </c>
      <c r="K177" s="3" t="inlineStr">
        <is>
          <t>Semana 3</t>
        </is>
      </c>
      <c r="L177" s="3" t="inlineStr">
        <is>
          <t>Normal</t>
        </is>
      </c>
      <c r="M177" s="3" t="inlineStr">
        <is>
          <t>chave 176</t>
        </is>
      </c>
    </row>
    <row r="178">
      <c r="A178" s="2" t="n">
        <v>177</v>
      </c>
      <c r="B178" s="3" t="inlineStr">
        <is>
          <t xml:space="preserve">VALDAMI DE MENESES PEREIRA </t>
        </is>
      </c>
      <c r="C178" s="3" t="inlineStr">
        <is>
          <t>NORDESTE</t>
        </is>
      </c>
      <c r="D178" s="3" t="inlineStr">
        <is>
          <t>PB</t>
        </is>
      </c>
      <c r="E178" s="3" t="inlineStr">
        <is>
          <t>Solânea</t>
        </is>
      </c>
      <c r="F178" s="3" t="inlineStr">
        <is>
          <t xml:space="preserve">CENTRO </t>
        </is>
      </c>
      <c r="G178" s="3" t="inlineStr">
        <is>
          <t>58225000</t>
        </is>
      </c>
      <c r="H178" s="3" t="inlineStr">
        <is>
          <t>Rodrigo</t>
        </is>
      </c>
      <c r="I178" s="3" t="inlineStr">
        <is>
          <t>Pontual</t>
        </is>
      </c>
      <c r="J178" s="2" t="n">
        <v>105</v>
      </c>
      <c r="K178" s="3" t="inlineStr">
        <is>
          <t>Semana 3</t>
        </is>
      </c>
      <c r="L178" s="3" t="inlineStr">
        <is>
          <t>Normal</t>
        </is>
      </c>
      <c r="M178" s="3" t="inlineStr">
        <is>
          <t>chave 177</t>
        </is>
      </c>
    </row>
    <row r="179">
      <c r="A179" s="2" t="n">
        <v>178</v>
      </c>
      <c r="B179" s="3" t="inlineStr">
        <is>
          <t xml:space="preserve">LICIA ROCHA DE MEDEIROS GUEDES </t>
        </is>
      </c>
      <c r="C179" s="3" t="inlineStr">
        <is>
          <t>NORDESTE</t>
        </is>
      </c>
      <c r="D179" s="3" t="inlineStr">
        <is>
          <t>PB</t>
        </is>
      </c>
      <c r="E179" s="3" t="inlineStr">
        <is>
          <t>PATOS</t>
        </is>
      </c>
      <c r="F179" s="3" t="inlineStr">
        <is>
          <t xml:space="preserve">CENTRO </t>
        </is>
      </c>
      <c r="G179" s="3" t="inlineStr">
        <is>
          <t>58700070</t>
        </is>
      </c>
      <c r="H179" s="3" t="inlineStr">
        <is>
          <t>Rodrigo</t>
        </is>
      </c>
      <c r="I179" s="3" t="inlineStr">
        <is>
          <t>Pontual</t>
        </is>
      </c>
      <c r="J179" s="2" t="n">
        <v>105</v>
      </c>
      <c r="K179" s="3" t="inlineStr">
        <is>
          <t>Semana 3</t>
        </is>
      </c>
      <c r="L179" s="3" t="inlineStr">
        <is>
          <t>Normal</t>
        </is>
      </c>
      <c r="M179" s="3" t="inlineStr">
        <is>
          <t>chave 178</t>
        </is>
      </c>
    </row>
    <row r="180">
      <c r="A180" s="2" t="n">
        <v>179</v>
      </c>
      <c r="B180" s="3" t="inlineStr">
        <is>
          <t xml:space="preserve">4J COMERCIO DE ARTIGOS DE PAP. E DESCARTAVEIS LTDA </t>
        </is>
      </c>
      <c r="C180" s="3" t="inlineStr">
        <is>
          <t>NORDESTE</t>
        </is>
      </c>
      <c r="D180" s="3" t="inlineStr">
        <is>
          <t>PB</t>
        </is>
      </c>
      <c r="E180" s="3" t="inlineStr">
        <is>
          <t>João Pessoa</t>
        </is>
      </c>
      <c r="F180" s="3" t="inlineStr">
        <is>
          <t xml:space="preserve">ERNESTO GEISEL </t>
        </is>
      </c>
      <c r="G180" s="3" t="inlineStr">
        <is>
          <t>58075390</t>
        </is>
      </c>
      <c r="H180" s="3" t="inlineStr">
        <is>
          <t>Rodrigo</t>
        </is>
      </c>
      <c r="I180" s="3" t="inlineStr">
        <is>
          <t>Pontual</t>
        </is>
      </c>
      <c r="J180" s="2" t="n">
        <v>105</v>
      </c>
      <c r="K180" s="3" t="inlineStr">
        <is>
          <t>Semana 3</t>
        </is>
      </c>
      <c r="L180" s="3" t="inlineStr">
        <is>
          <t>Normal</t>
        </is>
      </c>
      <c r="M180" s="3" t="inlineStr">
        <is>
          <t>chave 179</t>
        </is>
      </c>
    </row>
    <row r="181">
      <c r="A181" s="2" t="n">
        <v>180</v>
      </c>
      <c r="B181" s="3" t="inlineStr">
        <is>
          <t xml:space="preserve">COSTA GONDIM &amp; CIA LTDA </t>
        </is>
      </c>
      <c r="C181" s="3" t="inlineStr">
        <is>
          <t>NORDESTE</t>
        </is>
      </c>
      <c r="D181" s="3" t="inlineStr">
        <is>
          <t>PB</t>
        </is>
      </c>
      <c r="E181" s="3" t="inlineStr">
        <is>
          <t>João Pessoa</t>
        </is>
      </c>
      <c r="F181" s="3" t="inlineStr">
        <is>
          <t xml:space="preserve">CENTRO </t>
        </is>
      </c>
      <c r="G181" s="3" t="inlineStr">
        <is>
          <t>58013370</t>
        </is>
      </c>
      <c r="H181" s="3" t="inlineStr">
        <is>
          <t>Rodrigo</t>
        </is>
      </c>
      <c r="I181" s="3" t="inlineStr">
        <is>
          <t>Pontual</t>
        </is>
      </c>
      <c r="J181" s="2" t="n">
        <v>105</v>
      </c>
      <c r="K181" s="3" t="inlineStr">
        <is>
          <t>Semana 3</t>
        </is>
      </c>
      <c r="L181" s="3" t="inlineStr">
        <is>
          <t>Normal</t>
        </is>
      </c>
      <c r="M181" s="3" t="inlineStr">
        <is>
          <t>chave 180</t>
        </is>
      </c>
    </row>
    <row r="182">
      <c r="A182" s="2" t="n">
        <v>181</v>
      </c>
      <c r="B182" s="3" t="inlineStr">
        <is>
          <t xml:space="preserve">FABIANA MENDES LINS MODA UTILIDADES </t>
        </is>
      </c>
      <c r="C182" s="3" t="inlineStr">
        <is>
          <t>NORDESTE</t>
        </is>
      </c>
      <c r="D182" s="3" t="inlineStr">
        <is>
          <t>PB</t>
        </is>
      </c>
      <c r="E182" s="3" t="inlineStr">
        <is>
          <t>GUARABIRA</t>
        </is>
      </c>
      <c r="F182" s="3" t="inlineStr">
        <is>
          <t xml:space="preserve">CENTRO </t>
        </is>
      </c>
      <c r="G182" s="3" t="inlineStr">
        <is>
          <t>58200000</t>
        </is>
      </c>
      <c r="H182" s="3" t="inlineStr">
        <is>
          <t>Rodrigo</t>
        </is>
      </c>
      <c r="I182" s="3" t="inlineStr">
        <is>
          <t>Pontual</t>
        </is>
      </c>
      <c r="J182" s="2" t="n">
        <v>105</v>
      </c>
      <c r="K182" s="3" t="inlineStr">
        <is>
          <t>Semana 3</t>
        </is>
      </c>
      <c r="L182" s="3" t="inlineStr">
        <is>
          <t>Normal</t>
        </is>
      </c>
      <c r="M182" s="3" t="inlineStr">
        <is>
          <t>chave 181</t>
        </is>
      </c>
    </row>
    <row r="183">
      <c r="A183" s="2" t="n">
        <v>182</v>
      </c>
      <c r="B183" s="3" t="inlineStr">
        <is>
          <t xml:space="preserve">JOSE HUMBERTO ROMAO DA SILVA </t>
        </is>
      </c>
      <c r="C183" s="3" t="inlineStr">
        <is>
          <t>NORDESTE</t>
        </is>
      </c>
      <c r="D183" s="3" t="inlineStr">
        <is>
          <t>PB</t>
        </is>
      </c>
      <c r="E183" s="3" t="inlineStr">
        <is>
          <t>SANTA RITA</t>
        </is>
      </c>
      <c r="F183" s="3" t="inlineStr">
        <is>
          <t xml:space="preserve">CONJ TIBIRI II </t>
        </is>
      </c>
      <c r="G183" s="3" t="inlineStr">
        <is>
          <t>58302000</t>
        </is>
      </c>
      <c r="H183" s="3" t="inlineStr">
        <is>
          <t>Rodrigo</t>
        </is>
      </c>
      <c r="I183" s="3" t="inlineStr">
        <is>
          <t>Pontual</t>
        </is>
      </c>
      <c r="J183" s="2" t="n">
        <v>105</v>
      </c>
      <c r="K183" s="3" t="inlineStr">
        <is>
          <t>Semana 3</t>
        </is>
      </c>
      <c r="L183" s="3" t="inlineStr">
        <is>
          <t>Normal</t>
        </is>
      </c>
      <c r="M183" s="3" t="inlineStr">
        <is>
          <t>chave 182</t>
        </is>
      </c>
    </row>
    <row r="184">
      <c r="A184" s="2" t="n">
        <v>183</v>
      </c>
      <c r="B184" s="3" t="inlineStr">
        <is>
          <t xml:space="preserve">JOSE FLORENTINO DE MELO </t>
        </is>
      </c>
      <c r="C184" s="3" t="inlineStr">
        <is>
          <t>NORDESTE</t>
        </is>
      </c>
      <c r="D184" s="3" t="inlineStr">
        <is>
          <t>PB</t>
        </is>
      </c>
      <c r="E184" s="3" t="inlineStr">
        <is>
          <t>PATOS</t>
        </is>
      </c>
      <c r="F184" s="3" t="inlineStr">
        <is>
          <t xml:space="preserve">CENTRO </t>
        </is>
      </c>
      <c r="G184" s="3" t="inlineStr">
        <is>
          <t>58701630</t>
        </is>
      </c>
      <c r="H184" s="3" t="inlineStr">
        <is>
          <t>Rodrigo</t>
        </is>
      </c>
      <c r="I184" s="3" t="inlineStr">
        <is>
          <t>Pontual</t>
        </is>
      </c>
      <c r="J184" s="2" t="n">
        <v>105</v>
      </c>
      <c r="K184" s="3" t="inlineStr">
        <is>
          <t>Semana 3</t>
        </is>
      </c>
      <c r="L184" s="3" t="inlineStr">
        <is>
          <t>Normal</t>
        </is>
      </c>
      <c r="M184" s="3" t="inlineStr">
        <is>
          <t>chave 183</t>
        </is>
      </c>
    </row>
    <row r="185">
      <c r="A185" s="2" t="n">
        <v>184</v>
      </c>
      <c r="B185" s="3" t="inlineStr">
        <is>
          <t xml:space="preserve">DISTRIBUIDORA DADA BIJOUTERIAS LTDA </t>
        </is>
      </c>
      <c r="C185" s="3" t="inlineStr">
        <is>
          <t>NORDESTE</t>
        </is>
      </c>
      <c r="D185" s="3" t="inlineStr">
        <is>
          <t>PB</t>
        </is>
      </c>
      <c r="E185" s="3" t="inlineStr">
        <is>
          <t>CAJAZEIRAS</t>
        </is>
      </c>
      <c r="F185" s="3" t="inlineStr">
        <is>
          <t xml:space="preserve">CENTRO </t>
        </is>
      </c>
      <c r="G185" s="3" t="inlineStr">
        <is>
          <t>58900000</t>
        </is>
      </c>
      <c r="H185" s="3" t="inlineStr">
        <is>
          <t>Rodrigo</t>
        </is>
      </c>
      <c r="I185" s="3" t="inlineStr">
        <is>
          <t>Pontual</t>
        </is>
      </c>
      <c r="J185" s="2" t="n">
        <v>105</v>
      </c>
      <c r="K185" s="3" t="inlineStr">
        <is>
          <t>Semana 3</t>
        </is>
      </c>
      <c r="L185" s="3" t="inlineStr">
        <is>
          <t>Normal</t>
        </is>
      </c>
      <c r="M185" s="3" t="inlineStr">
        <is>
          <t>chave 184</t>
        </is>
      </c>
    </row>
    <row r="186">
      <c r="A186" s="2" t="n">
        <v>185</v>
      </c>
      <c r="B186" s="3" t="inlineStr">
        <is>
          <t xml:space="preserve">ANTONIO DE OLIVEIRA LTDA </t>
        </is>
      </c>
      <c r="C186" s="3" t="inlineStr">
        <is>
          <t>NORDESTE</t>
        </is>
      </c>
      <c r="D186" s="3" t="inlineStr">
        <is>
          <t>PB</t>
        </is>
      </c>
      <c r="E186" s="3" t="inlineStr">
        <is>
          <t>MARI</t>
        </is>
      </c>
      <c r="F186" s="3" t="inlineStr">
        <is>
          <t xml:space="preserve">CENTRO </t>
        </is>
      </c>
      <c r="G186" s="3" t="inlineStr">
        <is>
          <t>58345000</t>
        </is>
      </c>
      <c r="H186" s="3" t="inlineStr">
        <is>
          <t>Rodrigo</t>
        </is>
      </c>
      <c r="I186" s="3" t="inlineStr">
        <is>
          <t>Pontual</t>
        </is>
      </c>
      <c r="J186" s="2" t="n">
        <v>105</v>
      </c>
      <c r="K186" s="3" t="inlineStr">
        <is>
          <t>Semana 3</t>
        </is>
      </c>
      <c r="L186" s="3" t="inlineStr">
        <is>
          <t>Normal</t>
        </is>
      </c>
      <c r="M186" s="3" t="inlineStr">
        <is>
          <t>chave 185</t>
        </is>
      </c>
    </row>
    <row r="187">
      <c r="A187" s="2" t="n">
        <v>186</v>
      </c>
      <c r="B187" s="3" t="inlineStr">
        <is>
          <t xml:space="preserve">COMERCIAL DE LINHAS E FIOS LTDA </t>
        </is>
      </c>
      <c r="C187" s="3" t="inlineStr">
        <is>
          <t>NORDESTE</t>
        </is>
      </c>
      <c r="D187" s="3" t="inlineStr">
        <is>
          <t>PB</t>
        </is>
      </c>
      <c r="E187" s="3" t="inlineStr">
        <is>
          <t>CAMPINA GRANDE</t>
        </is>
      </c>
      <c r="F187" s="3" t="inlineStr">
        <is>
          <t xml:space="preserve">CENTRO </t>
        </is>
      </c>
      <c r="G187" s="3" t="inlineStr">
        <is>
          <t>58400002</t>
        </is>
      </c>
      <c r="H187" s="3" t="inlineStr">
        <is>
          <t>Rodrigo</t>
        </is>
      </c>
      <c r="I187" s="3" t="inlineStr">
        <is>
          <t>Pontual</t>
        </is>
      </c>
      <c r="J187" s="2" t="n">
        <v>105</v>
      </c>
      <c r="K187" s="3" t="inlineStr">
        <is>
          <t>Semana 3</t>
        </is>
      </c>
      <c r="L187" s="3" t="inlineStr">
        <is>
          <t>Normal</t>
        </is>
      </c>
      <c r="M187" s="3" t="inlineStr">
        <is>
          <t>chave 186</t>
        </is>
      </c>
    </row>
    <row r="188">
      <c r="A188" s="2" t="n">
        <v>187</v>
      </c>
      <c r="B188" s="3" t="inlineStr">
        <is>
          <t xml:space="preserve">HC DISTRIBUIDORA LTDA </t>
        </is>
      </c>
      <c r="C188" s="3" t="inlineStr">
        <is>
          <t>NORDESTE</t>
        </is>
      </c>
      <c r="D188" s="3" t="inlineStr">
        <is>
          <t>PB</t>
        </is>
      </c>
      <c r="E188" s="3" t="inlineStr">
        <is>
          <t>João Pessoa</t>
        </is>
      </c>
      <c r="F188" s="3" t="inlineStr">
        <is>
          <t xml:space="preserve">VARJAO </t>
        </is>
      </c>
      <c r="G188" s="3" t="inlineStr">
        <is>
          <t>58070000</t>
        </is>
      </c>
      <c r="H188" s="3" t="inlineStr">
        <is>
          <t>Rodrigo</t>
        </is>
      </c>
      <c r="I188" s="3" t="inlineStr">
        <is>
          <t>Pontual</t>
        </is>
      </c>
      <c r="J188" s="2" t="n">
        <v>105</v>
      </c>
      <c r="K188" s="3" t="inlineStr">
        <is>
          <t>Semana 3</t>
        </is>
      </c>
      <c r="L188" s="3" t="inlineStr">
        <is>
          <t>Normal</t>
        </is>
      </c>
      <c r="M188" s="3" t="inlineStr">
        <is>
          <t>chave 187</t>
        </is>
      </c>
    </row>
    <row r="189">
      <c r="A189" s="2" t="n">
        <v>188</v>
      </c>
      <c r="B189" s="3" t="inlineStr">
        <is>
          <t xml:space="preserve">ANTONIO ALFERES PINHEIRO </t>
        </is>
      </c>
      <c r="C189" s="3" t="inlineStr">
        <is>
          <t>NORDESTE</t>
        </is>
      </c>
      <c r="D189" s="3" t="inlineStr">
        <is>
          <t>PB</t>
        </is>
      </c>
      <c r="E189" s="3" t="inlineStr">
        <is>
          <t>Uiraúna</t>
        </is>
      </c>
      <c r="F189" s="3" t="inlineStr">
        <is>
          <t xml:space="preserve">CENTRO </t>
        </is>
      </c>
      <c r="G189" s="3" t="inlineStr">
        <is>
          <t>58915000</t>
        </is>
      </c>
      <c r="H189" s="3" t="inlineStr">
        <is>
          <t>Rodrigo</t>
        </is>
      </c>
      <c r="I189" s="3" t="inlineStr">
        <is>
          <t>Pontual</t>
        </is>
      </c>
      <c r="J189" s="2" t="n">
        <v>105</v>
      </c>
      <c r="K189" s="3" t="inlineStr">
        <is>
          <t>Semana 3</t>
        </is>
      </c>
      <c r="L189" s="3" t="inlineStr">
        <is>
          <t>Normal</t>
        </is>
      </c>
      <c r="M189" s="3" t="inlineStr">
        <is>
          <t>chave 188</t>
        </is>
      </c>
    </row>
    <row r="190">
      <c r="A190" s="2" t="n">
        <v>189</v>
      </c>
      <c r="B190" s="3" t="inlineStr">
        <is>
          <t xml:space="preserve">DANNY MAGAZINE COMERCIO VAREJISTA LTDA </t>
        </is>
      </c>
      <c r="C190" s="3" t="inlineStr">
        <is>
          <t>NORDESTE</t>
        </is>
      </c>
      <c r="D190" s="3" t="inlineStr">
        <is>
          <t>PB</t>
        </is>
      </c>
      <c r="E190" s="3" t="inlineStr">
        <is>
          <t>SANTA RITA</t>
        </is>
      </c>
      <c r="F190" s="3" t="inlineStr">
        <is>
          <t xml:space="preserve">CENTRO </t>
        </is>
      </c>
      <c r="G190" s="3" t="inlineStr">
        <is>
          <t>58300010</t>
        </is>
      </c>
      <c r="H190" s="3" t="inlineStr">
        <is>
          <t>Rodrigo</t>
        </is>
      </c>
      <c r="I190" s="3" t="inlineStr">
        <is>
          <t>Pontual</t>
        </is>
      </c>
      <c r="J190" s="2" t="n">
        <v>105</v>
      </c>
      <c r="K190" s="3" t="inlineStr">
        <is>
          <t>Semana 3</t>
        </is>
      </c>
      <c r="L190" s="3" t="inlineStr">
        <is>
          <t>Normal</t>
        </is>
      </c>
      <c r="M190" s="3" t="inlineStr">
        <is>
          <t>chave 189</t>
        </is>
      </c>
    </row>
    <row r="191">
      <c r="A191" s="2" t="n">
        <v>190</v>
      </c>
      <c r="B191" s="3" t="inlineStr">
        <is>
          <t xml:space="preserve">PARATY ATACADO E DISTRIBUIDORA LTDA </t>
        </is>
      </c>
      <c r="C191" s="3" t="inlineStr">
        <is>
          <t>NORDESTE</t>
        </is>
      </c>
      <c r="D191" s="3" t="inlineStr">
        <is>
          <t>PE</t>
        </is>
      </c>
      <c r="E191" s="3" t="inlineStr">
        <is>
          <t>FLORESTA</t>
        </is>
      </c>
      <c r="F191" s="3" t="inlineStr">
        <is>
          <t xml:space="preserve">CENTRO </t>
        </is>
      </c>
      <c r="G191" s="3" t="inlineStr">
        <is>
          <t>56400000</t>
        </is>
      </c>
      <c r="H191" s="3" t="inlineStr">
        <is>
          <t>Rodrigo</t>
        </is>
      </c>
      <c r="I191" s="3" t="inlineStr">
        <is>
          <t>Pontual</t>
        </is>
      </c>
      <c r="J191" s="2" t="n">
        <v>0</v>
      </c>
      <c r="K191" s="3" t="inlineStr">
        <is>
          <t>Semana 3</t>
        </is>
      </c>
      <c r="L191" s="3" t="inlineStr">
        <is>
          <t>Normal</t>
        </is>
      </c>
      <c r="M191" s="3" t="inlineStr">
        <is>
          <t>chave 190</t>
        </is>
      </c>
    </row>
    <row r="192">
      <c r="A192" s="2" t="n">
        <v>191</v>
      </c>
      <c r="B192" s="3" t="inlineStr">
        <is>
          <t xml:space="preserve">SEDE DAS MIUDEZAS ATACADO LTDA </t>
        </is>
      </c>
      <c r="C192" s="3" t="inlineStr">
        <is>
          <t>NORDESTE</t>
        </is>
      </c>
      <c r="D192" s="3" t="inlineStr">
        <is>
          <t>PE</t>
        </is>
      </c>
      <c r="E192" s="3" t="inlineStr">
        <is>
          <t>RECIFE</t>
        </is>
      </c>
      <c r="F192" s="3" t="inlineStr">
        <is>
          <t xml:space="preserve">IMBIRIBEIRA </t>
        </is>
      </c>
      <c r="G192" s="3" t="inlineStr">
        <is>
          <t>51160140</t>
        </is>
      </c>
      <c r="H192" s="3" t="inlineStr">
        <is>
          <t>Rodrigo</t>
        </is>
      </c>
      <c r="I192" s="3" t="inlineStr">
        <is>
          <t>Estratégico</t>
        </is>
      </c>
      <c r="J192" s="2" t="n">
        <v>0</v>
      </c>
      <c r="K192" s="3" t="inlineStr">
        <is>
          <t>Semana 1</t>
        </is>
      </c>
      <c r="L192" s="3" t="inlineStr">
        <is>
          <t>Alta</t>
        </is>
      </c>
      <c r="M192" s="3" t="inlineStr">
        <is>
          <t>chave 191</t>
        </is>
      </c>
    </row>
    <row r="193">
      <c r="A193" s="2" t="n">
        <v>192</v>
      </c>
      <c r="B193" s="3" t="inlineStr">
        <is>
          <t xml:space="preserve">JOAO DUQUE COMERCIAL LTDA </t>
        </is>
      </c>
      <c r="C193" s="3" t="inlineStr">
        <is>
          <t>NORDESTE</t>
        </is>
      </c>
      <c r="D193" s="3" t="inlineStr">
        <is>
          <t>PE</t>
        </is>
      </c>
      <c r="E193" s="3" t="inlineStr">
        <is>
          <t>SERRA TALHADA</t>
        </is>
      </c>
      <c r="F193" s="3" t="inlineStr">
        <is>
          <t xml:space="preserve">N.SENHORA DA PENHA </t>
        </is>
      </c>
      <c r="G193" s="3" t="inlineStr">
        <is>
          <t>56903510</t>
        </is>
      </c>
      <c r="H193" s="3" t="inlineStr">
        <is>
          <t>Rodrigo</t>
        </is>
      </c>
      <c r="I193" s="3" t="inlineStr">
        <is>
          <t>Pontual</t>
        </is>
      </c>
      <c r="J193" s="2" t="n">
        <v>0</v>
      </c>
      <c r="K193" s="3" t="inlineStr">
        <is>
          <t>Semana 4</t>
        </is>
      </c>
      <c r="L193" s="3" t="inlineStr">
        <is>
          <t>Normal</t>
        </is>
      </c>
      <c r="M193" s="3" t="inlineStr">
        <is>
          <t>chave 192</t>
        </is>
      </c>
    </row>
    <row r="194">
      <c r="A194" s="2" t="n">
        <v>193</v>
      </c>
      <c r="B194" s="3" t="inlineStr">
        <is>
          <t xml:space="preserve">F MACIEL LTDA </t>
        </is>
      </c>
      <c r="C194" s="3" t="inlineStr">
        <is>
          <t>NORDESTE</t>
        </is>
      </c>
      <c r="D194" s="3" t="inlineStr">
        <is>
          <t>PE</t>
        </is>
      </c>
      <c r="E194" s="3" t="inlineStr">
        <is>
          <t>BELO JARDIM</t>
        </is>
      </c>
      <c r="F194" s="3" t="inlineStr">
        <is>
          <t xml:space="preserve">CENTRO </t>
        </is>
      </c>
      <c r="G194" s="3" t="inlineStr">
        <is>
          <t>55150110</t>
        </is>
      </c>
      <c r="H194" s="3" t="inlineStr">
        <is>
          <t>Rodrigo</t>
        </is>
      </c>
      <c r="I194" s="3" t="inlineStr">
        <is>
          <t>Pontual</t>
        </is>
      </c>
      <c r="J194" s="2" t="n">
        <v>0</v>
      </c>
      <c r="K194" s="3" t="inlineStr">
        <is>
          <t>Semana 3</t>
        </is>
      </c>
      <c r="L194" s="3" t="inlineStr">
        <is>
          <t>Normal</t>
        </is>
      </c>
      <c r="M194" s="3" t="inlineStr">
        <is>
          <t>chave 193</t>
        </is>
      </c>
    </row>
    <row r="195">
      <c r="A195" s="2" t="n">
        <v>194</v>
      </c>
      <c r="B195" s="3" t="inlineStr">
        <is>
          <t xml:space="preserve">FL DISTRIBUIDORA DE HIGIENE E LIMPEZA LTDA </t>
        </is>
      </c>
      <c r="C195" s="3" t="inlineStr">
        <is>
          <t>NORDESTE</t>
        </is>
      </c>
      <c r="D195" s="3" t="inlineStr">
        <is>
          <t>PE</t>
        </is>
      </c>
      <c r="E195" s="3" t="inlineStr">
        <is>
          <t>RECIFE</t>
        </is>
      </c>
      <c r="F195" s="3" t="inlineStr">
        <is>
          <t xml:space="preserve">VARZEA </t>
        </is>
      </c>
      <c r="G195" s="3" t="inlineStr">
        <is>
          <t>50740120</t>
        </is>
      </c>
      <c r="H195" s="3" t="inlineStr">
        <is>
          <t>Rodrigo</t>
        </is>
      </c>
      <c r="I195" s="3" t="inlineStr">
        <is>
          <t>Estratégico</t>
        </is>
      </c>
      <c r="J195" s="2" t="n">
        <v>0</v>
      </c>
      <c r="K195" s="3" t="inlineStr">
        <is>
          <t>Semana 1</t>
        </is>
      </c>
      <c r="L195" s="3" t="inlineStr">
        <is>
          <t>Alta</t>
        </is>
      </c>
      <c r="M195" s="3" t="inlineStr">
        <is>
          <t>chave 194</t>
        </is>
      </c>
    </row>
    <row r="196">
      <c r="A196" s="2" t="n">
        <v>195</v>
      </c>
      <c r="B196" s="3" t="inlineStr">
        <is>
          <t xml:space="preserve">CLECIO DE N BARROS </t>
        </is>
      </c>
      <c r="C196" s="3" t="inlineStr">
        <is>
          <t>NORDESTE</t>
        </is>
      </c>
      <c r="D196" s="3" t="inlineStr">
        <is>
          <t>PE</t>
        </is>
      </c>
      <c r="E196" s="3" t="inlineStr">
        <is>
          <t>São José do Belmonte</t>
        </is>
      </c>
      <c r="F196" s="3" t="inlineStr">
        <is>
          <t xml:space="preserve">CENTRO </t>
        </is>
      </c>
      <c r="G196" s="3" t="inlineStr">
        <is>
          <t>56950000</t>
        </is>
      </c>
      <c r="H196" s="3" t="inlineStr">
        <is>
          <t>Rodrigo</t>
        </is>
      </c>
      <c r="I196" s="3" t="inlineStr">
        <is>
          <t>Pontual</t>
        </is>
      </c>
      <c r="J196" s="2" t="n">
        <v>0</v>
      </c>
      <c r="K196" s="3" t="inlineStr">
        <is>
          <t>Semana 4</t>
        </is>
      </c>
      <c r="L196" s="3" t="inlineStr">
        <is>
          <t>Normal</t>
        </is>
      </c>
      <c r="M196" s="3" t="inlineStr">
        <is>
          <t>chave 195</t>
        </is>
      </c>
    </row>
    <row r="197">
      <c r="A197" s="2" t="n">
        <v>196</v>
      </c>
      <c r="B197" s="3" t="inlineStr">
        <is>
          <t xml:space="preserve">LUZIMAR VIEIRA BRAINER PAPELARIA </t>
        </is>
      </c>
      <c r="C197" s="3" t="inlineStr">
        <is>
          <t>NORDESTE</t>
        </is>
      </c>
      <c r="D197" s="3" t="inlineStr">
        <is>
          <t>PE</t>
        </is>
      </c>
      <c r="E197" s="3" t="inlineStr">
        <is>
          <t>Jaboatão dos Guararapes</t>
        </is>
      </c>
      <c r="F197" s="3" t="inlineStr">
        <is>
          <t xml:space="preserve">CAVALEIRO </t>
        </is>
      </c>
      <c r="G197" s="3" t="inlineStr">
        <is>
          <t>54250370</t>
        </is>
      </c>
      <c r="H197" s="3" t="inlineStr">
        <is>
          <t>Rodrigo</t>
        </is>
      </c>
      <c r="I197" s="3" t="inlineStr">
        <is>
          <t>Pontual</t>
        </is>
      </c>
      <c r="J197" s="2" t="n">
        <v>0</v>
      </c>
      <c r="K197" s="3" t="inlineStr">
        <is>
          <t>Semana 3</t>
        </is>
      </c>
      <c r="L197" s="3" t="inlineStr">
        <is>
          <t>Normal</t>
        </is>
      </c>
      <c r="M197" s="3" t="inlineStr">
        <is>
          <t>chave 196</t>
        </is>
      </c>
    </row>
    <row r="198">
      <c r="A198" s="2" t="n">
        <v>197</v>
      </c>
      <c r="B198" s="3" t="inlineStr">
        <is>
          <t xml:space="preserve">MARIA RITA DA SILVA BATISTA </t>
        </is>
      </c>
      <c r="C198" s="3" t="inlineStr">
        <is>
          <t>NORDESTE</t>
        </is>
      </c>
      <c r="D198" s="3" t="inlineStr">
        <is>
          <t>PE</t>
        </is>
      </c>
      <c r="E198" s="3" t="inlineStr">
        <is>
          <t>CARUARU</t>
        </is>
      </c>
      <c r="F198" s="3" t="inlineStr">
        <is>
          <t xml:space="preserve">NOSS SENHORA DAS DORES </t>
        </is>
      </c>
      <c r="G198" s="3" t="inlineStr">
        <is>
          <t>55004120</t>
        </is>
      </c>
      <c r="H198" s="3" t="inlineStr">
        <is>
          <t>Rodrigo</t>
        </is>
      </c>
      <c r="I198" s="3" t="inlineStr">
        <is>
          <t>Pontual</t>
        </is>
      </c>
      <c r="J198" s="2" t="n">
        <v>0</v>
      </c>
      <c r="K198" s="3" t="inlineStr">
        <is>
          <t>Semana 3</t>
        </is>
      </c>
      <c r="L198" s="3" t="inlineStr">
        <is>
          <t>Normal</t>
        </is>
      </c>
      <c r="M198" s="3" t="inlineStr">
        <is>
          <t>chave 197</t>
        </is>
      </c>
    </row>
    <row r="199">
      <c r="A199" s="2" t="n">
        <v>198</v>
      </c>
      <c r="B199" s="3" t="inlineStr">
        <is>
          <t xml:space="preserve">ZL COMERCIO LTDA </t>
        </is>
      </c>
      <c r="C199" s="3" t="inlineStr">
        <is>
          <t>NORDESTE</t>
        </is>
      </c>
      <c r="D199" s="3" t="inlineStr">
        <is>
          <t>PE</t>
        </is>
      </c>
      <c r="E199" s="3" t="inlineStr">
        <is>
          <t>Garanhuns</t>
        </is>
      </c>
      <c r="F199" s="3" t="inlineStr">
        <is>
          <t xml:space="preserve">CENTRO </t>
        </is>
      </c>
      <c r="G199" s="3" t="inlineStr">
        <is>
          <t>55293110</t>
        </is>
      </c>
      <c r="H199" s="3" t="inlineStr">
        <is>
          <t>Rodrigo</t>
        </is>
      </c>
      <c r="I199" s="3" t="inlineStr">
        <is>
          <t>Pontual</t>
        </is>
      </c>
      <c r="J199" s="2" t="n">
        <v>0</v>
      </c>
      <c r="K199" s="3" t="inlineStr">
        <is>
          <t>Semana 3</t>
        </is>
      </c>
      <c r="L199" s="3" t="inlineStr">
        <is>
          <t>Normal</t>
        </is>
      </c>
      <c r="M199" s="3" t="inlineStr">
        <is>
          <t>chave 198</t>
        </is>
      </c>
    </row>
    <row r="200">
      <c r="A200" s="2" t="n">
        <v>199</v>
      </c>
      <c r="B200" s="3" t="inlineStr">
        <is>
          <t xml:space="preserve">R D G DA SILVA LTDA </t>
        </is>
      </c>
      <c r="C200" s="3" t="inlineStr">
        <is>
          <t>NORDESTE</t>
        </is>
      </c>
      <c r="D200" s="3" t="inlineStr">
        <is>
          <t>PE</t>
        </is>
      </c>
      <c r="E200" s="3" t="inlineStr">
        <is>
          <t>CARUARU</t>
        </is>
      </c>
      <c r="F200" s="3" t="inlineStr">
        <is>
          <t xml:space="preserve">PETROPOLIS </t>
        </is>
      </c>
      <c r="G200" s="3" t="inlineStr">
        <is>
          <t>55030580</t>
        </is>
      </c>
      <c r="H200" s="3" t="inlineStr">
        <is>
          <t>Rodrigo</t>
        </is>
      </c>
      <c r="I200" s="3" t="inlineStr">
        <is>
          <t>Pontual</t>
        </is>
      </c>
      <c r="J200" s="2" t="n">
        <v>0</v>
      </c>
      <c r="K200" s="3" t="inlineStr">
        <is>
          <t>Semana 3</t>
        </is>
      </c>
      <c r="L200" s="3" t="inlineStr">
        <is>
          <t>Normal</t>
        </is>
      </c>
      <c r="M200" s="3" t="inlineStr">
        <is>
          <t>chave 199</t>
        </is>
      </c>
    </row>
    <row r="201">
      <c r="A201" s="2" t="n">
        <v>200</v>
      </c>
      <c r="B201" s="3" t="inlineStr">
        <is>
          <t xml:space="preserve">AVELAR RAMOS DE BRITO </t>
        </is>
      </c>
      <c r="C201" s="3" t="inlineStr">
        <is>
          <t>NORDESTE</t>
        </is>
      </c>
      <c r="D201" s="3" t="inlineStr">
        <is>
          <t>PE</t>
        </is>
      </c>
      <c r="E201" s="3" t="inlineStr">
        <is>
          <t>PETROLINA</t>
        </is>
      </c>
      <c r="F201" s="3" t="inlineStr">
        <is>
          <t xml:space="preserve">CENTRO </t>
        </is>
      </c>
      <c r="G201" s="3" t="inlineStr">
        <is>
          <t>56302320</t>
        </is>
      </c>
      <c r="H201" s="3" t="inlineStr">
        <is>
          <t>Rodrigo</t>
        </is>
      </c>
      <c r="I201" s="3" t="inlineStr">
        <is>
          <t>Pontual</t>
        </is>
      </c>
      <c r="J201" s="2" t="n">
        <v>0</v>
      </c>
      <c r="K201" s="3" t="inlineStr">
        <is>
          <t>Semana 4</t>
        </is>
      </c>
      <c r="L201" s="3" t="inlineStr">
        <is>
          <t>Normal</t>
        </is>
      </c>
      <c r="M201" s="3" t="inlineStr">
        <is>
          <t>chave 200</t>
        </is>
      </c>
    </row>
    <row r="202">
      <c r="A202" s="2" t="n">
        <v>201</v>
      </c>
      <c r="B202" s="3" t="inlineStr">
        <is>
          <t xml:space="preserve">MARCOS AURELIO B MAGALHAES </t>
        </is>
      </c>
      <c r="C202" s="3" t="inlineStr">
        <is>
          <t>NORDESTE</t>
        </is>
      </c>
      <c r="D202" s="3" t="inlineStr">
        <is>
          <t>PE</t>
        </is>
      </c>
      <c r="E202" s="3" t="inlineStr">
        <is>
          <t>IBIMIRIM</t>
        </is>
      </c>
      <c r="F202" s="3" t="inlineStr">
        <is>
          <t xml:space="preserve">CENTRO </t>
        </is>
      </c>
      <c r="G202" s="3" t="inlineStr">
        <is>
          <t>56580000</t>
        </is>
      </c>
      <c r="H202" s="3" t="inlineStr">
        <is>
          <t>Rodrigo</t>
        </is>
      </c>
      <c r="I202" s="3" t="inlineStr">
        <is>
          <t>Pontual</t>
        </is>
      </c>
      <c r="J202" s="2" t="n">
        <v>0</v>
      </c>
      <c r="K202" s="3" t="inlineStr">
        <is>
          <t>Semana 3</t>
        </is>
      </c>
      <c r="L202" s="3" t="inlineStr">
        <is>
          <t>Normal</t>
        </is>
      </c>
      <c r="M202" s="3" t="inlineStr">
        <is>
          <t>chave 201</t>
        </is>
      </c>
    </row>
    <row r="203">
      <c r="A203" s="2" t="n">
        <v>202</v>
      </c>
      <c r="B203" s="3" t="inlineStr">
        <is>
          <t xml:space="preserve">MARCOS VARIEDADES LTDA </t>
        </is>
      </c>
      <c r="C203" s="3" t="inlineStr">
        <is>
          <t>NORDESTE</t>
        </is>
      </c>
      <c r="D203" s="3" t="inlineStr">
        <is>
          <t>PE</t>
        </is>
      </c>
      <c r="E203" s="3" t="inlineStr">
        <is>
          <t>CARPINA</t>
        </is>
      </c>
      <c r="F203" s="3" t="inlineStr">
        <is>
          <t xml:space="preserve">SAO SEBASTIAO </t>
        </is>
      </c>
      <c r="G203" s="3" t="inlineStr">
        <is>
          <t>55818595</t>
        </is>
      </c>
      <c r="H203" s="3" t="inlineStr">
        <is>
          <t>Rodrigo</t>
        </is>
      </c>
      <c r="I203" s="3" t="inlineStr">
        <is>
          <t>Pontual</t>
        </is>
      </c>
      <c r="J203" s="2" t="n">
        <v>0</v>
      </c>
      <c r="K203" s="3" t="inlineStr">
        <is>
          <t>Semana 3</t>
        </is>
      </c>
      <c r="L203" s="3" t="inlineStr">
        <is>
          <t>Normal</t>
        </is>
      </c>
      <c r="M203" s="3" t="inlineStr">
        <is>
          <t>chave 202</t>
        </is>
      </c>
    </row>
    <row r="204">
      <c r="A204" s="2" t="n">
        <v>203</v>
      </c>
      <c r="B204" s="3" t="inlineStr">
        <is>
          <t xml:space="preserve">MULT COMERCIO DE PRODUTOS DE PAPELARIA LTDA </t>
        </is>
      </c>
      <c r="C204" s="3" t="inlineStr">
        <is>
          <t>NORDESTE</t>
        </is>
      </c>
      <c r="D204" s="3" t="inlineStr">
        <is>
          <t>PE</t>
        </is>
      </c>
      <c r="E204" s="3" t="inlineStr">
        <is>
          <t>RECIFE</t>
        </is>
      </c>
      <c r="F204" s="3" t="inlineStr">
        <is>
          <t xml:space="preserve">CASA AMARELA </t>
        </is>
      </c>
      <c r="G204" s="3" t="inlineStr">
        <is>
          <t>52070060</t>
        </is>
      </c>
      <c r="H204" s="3" t="inlineStr">
        <is>
          <t>Rodrigo</t>
        </is>
      </c>
      <c r="I204" s="3" t="inlineStr">
        <is>
          <t>Estratégico</t>
        </is>
      </c>
      <c r="J204" s="2" t="n">
        <v>0</v>
      </c>
      <c r="K204" s="3" t="inlineStr">
        <is>
          <t>Semana 1</t>
        </is>
      </c>
      <c r="L204" s="3" t="inlineStr">
        <is>
          <t>Alta</t>
        </is>
      </c>
      <c r="M204" s="3" t="inlineStr">
        <is>
          <t>chave 203</t>
        </is>
      </c>
    </row>
    <row r="205">
      <c r="A205" s="2" t="n">
        <v>204</v>
      </c>
      <c r="B205" s="3" t="inlineStr">
        <is>
          <t xml:space="preserve">H RIO COM DE MAT DE ESCR E PAP LTDA </t>
        </is>
      </c>
      <c r="C205" s="3" t="inlineStr">
        <is>
          <t>NORDESTE</t>
        </is>
      </c>
      <c r="D205" s="3" t="inlineStr">
        <is>
          <t>PE</t>
        </is>
      </c>
      <c r="E205" s="3" t="inlineStr">
        <is>
          <t>PETROLINA</t>
        </is>
      </c>
      <c r="F205" s="3" t="inlineStr">
        <is>
          <t xml:space="preserve">JARDIM AMAZONAS </t>
        </is>
      </c>
      <c r="G205" s="3" t="inlineStr">
        <is>
          <t>56318410</t>
        </is>
      </c>
      <c r="H205" s="3" t="inlineStr">
        <is>
          <t>Rodrigo</t>
        </is>
      </c>
      <c r="I205" s="3" t="inlineStr">
        <is>
          <t>Pontual</t>
        </is>
      </c>
      <c r="J205" s="2" t="n">
        <v>0</v>
      </c>
      <c r="K205" s="3" t="inlineStr">
        <is>
          <t>Semana 4</t>
        </is>
      </c>
      <c r="L205" s="3" t="inlineStr">
        <is>
          <t>Normal</t>
        </is>
      </c>
      <c r="M205" s="3" t="inlineStr">
        <is>
          <t>chave 204</t>
        </is>
      </c>
    </row>
    <row r="206">
      <c r="A206" s="2" t="n">
        <v>205</v>
      </c>
      <c r="B206" s="3" t="inlineStr">
        <is>
          <t xml:space="preserve">PAPELARIA DELGADO LTDA </t>
        </is>
      </c>
      <c r="C206" s="3" t="inlineStr">
        <is>
          <t>NORDESTE</t>
        </is>
      </c>
      <c r="D206" s="3" t="inlineStr">
        <is>
          <t>PE</t>
        </is>
      </c>
      <c r="E206" s="3" t="inlineStr">
        <is>
          <t>OURICURI</t>
        </is>
      </c>
      <c r="F206" s="3" t="inlineStr">
        <is>
          <t xml:space="preserve">CENTRO </t>
        </is>
      </c>
      <c r="G206" s="3" t="inlineStr">
        <is>
          <t>56200000</t>
        </is>
      </c>
      <c r="H206" s="3" t="inlineStr">
        <is>
          <t>Rodrigo</t>
        </is>
      </c>
      <c r="I206" s="3" t="inlineStr">
        <is>
          <t>Pontual</t>
        </is>
      </c>
      <c r="J206" s="2" t="n">
        <v>0</v>
      </c>
      <c r="K206" s="3" t="inlineStr">
        <is>
          <t>Semana 4</t>
        </is>
      </c>
      <c r="L206" s="3" t="inlineStr">
        <is>
          <t>Normal</t>
        </is>
      </c>
      <c r="M206" s="3" t="inlineStr">
        <is>
          <t>chave 205</t>
        </is>
      </c>
    </row>
    <row r="207">
      <c r="A207" s="2" t="n">
        <v>206</v>
      </c>
      <c r="B207" s="3" t="inlineStr">
        <is>
          <t xml:space="preserve">E. M. PAPELARIA, ELETRONICOS E INFORMATICA LTDA </t>
        </is>
      </c>
      <c r="C207" s="3" t="inlineStr">
        <is>
          <t>NORDESTE</t>
        </is>
      </c>
      <c r="D207" s="3" t="inlineStr">
        <is>
          <t>PE</t>
        </is>
      </c>
      <c r="E207" s="3" t="inlineStr">
        <is>
          <t>PALMARES</t>
        </is>
      </c>
      <c r="F207" s="3" t="inlineStr">
        <is>
          <t xml:space="preserve">CENTRO </t>
        </is>
      </c>
      <c r="G207" s="3" t="inlineStr">
        <is>
          <t>55540000</t>
        </is>
      </c>
      <c r="H207" s="3" t="inlineStr">
        <is>
          <t>Rodrigo</t>
        </is>
      </c>
      <c r="I207" s="3" t="inlineStr">
        <is>
          <t>Pontual</t>
        </is>
      </c>
      <c r="J207" s="2" t="n">
        <v>0</v>
      </c>
      <c r="K207" s="3" t="inlineStr">
        <is>
          <t>Semana 4</t>
        </is>
      </c>
      <c r="L207" s="3" t="inlineStr">
        <is>
          <t>Normal</t>
        </is>
      </c>
      <c r="M207" s="3" t="inlineStr">
        <is>
          <t>chave 206</t>
        </is>
      </c>
    </row>
    <row r="208">
      <c r="A208" s="2" t="n">
        <v>207</v>
      </c>
      <c r="B208" s="3" t="inlineStr">
        <is>
          <t xml:space="preserve">MUNDO DO REAL PETROLINA LTDA </t>
        </is>
      </c>
      <c r="C208" s="3" t="inlineStr">
        <is>
          <t>NORDESTE</t>
        </is>
      </c>
      <c r="D208" s="3" t="inlineStr">
        <is>
          <t>PE</t>
        </is>
      </c>
      <c r="E208" s="3" t="inlineStr">
        <is>
          <t>PETROLINA</t>
        </is>
      </c>
      <c r="F208" s="3" t="inlineStr">
        <is>
          <t xml:space="preserve">CENTRO </t>
        </is>
      </c>
      <c r="G208" s="3" t="inlineStr">
        <is>
          <t>56304001</t>
        </is>
      </c>
      <c r="H208" s="3" t="inlineStr">
        <is>
          <t>Rodrigo</t>
        </is>
      </c>
      <c r="I208" s="3" t="inlineStr">
        <is>
          <t>Pontual</t>
        </is>
      </c>
      <c r="J208" s="2" t="n">
        <v>0</v>
      </c>
      <c r="K208" s="3" t="inlineStr">
        <is>
          <t>Semana 4</t>
        </is>
      </c>
      <c r="L208" s="3" t="inlineStr">
        <is>
          <t>Normal</t>
        </is>
      </c>
      <c r="M208" s="3" t="inlineStr">
        <is>
          <t>chave 207</t>
        </is>
      </c>
    </row>
    <row r="209">
      <c r="A209" s="2" t="n">
        <v>208</v>
      </c>
      <c r="B209" s="3" t="inlineStr">
        <is>
          <t xml:space="preserve">MANOEL CORDEIRO &amp; CIA LTDA </t>
        </is>
      </c>
      <c r="C209" s="3" t="inlineStr">
        <is>
          <t>NORDESTE</t>
        </is>
      </c>
      <c r="D209" s="3" t="inlineStr">
        <is>
          <t>PE</t>
        </is>
      </c>
      <c r="E209" s="3" t="inlineStr">
        <is>
          <t>Timbaúba</t>
        </is>
      </c>
      <c r="F209" s="3" t="inlineStr">
        <is>
          <t xml:space="preserve">CENTRO </t>
        </is>
      </c>
      <c r="G209" s="3" t="inlineStr">
        <is>
          <t>55870000</t>
        </is>
      </c>
      <c r="H209" s="3" t="inlineStr">
        <is>
          <t>Rodrigo</t>
        </is>
      </c>
      <c r="I209" s="3" t="inlineStr">
        <is>
          <t>Pontual</t>
        </is>
      </c>
      <c r="J209" s="2" t="n">
        <v>0</v>
      </c>
      <c r="K209" s="3" t="inlineStr">
        <is>
          <t>Semana 4</t>
        </is>
      </c>
      <c r="L209" s="3" t="inlineStr">
        <is>
          <t>Normal</t>
        </is>
      </c>
      <c r="M209" s="3" t="inlineStr">
        <is>
          <t>chave 208</t>
        </is>
      </c>
    </row>
    <row r="210">
      <c r="A210" s="2" t="n">
        <v>209</v>
      </c>
      <c r="B210" s="3" t="inlineStr">
        <is>
          <t xml:space="preserve">ERLANIA VIEIRA DA SILVA </t>
        </is>
      </c>
      <c r="C210" s="3" t="inlineStr">
        <is>
          <t>NORDESTE</t>
        </is>
      </c>
      <c r="D210" s="3" t="inlineStr">
        <is>
          <t>PE</t>
        </is>
      </c>
      <c r="E210" s="3" t="inlineStr">
        <is>
          <t>GARANHUNS</t>
        </is>
      </c>
      <c r="F210" s="3" t="inlineStr">
        <is>
          <t xml:space="preserve">SANTO ANTONIO </t>
        </is>
      </c>
      <c r="G210" s="3" t="inlineStr">
        <is>
          <t>55293460</t>
        </is>
      </c>
      <c r="H210" s="3" t="inlineStr">
        <is>
          <t>Rodrigo</t>
        </is>
      </c>
      <c r="I210" s="3" t="inlineStr">
        <is>
          <t>Pontual</t>
        </is>
      </c>
      <c r="J210" s="2" t="n">
        <v>0</v>
      </c>
      <c r="K210" s="3" t="inlineStr">
        <is>
          <t>Semana 3</t>
        </is>
      </c>
      <c r="L210" s="3" t="inlineStr">
        <is>
          <t>Normal</t>
        </is>
      </c>
      <c r="M210" s="3" t="inlineStr">
        <is>
          <t>chave 209</t>
        </is>
      </c>
    </row>
    <row r="211">
      <c r="A211" s="2" t="n">
        <v>210</v>
      </c>
      <c r="B211" s="3" t="inlineStr">
        <is>
          <t xml:space="preserve">LIVRARIA E PAPELARIA DOM AUGUSTO LTDA </t>
        </is>
      </c>
      <c r="C211" s="3" t="inlineStr">
        <is>
          <t>NORDESTE</t>
        </is>
      </c>
      <c r="D211" s="3" t="inlineStr">
        <is>
          <t>PE</t>
        </is>
      </c>
      <c r="E211" s="3" t="inlineStr">
        <is>
          <t>FLORESTA</t>
        </is>
      </c>
      <c r="F211" s="3" t="inlineStr">
        <is>
          <t xml:space="preserve">CENTRO </t>
        </is>
      </c>
      <c r="G211" s="3" t="inlineStr">
        <is>
          <t>56400000</t>
        </is>
      </c>
      <c r="H211" s="3" t="inlineStr">
        <is>
          <t>Rodrigo</t>
        </is>
      </c>
      <c r="I211" s="3" t="inlineStr">
        <is>
          <t>Pontual</t>
        </is>
      </c>
      <c r="J211" s="2" t="n">
        <v>0</v>
      </c>
      <c r="K211" s="3" t="inlineStr">
        <is>
          <t>Semana 3</t>
        </is>
      </c>
      <c r="L211" s="3" t="inlineStr">
        <is>
          <t>Normal</t>
        </is>
      </c>
      <c r="M211" s="3" t="inlineStr">
        <is>
          <t>chave 210</t>
        </is>
      </c>
    </row>
    <row r="212">
      <c r="A212" s="2" t="n">
        <v>211</v>
      </c>
      <c r="B212" s="3" t="inlineStr">
        <is>
          <t xml:space="preserve">A M H AVELINO ARMARINHO </t>
        </is>
      </c>
      <c r="C212" s="3" t="inlineStr">
        <is>
          <t>NORDESTE</t>
        </is>
      </c>
      <c r="D212" s="3" t="inlineStr">
        <is>
          <t>PE</t>
        </is>
      </c>
      <c r="E212" s="3" t="inlineStr">
        <is>
          <t>PESQUEIRA</t>
        </is>
      </c>
      <c r="F212" s="3" t="inlineStr">
        <is>
          <t xml:space="preserve">CENTRO </t>
        </is>
      </c>
      <c r="G212" s="3" t="inlineStr">
        <is>
          <t>55200000</t>
        </is>
      </c>
      <c r="H212" s="3" t="inlineStr">
        <is>
          <t>Rodrigo</t>
        </is>
      </c>
      <c r="I212" s="3" t="inlineStr">
        <is>
          <t>Pontual</t>
        </is>
      </c>
      <c r="J212" s="2" t="n">
        <v>0</v>
      </c>
      <c r="K212" s="3" t="inlineStr">
        <is>
          <t>Semana 4</t>
        </is>
      </c>
      <c r="L212" s="3" t="inlineStr">
        <is>
          <t>Normal</t>
        </is>
      </c>
      <c r="M212" s="3" t="inlineStr">
        <is>
          <t>chave 211</t>
        </is>
      </c>
    </row>
    <row r="213">
      <c r="A213" s="2" t="n">
        <v>212</v>
      </c>
      <c r="B213" s="3" t="inlineStr">
        <is>
          <t xml:space="preserve">MS MAGAZINE LTDA </t>
        </is>
      </c>
      <c r="C213" s="3" t="inlineStr">
        <is>
          <t>NORDESTE</t>
        </is>
      </c>
      <c r="D213" s="3" t="inlineStr">
        <is>
          <t>PE</t>
        </is>
      </c>
      <c r="E213" s="3" t="inlineStr">
        <is>
          <t>CAMARAGIBE</t>
        </is>
      </c>
      <c r="F213" s="3" t="inlineStr">
        <is>
          <t xml:space="preserve">BAIRRO NOVO DO CARMELO </t>
        </is>
      </c>
      <c r="G213" s="3" t="inlineStr">
        <is>
          <t>54759000</t>
        </is>
      </c>
      <c r="H213" s="3" t="inlineStr">
        <is>
          <t>Rodrigo</t>
        </is>
      </c>
      <c r="I213" s="3" t="inlineStr">
        <is>
          <t>Pontual</t>
        </is>
      </c>
      <c r="J213" s="2" t="n">
        <v>0</v>
      </c>
      <c r="K213" s="3" t="inlineStr">
        <is>
          <t>Semana 3</t>
        </is>
      </c>
      <c r="L213" s="3" t="inlineStr">
        <is>
          <t>Normal</t>
        </is>
      </c>
      <c r="M213" s="3" t="inlineStr">
        <is>
          <t>chave 212</t>
        </is>
      </c>
    </row>
    <row r="214">
      <c r="A214" s="2" t="n">
        <v>213</v>
      </c>
      <c r="B214" s="3" t="inlineStr">
        <is>
          <t xml:space="preserve">DS SUPRIMENTOS LTDA </t>
        </is>
      </c>
      <c r="C214" s="3" t="inlineStr">
        <is>
          <t>NORDESTE</t>
        </is>
      </c>
      <c r="D214" s="3" t="inlineStr">
        <is>
          <t>PE</t>
        </is>
      </c>
      <c r="E214" s="3" t="inlineStr">
        <is>
          <t>PETROLINA</t>
        </is>
      </c>
      <c r="F214" s="3" t="inlineStr">
        <is>
          <t xml:space="preserve">KM 2 </t>
        </is>
      </c>
      <c r="G214" s="3" t="inlineStr">
        <is>
          <t>56308340</t>
        </is>
      </c>
      <c r="H214" s="3" t="inlineStr">
        <is>
          <t>Rodrigo</t>
        </is>
      </c>
      <c r="I214" s="3" t="inlineStr">
        <is>
          <t>Pontual</t>
        </is>
      </c>
      <c r="J214" s="2" t="n">
        <v>0</v>
      </c>
      <c r="K214" s="3" t="inlineStr">
        <is>
          <t>Semana 4</t>
        </is>
      </c>
      <c r="L214" s="3" t="inlineStr">
        <is>
          <t>Normal</t>
        </is>
      </c>
      <c r="M214" s="3" t="inlineStr">
        <is>
          <t>chave 213</t>
        </is>
      </c>
    </row>
    <row r="215">
      <c r="A215" s="2" t="n">
        <v>214</v>
      </c>
      <c r="B215" s="3" t="inlineStr">
        <is>
          <t xml:space="preserve">CASA ANDRADE LTDA </t>
        </is>
      </c>
      <c r="C215" s="3" t="inlineStr">
        <is>
          <t>NORDESTE</t>
        </is>
      </c>
      <c r="D215" s="3" t="inlineStr">
        <is>
          <t>PE</t>
        </is>
      </c>
      <c r="E215" s="3" t="inlineStr">
        <is>
          <t>GOIANA</t>
        </is>
      </c>
      <c r="F215" s="3" t="inlineStr">
        <is>
          <t xml:space="preserve">CENTRO </t>
        </is>
      </c>
      <c r="G215" s="3" t="inlineStr">
        <is>
          <t>55900000</t>
        </is>
      </c>
      <c r="H215" s="3" t="inlineStr">
        <is>
          <t>Rodrigo</t>
        </is>
      </c>
      <c r="I215" s="3" t="inlineStr">
        <is>
          <t>Pontual</t>
        </is>
      </c>
      <c r="J215" s="2" t="n">
        <v>0</v>
      </c>
      <c r="K215" s="3" t="inlineStr">
        <is>
          <t>Semana 3</t>
        </is>
      </c>
      <c r="L215" s="3" t="inlineStr">
        <is>
          <t>Normal</t>
        </is>
      </c>
      <c r="M215" s="3" t="inlineStr">
        <is>
          <t>chave 214</t>
        </is>
      </c>
    </row>
    <row r="216">
      <c r="A216" s="2" t="n">
        <v>215</v>
      </c>
      <c r="B216" s="3" t="inlineStr">
        <is>
          <t xml:space="preserve">J LOPES SIQUEIRA </t>
        </is>
      </c>
      <c r="C216" s="3" t="inlineStr">
        <is>
          <t>NORDESTE</t>
        </is>
      </c>
      <c r="D216" s="3" t="inlineStr">
        <is>
          <t>PE</t>
        </is>
      </c>
      <c r="E216" s="3" t="inlineStr">
        <is>
          <t>IGARASSU</t>
        </is>
      </c>
      <c r="F216" s="3" t="inlineStr">
        <is>
          <t xml:space="preserve">CENTRO </t>
        </is>
      </c>
      <c r="G216" s="3" t="inlineStr">
        <is>
          <t>53610600</t>
        </is>
      </c>
      <c r="H216" s="3" t="inlineStr">
        <is>
          <t>Rodrigo</t>
        </is>
      </c>
      <c r="I216" s="3" t="inlineStr">
        <is>
          <t>Pontual</t>
        </is>
      </c>
      <c r="J216" s="2" t="n">
        <v>0</v>
      </c>
      <c r="K216" s="3" t="inlineStr">
        <is>
          <t>Semana 3</t>
        </is>
      </c>
      <c r="L216" s="3" t="inlineStr">
        <is>
          <t>Normal</t>
        </is>
      </c>
      <c r="M216" s="3" t="inlineStr">
        <is>
          <t>chave 215</t>
        </is>
      </c>
    </row>
    <row r="217">
      <c r="A217" s="2" t="n">
        <v>216</v>
      </c>
      <c r="B217" s="3" t="inlineStr">
        <is>
          <t xml:space="preserve">JOAO BOSCO LEITE - LIVRARIA E PAPELARIA </t>
        </is>
      </c>
      <c r="C217" s="3" t="inlineStr">
        <is>
          <t>NORDESTE</t>
        </is>
      </c>
      <c r="D217" s="3" t="inlineStr">
        <is>
          <t>PE</t>
        </is>
      </c>
      <c r="E217" s="3" t="inlineStr">
        <is>
          <t>CARUARU</t>
        </is>
      </c>
      <c r="F217" s="3" t="inlineStr">
        <is>
          <t xml:space="preserve">NOSSA SENHORA DAS DORES </t>
        </is>
      </c>
      <c r="G217" s="3" t="inlineStr">
        <is>
          <t>55002200</t>
        </is>
      </c>
      <c r="H217" s="3" t="inlineStr">
        <is>
          <t>Rodrigo</t>
        </is>
      </c>
      <c r="I217" s="3" t="inlineStr">
        <is>
          <t>Pontual</t>
        </is>
      </c>
      <c r="J217" s="2" t="n">
        <v>0</v>
      </c>
      <c r="K217" s="3" t="inlineStr">
        <is>
          <t>Semana 3</t>
        </is>
      </c>
      <c r="L217" s="3" t="inlineStr">
        <is>
          <t>Normal</t>
        </is>
      </c>
      <c r="M217" s="3" t="inlineStr">
        <is>
          <t>chave 216</t>
        </is>
      </c>
    </row>
    <row r="218">
      <c r="A218" s="2" t="n">
        <v>217</v>
      </c>
      <c r="B218" s="3" t="inlineStr">
        <is>
          <t xml:space="preserve">LIVRARIA E PAPELARIA GLOBO LTDA </t>
        </is>
      </c>
      <c r="C218" s="3" t="inlineStr">
        <is>
          <t>NORDESTE</t>
        </is>
      </c>
      <c r="D218" s="3" t="inlineStr">
        <is>
          <t>PE</t>
        </is>
      </c>
      <c r="E218" s="3" t="inlineStr">
        <is>
          <t>Palmares</t>
        </is>
      </c>
      <c r="F218" s="3" t="inlineStr">
        <is>
          <t xml:space="preserve">SANTA ROSA </t>
        </is>
      </c>
      <c r="G218" s="3" t="inlineStr">
        <is>
          <t>55540000</t>
        </is>
      </c>
      <c r="H218" s="3" t="inlineStr">
        <is>
          <t>Rodrigo</t>
        </is>
      </c>
      <c r="I218" s="3" t="inlineStr">
        <is>
          <t>Pontual</t>
        </is>
      </c>
      <c r="J218" s="2" t="n">
        <v>0</v>
      </c>
      <c r="K218" s="3" t="inlineStr">
        <is>
          <t>Semana 4</t>
        </is>
      </c>
      <c r="L218" s="3" t="inlineStr">
        <is>
          <t>Normal</t>
        </is>
      </c>
      <c r="M218" s="3" t="inlineStr">
        <is>
          <t>chave 217</t>
        </is>
      </c>
    </row>
    <row r="219">
      <c r="A219" s="2" t="n">
        <v>218</v>
      </c>
      <c r="B219" s="3" t="inlineStr">
        <is>
          <t xml:space="preserve">SUPRA DISTRIBUIDORA DE MATERIAIS HOSPITALARES LTDA </t>
        </is>
      </c>
      <c r="C219" s="3" t="inlineStr">
        <is>
          <t>NORDESTE</t>
        </is>
      </c>
      <c r="D219" s="3" t="inlineStr">
        <is>
          <t>PE</t>
        </is>
      </c>
      <c r="E219" s="3" t="inlineStr">
        <is>
          <t>Recife</t>
        </is>
      </c>
      <c r="F219" s="3" t="inlineStr">
        <is>
          <t xml:space="preserve">AREIAS </t>
        </is>
      </c>
      <c r="G219" s="3" t="inlineStr">
        <is>
          <t>50781130</t>
        </is>
      </c>
      <c r="H219" s="3" t="inlineStr">
        <is>
          <t>Rodrigo</t>
        </is>
      </c>
      <c r="I219" s="3" t="inlineStr">
        <is>
          <t>Estratégico</t>
        </is>
      </c>
      <c r="J219" s="2" t="n">
        <v>0</v>
      </c>
      <c r="K219" s="3" t="inlineStr">
        <is>
          <t>Semana 1</t>
        </is>
      </c>
      <c r="L219" s="3" t="inlineStr">
        <is>
          <t>Alta</t>
        </is>
      </c>
      <c r="M219" s="3" t="inlineStr">
        <is>
          <t>chave 218</t>
        </is>
      </c>
    </row>
    <row r="220">
      <c r="A220" s="2" t="n">
        <v>219</v>
      </c>
      <c r="B220" s="3" t="inlineStr">
        <is>
          <t xml:space="preserve">PRESSAO TOTAL VARIEDADES LTDA </t>
        </is>
      </c>
      <c r="C220" s="3" t="inlineStr">
        <is>
          <t>NORDESTE</t>
        </is>
      </c>
      <c r="D220" s="3" t="inlineStr">
        <is>
          <t>PE</t>
        </is>
      </c>
      <c r="E220" s="3" t="inlineStr">
        <is>
          <t>Águas Belas</t>
        </is>
      </c>
      <c r="F220" s="3" t="inlineStr">
        <is>
          <t xml:space="preserve">CENTRO </t>
        </is>
      </c>
      <c r="G220" s="3" t="inlineStr">
        <is>
          <t>55340000</t>
        </is>
      </c>
      <c r="H220" s="3" t="inlineStr">
        <is>
          <t>Rodrigo</t>
        </is>
      </c>
      <c r="I220" s="3" t="inlineStr">
        <is>
          <t>Pontual</t>
        </is>
      </c>
      <c r="J220" s="2" t="n">
        <v>0</v>
      </c>
      <c r="K220" s="3" t="inlineStr">
        <is>
          <t>Semana 4</t>
        </is>
      </c>
      <c r="L220" s="3" t="inlineStr">
        <is>
          <t>Normal</t>
        </is>
      </c>
      <c r="M220" s="3" t="inlineStr">
        <is>
          <t>chave 219</t>
        </is>
      </c>
    </row>
    <row r="221">
      <c r="A221" s="2" t="n">
        <v>220</v>
      </c>
      <c r="B221" s="3" t="inlineStr">
        <is>
          <t xml:space="preserve">J.B. MACEDO COMERCIO DE VARIEDADES LTDA </t>
        </is>
      </c>
      <c r="C221" s="3" t="inlineStr">
        <is>
          <t>NORDESTE</t>
        </is>
      </c>
      <c r="D221" s="3" t="inlineStr">
        <is>
          <t>PE</t>
        </is>
      </c>
      <c r="E221" s="3" t="inlineStr">
        <is>
          <t>PALMARES</t>
        </is>
      </c>
      <c r="F221" s="3" t="inlineStr">
        <is>
          <t xml:space="preserve">CENTRO </t>
        </is>
      </c>
      <c r="G221" s="3" t="inlineStr">
        <is>
          <t>55540000</t>
        </is>
      </c>
      <c r="H221" s="3" t="inlineStr">
        <is>
          <t>Rodrigo</t>
        </is>
      </c>
      <c r="I221" s="3" t="inlineStr">
        <is>
          <t>Pontual</t>
        </is>
      </c>
      <c r="J221" s="2" t="n">
        <v>0</v>
      </c>
      <c r="K221" s="3" t="inlineStr">
        <is>
          <t>Semana 4</t>
        </is>
      </c>
      <c r="L221" s="3" t="inlineStr">
        <is>
          <t>Normal</t>
        </is>
      </c>
      <c r="M221" s="3" t="inlineStr">
        <is>
          <t>chave 220</t>
        </is>
      </c>
    </row>
    <row r="222">
      <c r="A222" s="2" t="n">
        <v>221</v>
      </c>
      <c r="B222" s="3" t="inlineStr">
        <is>
          <t xml:space="preserve">G D SANTOS CARVALHO </t>
        </is>
      </c>
      <c r="C222" s="3" t="inlineStr">
        <is>
          <t>NORDESTE</t>
        </is>
      </c>
      <c r="D222" s="3" t="inlineStr">
        <is>
          <t>PE</t>
        </is>
      </c>
      <c r="E222" s="3" t="inlineStr">
        <is>
          <t>BOM CONSELHO</t>
        </is>
      </c>
      <c r="F222" s="3" t="inlineStr">
        <is>
          <t xml:space="preserve">CENTRO </t>
        </is>
      </c>
      <c r="G222" s="3" t="inlineStr">
        <is>
          <t>55330000</t>
        </is>
      </c>
      <c r="H222" s="3" t="inlineStr">
        <is>
          <t>Rodrigo</t>
        </is>
      </c>
      <c r="I222" s="3" t="inlineStr">
        <is>
          <t>Pontual</t>
        </is>
      </c>
      <c r="J222" s="2" t="n">
        <v>0</v>
      </c>
      <c r="K222" s="3" t="inlineStr">
        <is>
          <t>Semana 3</t>
        </is>
      </c>
      <c r="L222" s="3" t="inlineStr">
        <is>
          <t>Normal</t>
        </is>
      </c>
      <c r="M222" s="3" t="inlineStr">
        <is>
          <t>chave 221</t>
        </is>
      </c>
    </row>
    <row r="223">
      <c r="A223" s="2" t="n">
        <v>222</v>
      </c>
      <c r="B223" s="3" t="inlineStr">
        <is>
          <t xml:space="preserve">S E D COM DE MIUDEZAS E ART P/ PRESENTES LTDA </t>
        </is>
      </c>
      <c r="C223" s="3" t="inlineStr">
        <is>
          <t>NORDESTE</t>
        </is>
      </c>
      <c r="D223" s="3" t="inlineStr">
        <is>
          <t>PE</t>
        </is>
      </c>
      <c r="E223" s="3" t="inlineStr">
        <is>
          <t>São Lourenço da Mata</t>
        </is>
      </c>
      <c r="F223" s="3" t="inlineStr">
        <is>
          <t xml:space="preserve">CENTRO </t>
        </is>
      </c>
      <c r="G223" s="3" t="inlineStr">
        <is>
          <t>54735000</t>
        </is>
      </c>
      <c r="H223" s="3" t="inlineStr">
        <is>
          <t>Rodrigo</t>
        </is>
      </c>
      <c r="I223" s="3" t="inlineStr">
        <is>
          <t>Pontual</t>
        </is>
      </c>
      <c r="J223" s="2" t="n">
        <v>0</v>
      </c>
      <c r="K223" s="3" t="inlineStr">
        <is>
          <t>Semana 4</t>
        </is>
      </c>
      <c r="L223" s="3" t="inlineStr">
        <is>
          <t>Normal</t>
        </is>
      </c>
      <c r="M223" s="3" t="inlineStr">
        <is>
          <t>chave 222</t>
        </is>
      </c>
    </row>
    <row r="224">
      <c r="A224" s="2" t="n">
        <v>223</v>
      </c>
      <c r="B224" s="3" t="inlineStr">
        <is>
          <t xml:space="preserve">K R D COMERCIO DE PAPELARIA LTDA </t>
        </is>
      </c>
      <c r="C224" s="3" t="inlineStr">
        <is>
          <t>NORDESTE</t>
        </is>
      </c>
      <c r="D224" s="3" t="inlineStr">
        <is>
          <t>PE</t>
        </is>
      </c>
      <c r="E224" s="3" t="inlineStr">
        <is>
          <t>Petrolândia</t>
        </is>
      </c>
      <c r="F224" s="3" t="inlineStr">
        <is>
          <t xml:space="preserve">CENTRO </t>
        </is>
      </c>
      <c r="G224" s="3" t="inlineStr">
        <is>
          <t>56460000</t>
        </is>
      </c>
      <c r="H224" s="3" t="inlineStr">
        <is>
          <t>Rodrigo</t>
        </is>
      </c>
      <c r="I224" s="3" t="inlineStr">
        <is>
          <t>Pontual</t>
        </is>
      </c>
      <c r="J224" s="2" t="n">
        <v>0</v>
      </c>
      <c r="K224" s="3" t="inlineStr">
        <is>
          <t>Semana 4</t>
        </is>
      </c>
      <c r="L224" s="3" t="inlineStr">
        <is>
          <t>Normal</t>
        </is>
      </c>
      <c r="M224" s="3" t="inlineStr">
        <is>
          <t>chave 223</t>
        </is>
      </c>
    </row>
    <row r="225">
      <c r="A225" s="2" t="n">
        <v>224</v>
      </c>
      <c r="B225" s="3" t="inlineStr">
        <is>
          <t xml:space="preserve">CLECIANO GOMES DAMASCENO PAPELARIA </t>
        </is>
      </c>
      <c r="C225" s="3" t="inlineStr">
        <is>
          <t>NORDESTE</t>
        </is>
      </c>
      <c r="D225" s="3" t="inlineStr">
        <is>
          <t>PE</t>
        </is>
      </c>
      <c r="E225" s="3" t="inlineStr">
        <is>
          <t>Afrânio</t>
        </is>
      </c>
      <c r="F225" s="3" t="inlineStr">
        <is>
          <t xml:space="preserve">CENTRO </t>
        </is>
      </c>
      <c r="G225" s="3" t="inlineStr">
        <is>
          <t>56360000</t>
        </is>
      </c>
      <c r="H225" s="3" t="inlineStr">
        <is>
          <t>Rodrigo</t>
        </is>
      </c>
      <c r="I225" s="3" t="inlineStr">
        <is>
          <t>Pontual</t>
        </is>
      </c>
      <c r="J225" s="2" t="n">
        <v>0</v>
      </c>
      <c r="K225" s="3" t="inlineStr">
        <is>
          <t>Semana 3</t>
        </is>
      </c>
      <c r="L225" s="3" t="inlineStr">
        <is>
          <t>Normal</t>
        </is>
      </c>
      <c r="M225" s="3" t="inlineStr">
        <is>
          <t>chave 224</t>
        </is>
      </c>
    </row>
    <row r="226">
      <c r="A226" s="2" t="n">
        <v>225</v>
      </c>
      <c r="B226" s="3" t="inlineStr">
        <is>
          <t xml:space="preserve">MUNDIAL COM DE ARM E PAP LTDA </t>
        </is>
      </c>
      <c r="C226" s="3" t="inlineStr">
        <is>
          <t>NORDESTE</t>
        </is>
      </c>
      <c r="D226" s="3" t="inlineStr">
        <is>
          <t>PE</t>
        </is>
      </c>
      <c r="E226" s="3" t="inlineStr">
        <is>
          <t>RECIFE</t>
        </is>
      </c>
      <c r="F226" s="3" t="inlineStr">
        <is>
          <t xml:space="preserve">SAO JOSE </t>
        </is>
      </c>
      <c r="G226" s="3" t="inlineStr">
        <is>
          <t>50020000</t>
        </is>
      </c>
      <c r="H226" s="3" t="inlineStr">
        <is>
          <t>Rodrigo</t>
        </is>
      </c>
      <c r="I226" s="3" t="inlineStr">
        <is>
          <t>Estratégico</t>
        </is>
      </c>
      <c r="J226" s="2" t="n">
        <v>0</v>
      </c>
      <c r="K226" s="3" t="inlineStr">
        <is>
          <t>Semana 1</t>
        </is>
      </c>
      <c r="L226" s="3" t="inlineStr">
        <is>
          <t>Alta</t>
        </is>
      </c>
      <c r="M226" s="3" t="inlineStr">
        <is>
          <t>chave 225</t>
        </is>
      </c>
    </row>
    <row r="227">
      <c r="A227" s="2" t="n">
        <v>226</v>
      </c>
      <c r="B227" s="3" t="inlineStr">
        <is>
          <t xml:space="preserve">PAULO DIEGO DOS SANTOS RAMOS </t>
        </is>
      </c>
      <c r="C227" s="3" t="inlineStr">
        <is>
          <t>NORDESTE</t>
        </is>
      </c>
      <c r="D227" s="3" t="inlineStr">
        <is>
          <t>PE</t>
        </is>
      </c>
      <c r="E227" s="3" t="inlineStr">
        <is>
          <t>OURICURI</t>
        </is>
      </c>
      <c r="F227" s="3" t="inlineStr">
        <is>
          <t xml:space="preserve">CENTRO </t>
        </is>
      </c>
      <c r="G227" s="3" t="inlineStr">
        <is>
          <t>56200000</t>
        </is>
      </c>
      <c r="H227" s="3" t="inlineStr">
        <is>
          <t>Rodrigo</t>
        </is>
      </c>
      <c r="I227" s="3" t="inlineStr">
        <is>
          <t>Pontual</t>
        </is>
      </c>
      <c r="J227" s="2" t="n">
        <v>0</v>
      </c>
      <c r="K227" s="3" t="inlineStr">
        <is>
          <t>Semana 4</t>
        </is>
      </c>
      <c r="L227" s="3" t="inlineStr">
        <is>
          <t>Normal</t>
        </is>
      </c>
      <c r="M227" s="3" t="inlineStr">
        <is>
          <t>chave 226</t>
        </is>
      </c>
    </row>
    <row r="228">
      <c r="A228" s="2" t="n">
        <v>227</v>
      </c>
      <c r="B228" s="3" t="inlineStr">
        <is>
          <t xml:space="preserve">MARIA DA CONCEICAO CAVALCANTI CAMPELO </t>
        </is>
      </c>
      <c r="C228" s="3" t="inlineStr">
        <is>
          <t>NORDESTE</t>
        </is>
      </c>
      <c r="D228" s="3" t="inlineStr">
        <is>
          <t>PE</t>
        </is>
      </c>
      <c r="E228" s="3" t="inlineStr">
        <is>
          <t>BEZERROS</t>
        </is>
      </c>
      <c r="F228" s="3" t="inlineStr">
        <is>
          <t xml:space="preserve">CENTRO </t>
        </is>
      </c>
      <c r="G228" s="3" t="inlineStr">
        <is>
          <t>55660000</t>
        </is>
      </c>
      <c r="H228" s="3" t="inlineStr">
        <is>
          <t>Rodrigo</t>
        </is>
      </c>
      <c r="I228" s="3" t="inlineStr">
        <is>
          <t>Pontual</t>
        </is>
      </c>
      <c r="J228" s="2" t="n">
        <v>0</v>
      </c>
      <c r="K228" s="3" t="inlineStr">
        <is>
          <t>Semana 3</t>
        </is>
      </c>
      <c r="L228" s="3" t="inlineStr">
        <is>
          <t>Normal</t>
        </is>
      </c>
      <c r="M228" s="3" t="inlineStr">
        <is>
          <t>chave 227</t>
        </is>
      </c>
    </row>
    <row r="229">
      <c r="A229" s="2" t="n">
        <v>228</v>
      </c>
      <c r="B229" s="3" t="inlineStr">
        <is>
          <t xml:space="preserve">ROMERO JOSE DE PAIVA </t>
        </is>
      </c>
      <c r="C229" s="3" t="inlineStr">
        <is>
          <t>NORDESTE</t>
        </is>
      </c>
      <c r="D229" s="3" t="inlineStr">
        <is>
          <t>PE</t>
        </is>
      </c>
      <c r="E229" s="3" t="inlineStr">
        <is>
          <t>Vitória de Santo Antão</t>
        </is>
      </c>
      <c r="F229" s="3" t="inlineStr">
        <is>
          <t xml:space="preserve">MATRIZ </t>
        </is>
      </c>
      <c r="G229" s="3" t="inlineStr">
        <is>
          <t>55602010</t>
        </is>
      </c>
      <c r="H229" s="3" t="inlineStr">
        <is>
          <t>Rodrigo</t>
        </is>
      </c>
      <c r="I229" s="3" t="inlineStr">
        <is>
          <t>Estratégico</t>
        </is>
      </c>
      <c r="J229" s="2" t="n">
        <v>0</v>
      </c>
      <c r="K229" s="3" t="inlineStr">
        <is>
          <t>Semana 1</t>
        </is>
      </c>
      <c r="L229" s="3" t="inlineStr">
        <is>
          <t>Alta</t>
        </is>
      </c>
      <c r="M229" s="3" t="inlineStr">
        <is>
          <t>chave 228</t>
        </is>
      </c>
    </row>
    <row r="230">
      <c r="A230" s="2" t="n">
        <v>229</v>
      </c>
      <c r="B230" s="3" t="inlineStr">
        <is>
          <t xml:space="preserve">CICERA ELENA DE SOUZA SIQUEIRA </t>
        </is>
      </c>
      <c r="C230" s="3" t="inlineStr">
        <is>
          <t>NORDESTE</t>
        </is>
      </c>
      <c r="D230" s="3" t="inlineStr">
        <is>
          <t>PE</t>
        </is>
      </c>
      <c r="E230" s="3" t="inlineStr">
        <is>
          <t>IPUBI</t>
        </is>
      </c>
      <c r="F230" s="3" t="inlineStr">
        <is>
          <t xml:space="preserve">CENTRO </t>
        </is>
      </c>
      <c r="G230" s="3" t="inlineStr">
        <is>
          <t>56260000</t>
        </is>
      </c>
      <c r="H230" s="3" t="inlineStr">
        <is>
          <t>Rodrigo</t>
        </is>
      </c>
      <c r="I230" s="3" t="inlineStr">
        <is>
          <t>Pontual</t>
        </is>
      </c>
      <c r="J230" s="2" t="n">
        <v>0</v>
      </c>
      <c r="K230" s="3" t="inlineStr">
        <is>
          <t>Semana 3</t>
        </is>
      </c>
      <c r="L230" s="3" t="inlineStr">
        <is>
          <t>Normal</t>
        </is>
      </c>
      <c r="M230" s="3" t="inlineStr">
        <is>
          <t>chave 229</t>
        </is>
      </c>
    </row>
    <row r="231">
      <c r="A231" s="2" t="n">
        <v>230</v>
      </c>
      <c r="B231" s="3" t="inlineStr">
        <is>
          <t xml:space="preserve">A MIRLA BEZERRA DA SILVA </t>
        </is>
      </c>
      <c r="C231" s="3" t="inlineStr">
        <is>
          <t>NORDESTE</t>
        </is>
      </c>
      <c r="D231" s="3" t="inlineStr">
        <is>
          <t>PE</t>
        </is>
      </c>
      <c r="E231" s="3" t="inlineStr">
        <is>
          <t>Afogados da Ingazeira</t>
        </is>
      </c>
      <c r="F231" s="3" t="inlineStr">
        <is>
          <t xml:space="preserve">CENTRO </t>
        </is>
      </c>
      <c r="G231" s="3" t="inlineStr">
        <is>
          <t>56800000</t>
        </is>
      </c>
      <c r="H231" s="3" t="inlineStr">
        <is>
          <t>Rodrigo</t>
        </is>
      </c>
      <c r="I231" s="3" t="inlineStr">
        <is>
          <t>Pontual</t>
        </is>
      </c>
      <c r="J231" s="2" t="n">
        <v>0</v>
      </c>
      <c r="K231" s="3" t="inlineStr">
        <is>
          <t>Semana 3</t>
        </is>
      </c>
      <c r="L231" s="3" t="inlineStr">
        <is>
          <t>Normal</t>
        </is>
      </c>
      <c r="M231" s="3" t="inlineStr">
        <is>
          <t>chave 230</t>
        </is>
      </c>
    </row>
    <row r="232">
      <c r="A232" s="2" t="n">
        <v>231</v>
      </c>
      <c r="B232" s="3" t="inlineStr">
        <is>
          <t xml:space="preserve">LOJAS AREIA BRANCA GARANHUNS LTDA </t>
        </is>
      </c>
      <c r="C232" s="3" t="inlineStr">
        <is>
          <t>NORDESTE</t>
        </is>
      </c>
      <c r="D232" s="3" t="inlineStr">
        <is>
          <t>PE</t>
        </is>
      </c>
      <c r="E232" s="3" t="inlineStr">
        <is>
          <t>GARANHUNS</t>
        </is>
      </c>
      <c r="F232" s="3" t="inlineStr">
        <is>
          <t xml:space="preserve">SANTO ANTONIO </t>
        </is>
      </c>
      <c r="G232" s="3" t="inlineStr">
        <is>
          <t>55293000</t>
        </is>
      </c>
      <c r="H232" s="3" t="inlineStr">
        <is>
          <t>Rodrigo</t>
        </is>
      </c>
      <c r="I232" s="3" t="inlineStr">
        <is>
          <t>Pontual</t>
        </is>
      </c>
      <c r="J232" s="2" t="n">
        <v>0</v>
      </c>
      <c r="K232" s="3" t="inlineStr">
        <is>
          <t>Semana 3</t>
        </is>
      </c>
      <c r="L232" s="3" t="inlineStr">
        <is>
          <t>Normal</t>
        </is>
      </c>
      <c r="M232" s="3" t="inlineStr">
        <is>
          <t>chave 231</t>
        </is>
      </c>
    </row>
    <row r="233">
      <c r="A233" s="2" t="n">
        <v>232</v>
      </c>
      <c r="B233" s="3" t="inlineStr">
        <is>
          <t xml:space="preserve">DANIELE TENORIO DA COSTA LTDA </t>
        </is>
      </c>
      <c r="C233" s="3" t="inlineStr">
        <is>
          <t>NORDESTE</t>
        </is>
      </c>
      <c r="D233" s="3" t="inlineStr">
        <is>
          <t>PE</t>
        </is>
      </c>
      <c r="E233" s="3" t="inlineStr">
        <is>
          <t>Garanhuns</t>
        </is>
      </c>
      <c r="F233" s="3" t="inlineStr">
        <is>
          <t xml:space="preserve">SANTO ANTONIO </t>
        </is>
      </c>
      <c r="G233" s="3" t="inlineStr">
        <is>
          <t>55293025</t>
        </is>
      </c>
      <c r="H233" s="3" t="inlineStr">
        <is>
          <t>Rodrigo</t>
        </is>
      </c>
      <c r="I233" s="3" t="inlineStr">
        <is>
          <t>Pontual</t>
        </is>
      </c>
      <c r="J233" s="2" t="n">
        <v>0</v>
      </c>
      <c r="K233" s="3" t="inlineStr">
        <is>
          <t>Semana 3</t>
        </is>
      </c>
      <c r="L233" s="3" t="inlineStr">
        <is>
          <t>Normal</t>
        </is>
      </c>
      <c r="M233" s="3" t="inlineStr">
        <is>
          <t>chave 232</t>
        </is>
      </c>
    </row>
    <row r="234">
      <c r="A234" s="2" t="n">
        <v>233</v>
      </c>
      <c r="B234" s="3" t="inlineStr">
        <is>
          <t xml:space="preserve">CILENE MARIA SANTOS DA SILVA OLIVEIRA </t>
        </is>
      </c>
      <c r="C234" s="3" t="inlineStr">
        <is>
          <t>NORDESTE</t>
        </is>
      </c>
      <c r="D234" s="3" t="inlineStr">
        <is>
          <t>PE</t>
        </is>
      </c>
      <c r="E234" s="3" t="inlineStr">
        <is>
          <t>Catende</t>
        </is>
      </c>
      <c r="F234" s="3" t="inlineStr">
        <is>
          <t xml:space="preserve">CENTRO </t>
        </is>
      </c>
      <c r="G234" s="3" t="inlineStr">
        <is>
          <t>55400000</t>
        </is>
      </c>
      <c r="H234" s="3" t="inlineStr">
        <is>
          <t>Rodrigo</t>
        </is>
      </c>
      <c r="I234" s="3" t="inlineStr">
        <is>
          <t>Pontual</t>
        </is>
      </c>
      <c r="J234" s="2" t="n">
        <v>0</v>
      </c>
      <c r="K234" s="3" t="inlineStr">
        <is>
          <t>Semana 3</t>
        </is>
      </c>
      <c r="L234" s="3" t="inlineStr">
        <is>
          <t>Normal</t>
        </is>
      </c>
      <c r="M234" s="3" t="inlineStr">
        <is>
          <t>chave 233</t>
        </is>
      </c>
    </row>
    <row r="235">
      <c r="A235" s="2" t="n">
        <v>234</v>
      </c>
      <c r="B235" s="3" t="inlineStr">
        <is>
          <t xml:space="preserve">JOAO ALVES DE LIMA BARROS </t>
        </is>
      </c>
      <c r="C235" s="3" t="inlineStr">
        <is>
          <t>NORDESTE</t>
        </is>
      </c>
      <c r="D235" s="3" t="inlineStr">
        <is>
          <t>PE</t>
        </is>
      </c>
      <c r="E235" s="3" t="inlineStr">
        <is>
          <t>SERRA TALHADA</t>
        </is>
      </c>
      <c r="F235" s="3" t="inlineStr">
        <is>
          <t xml:space="preserve">AABB </t>
        </is>
      </c>
      <c r="G235" s="3" t="inlineStr">
        <is>
          <t>56903590</t>
        </is>
      </c>
      <c r="H235" s="3" t="inlineStr">
        <is>
          <t>Rodrigo</t>
        </is>
      </c>
      <c r="I235" s="3" t="inlineStr">
        <is>
          <t>Pontual</t>
        </is>
      </c>
      <c r="J235" s="2" t="n">
        <v>0</v>
      </c>
      <c r="K235" s="3" t="inlineStr">
        <is>
          <t>Semana 4</t>
        </is>
      </c>
      <c r="L235" s="3" t="inlineStr">
        <is>
          <t>Normal</t>
        </is>
      </c>
      <c r="M235" s="3" t="inlineStr">
        <is>
          <t>chave 234</t>
        </is>
      </c>
    </row>
    <row r="236">
      <c r="A236" s="2" t="n">
        <v>235</v>
      </c>
      <c r="B236" s="3" t="inlineStr">
        <is>
          <t xml:space="preserve">UNICA SANEANTES LTDA </t>
        </is>
      </c>
      <c r="C236" s="3" t="inlineStr">
        <is>
          <t>NORDESTE</t>
        </is>
      </c>
      <c r="D236" s="3" t="inlineStr">
        <is>
          <t>PE</t>
        </is>
      </c>
      <c r="E236" s="3" t="inlineStr">
        <is>
          <t>PAULISTA</t>
        </is>
      </c>
      <c r="F236" s="3" t="inlineStr">
        <is>
          <t xml:space="preserve">ENGENHO MARANGUAPE </t>
        </is>
      </c>
      <c r="G236" s="3" t="inlineStr">
        <is>
          <t>53423623</t>
        </is>
      </c>
      <c r="H236" s="3" t="inlineStr">
        <is>
          <t>Rodrigo</t>
        </is>
      </c>
      <c r="I236" s="3" t="inlineStr">
        <is>
          <t>Pontual</t>
        </is>
      </c>
      <c r="J236" s="2" t="n">
        <v>0</v>
      </c>
      <c r="K236" s="3" t="inlineStr">
        <is>
          <t>Semana 4</t>
        </is>
      </c>
      <c r="L236" s="3" t="inlineStr">
        <is>
          <t>Normal</t>
        </is>
      </c>
      <c r="M236" s="3" t="inlineStr">
        <is>
          <t>chave 235</t>
        </is>
      </c>
    </row>
    <row r="237">
      <c r="A237" s="2" t="n">
        <v>236</v>
      </c>
      <c r="B237" s="3" t="inlineStr">
        <is>
          <t xml:space="preserve">MARCIO DOS SANTOS MARCOS </t>
        </is>
      </c>
      <c r="C237" s="3" t="inlineStr">
        <is>
          <t>NORDESTE</t>
        </is>
      </c>
      <c r="D237" s="3" t="inlineStr">
        <is>
          <t>PE</t>
        </is>
      </c>
      <c r="E237" s="3" t="inlineStr">
        <is>
          <t>BREJO DA MADRE DE DEUS</t>
        </is>
      </c>
      <c r="F237" s="3" t="inlineStr">
        <is>
          <t xml:space="preserve">SAO DOMINGOS </t>
        </is>
      </c>
      <c r="G237" s="3" t="inlineStr">
        <is>
          <t>55178000</t>
        </is>
      </c>
      <c r="H237" s="3" t="inlineStr">
        <is>
          <t>Rodrigo</t>
        </is>
      </c>
      <c r="I237" s="3" t="inlineStr">
        <is>
          <t>Pontual</t>
        </is>
      </c>
      <c r="J237" s="2" t="n">
        <v>0</v>
      </c>
      <c r="K237" s="3" t="inlineStr">
        <is>
          <t>Semana 3</t>
        </is>
      </c>
      <c r="L237" s="3" t="inlineStr">
        <is>
          <t>Normal</t>
        </is>
      </c>
      <c r="M237" s="3" t="inlineStr">
        <is>
          <t>chave 236</t>
        </is>
      </c>
    </row>
    <row r="238">
      <c r="A238" s="2" t="n">
        <v>237</v>
      </c>
      <c r="B238" s="3" t="inlineStr">
        <is>
          <t xml:space="preserve">W DA SILVA CARDOSO PRESENTES </t>
        </is>
      </c>
      <c r="C238" s="3" t="inlineStr">
        <is>
          <t>NORDESTE</t>
        </is>
      </c>
      <c r="D238" s="3" t="inlineStr">
        <is>
          <t>PE</t>
        </is>
      </c>
      <c r="E238" s="3" t="inlineStr">
        <is>
          <t>IPOJUCA</t>
        </is>
      </c>
      <c r="F238" s="3" t="inlineStr">
        <is>
          <t xml:space="preserve">NS DO O </t>
        </is>
      </c>
      <c r="G238" s="3" t="inlineStr">
        <is>
          <t>55590000</t>
        </is>
      </c>
      <c r="H238" s="3" t="inlineStr">
        <is>
          <t>Rodrigo</t>
        </is>
      </c>
      <c r="I238" s="3" t="inlineStr">
        <is>
          <t>Pontual</t>
        </is>
      </c>
      <c r="J238" s="2" t="n">
        <v>0</v>
      </c>
      <c r="K238" s="3" t="inlineStr">
        <is>
          <t>Semana 3</t>
        </is>
      </c>
      <c r="L238" s="3" t="inlineStr">
        <is>
          <t>Normal</t>
        </is>
      </c>
      <c r="M238" s="3" t="inlineStr">
        <is>
          <t>chave 237</t>
        </is>
      </c>
    </row>
    <row r="239">
      <c r="A239" s="2" t="n">
        <v>238</v>
      </c>
      <c r="B239" s="3" t="inlineStr">
        <is>
          <t xml:space="preserve">DANIEL CEZAR LOPES DE MORAES </t>
        </is>
      </c>
      <c r="C239" s="3" t="inlineStr">
        <is>
          <t>NORDESTE</t>
        </is>
      </c>
      <c r="D239" s="3" t="inlineStr">
        <is>
          <t>PE</t>
        </is>
      </c>
      <c r="E239" s="3" t="inlineStr">
        <is>
          <t>GARANHUNS</t>
        </is>
      </c>
      <c r="F239" s="3" t="inlineStr">
        <is>
          <t xml:space="preserve">BOA VISTA </t>
        </is>
      </c>
      <c r="G239" s="3" t="inlineStr">
        <is>
          <t>55293270</t>
        </is>
      </c>
      <c r="H239" s="3" t="inlineStr">
        <is>
          <t>Rodrigo</t>
        </is>
      </c>
      <c r="I239" s="3" t="inlineStr">
        <is>
          <t>Pontual</t>
        </is>
      </c>
      <c r="J239" s="2" t="n">
        <v>0</v>
      </c>
      <c r="K239" s="3" t="inlineStr">
        <is>
          <t>Semana 3</t>
        </is>
      </c>
      <c r="L239" s="3" t="inlineStr">
        <is>
          <t>Normal</t>
        </is>
      </c>
      <c r="M239" s="3" t="inlineStr">
        <is>
          <t>chave 238</t>
        </is>
      </c>
    </row>
    <row r="240">
      <c r="A240" s="2" t="n">
        <v>239</v>
      </c>
      <c r="B240" s="3" t="inlineStr">
        <is>
          <t xml:space="preserve">AQUARELA PAPELARIA E PRESENTES LTDA </t>
        </is>
      </c>
      <c r="C240" s="3" t="inlineStr">
        <is>
          <t>NORDESTE</t>
        </is>
      </c>
      <c r="D240" s="3" t="inlineStr">
        <is>
          <t>PE</t>
        </is>
      </c>
      <c r="E240" s="3" t="inlineStr">
        <is>
          <t>LAGOA DOS GATOS</t>
        </is>
      </c>
      <c r="F240" s="3" t="inlineStr">
        <is>
          <t xml:space="preserve">CENTRO </t>
        </is>
      </c>
      <c r="G240" s="3" t="inlineStr">
        <is>
          <t>55450000</t>
        </is>
      </c>
      <c r="H240" s="3" t="inlineStr">
        <is>
          <t>Rodrigo</t>
        </is>
      </c>
      <c r="I240" s="3" t="inlineStr">
        <is>
          <t>Pontual</t>
        </is>
      </c>
      <c r="J240" s="2" t="n">
        <v>0</v>
      </c>
      <c r="K240" s="3" t="inlineStr">
        <is>
          <t>Semana 4</t>
        </is>
      </c>
      <c r="L240" s="3" t="inlineStr">
        <is>
          <t>Normal</t>
        </is>
      </c>
      <c r="M240" s="3" t="inlineStr">
        <is>
          <t>chave 239</t>
        </is>
      </c>
    </row>
    <row r="241">
      <c r="A241" s="2" t="n">
        <v>240</v>
      </c>
      <c r="B241" s="3" t="inlineStr">
        <is>
          <t xml:space="preserve">RUDIMAR VILELA MACHADO </t>
        </is>
      </c>
      <c r="C241" s="3" t="inlineStr">
        <is>
          <t>NORDESTE</t>
        </is>
      </c>
      <c r="D241" s="3" t="inlineStr">
        <is>
          <t>PE</t>
        </is>
      </c>
      <c r="E241" s="3" t="inlineStr">
        <is>
          <t>LAJEDO</t>
        </is>
      </c>
      <c r="F241" s="3" t="inlineStr">
        <is>
          <t xml:space="preserve">CENTRO </t>
        </is>
      </c>
      <c r="G241" s="3" t="inlineStr">
        <is>
          <t>55385000</t>
        </is>
      </c>
      <c r="H241" s="3" t="inlineStr">
        <is>
          <t>Rodrigo</t>
        </is>
      </c>
      <c r="I241" s="3" t="inlineStr">
        <is>
          <t>Pontual</t>
        </is>
      </c>
      <c r="J241" s="2" t="n">
        <v>0</v>
      </c>
      <c r="K241" s="3" t="inlineStr">
        <is>
          <t>Semana 4</t>
        </is>
      </c>
      <c r="L241" s="3" t="inlineStr">
        <is>
          <t>Normal</t>
        </is>
      </c>
      <c r="M241" s="3" t="inlineStr">
        <is>
          <t>chave 240</t>
        </is>
      </c>
    </row>
    <row r="242">
      <c r="A242" s="2" t="n">
        <v>241</v>
      </c>
      <c r="B242" s="3" t="inlineStr">
        <is>
          <t xml:space="preserve">REGINALDO DE BRITO GONCALVES </t>
        </is>
      </c>
      <c r="C242" s="3" t="inlineStr">
        <is>
          <t>NORDESTE</t>
        </is>
      </c>
      <c r="D242" s="3" t="inlineStr">
        <is>
          <t>PE</t>
        </is>
      </c>
      <c r="E242" s="3" t="inlineStr">
        <is>
          <t>AFOGADOS DA INGAZEIRA</t>
        </is>
      </c>
      <c r="F242" s="3" t="inlineStr">
        <is>
          <t xml:space="preserve">PADRE PEDRO PEREIRA </t>
        </is>
      </c>
      <c r="G242" s="3" t="inlineStr">
        <is>
          <t>56800000</t>
        </is>
      </c>
      <c r="H242" s="3" t="inlineStr">
        <is>
          <t>Rodrigo</t>
        </is>
      </c>
      <c r="I242" s="3" t="inlineStr">
        <is>
          <t>Pontual</t>
        </is>
      </c>
      <c r="J242" s="2" t="n">
        <v>0</v>
      </c>
      <c r="K242" s="3" t="inlineStr">
        <is>
          <t>Semana 3</t>
        </is>
      </c>
      <c r="L242" s="3" t="inlineStr">
        <is>
          <t>Normal</t>
        </is>
      </c>
      <c r="M242" s="3" t="inlineStr">
        <is>
          <t>chave 241</t>
        </is>
      </c>
    </row>
    <row r="243">
      <c r="A243" s="2" t="n">
        <v>242</v>
      </c>
      <c r="B243" s="3" t="inlineStr">
        <is>
          <t xml:space="preserve">MARIA JOSIANA DE LIMA </t>
        </is>
      </c>
      <c r="C243" s="3" t="inlineStr">
        <is>
          <t>NORDESTE</t>
        </is>
      </c>
      <c r="D243" s="3" t="inlineStr">
        <is>
          <t>PE</t>
        </is>
      </c>
      <c r="E243" s="3" t="inlineStr">
        <is>
          <t>LIMOEIRO</t>
        </is>
      </c>
      <c r="F243" s="3" t="inlineStr">
        <is>
          <t xml:space="preserve">CENTRO </t>
        </is>
      </c>
      <c r="G243" s="3" t="inlineStr">
        <is>
          <t>55700000</t>
        </is>
      </c>
      <c r="H243" s="3" t="inlineStr">
        <is>
          <t>Rodrigo</t>
        </is>
      </c>
      <c r="I243" s="3" t="inlineStr">
        <is>
          <t>Pontual</t>
        </is>
      </c>
      <c r="J243" s="2" t="n">
        <v>0</v>
      </c>
      <c r="K243" s="3" t="inlineStr">
        <is>
          <t>Semana 4</t>
        </is>
      </c>
      <c r="L243" s="3" t="inlineStr">
        <is>
          <t>Normal</t>
        </is>
      </c>
      <c r="M243" s="3" t="inlineStr">
        <is>
          <t>chave 242</t>
        </is>
      </c>
    </row>
    <row r="244">
      <c r="A244" s="2" t="n">
        <v>243</v>
      </c>
      <c r="B244" s="3" t="inlineStr">
        <is>
          <t xml:space="preserve">H G COMERCIAL LTDA </t>
        </is>
      </c>
      <c r="C244" s="3" t="inlineStr">
        <is>
          <t>NORDESTE</t>
        </is>
      </c>
      <c r="D244" s="3" t="inlineStr">
        <is>
          <t>PE</t>
        </is>
      </c>
      <c r="E244" s="3" t="inlineStr">
        <is>
          <t>SERRA TALHADA</t>
        </is>
      </c>
      <c r="F244" s="3" t="inlineStr">
        <is>
          <t xml:space="preserve">N.SRA.PENHA </t>
        </is>
      </c>
      <c r="G244" s="3" t="inlineStr">
        <is>
          <t>56903520</t>
        </is>
      </c>
      <c r="H244" s="3" t="inlineStr">
        <is>
          <t>Rodrigo</t>
        </is>
      </c>
      <c r="I244" s="3" t="inlineStr">
        <is>
          <t>Pontual</t>
        </is>
      </c>
      <c r="J244" s="2" t="n">
        <v>0</v>
      </c>
      <c r="K244" s="3" t="inlineStr">
        <is>
          <t>Semana 4</t>
        </is>
      </c>
      <c r="L244" s="3" t="inlineStr">
        <is>
          <t>Normal</t>
        </is>
      </c>
      <c r="M244" s="3" t="inlineStr">
        <is>
          <t>chave 243</t>
        </is>
      </c>
    </row>
    <row r="245">
      <c r="A245" s="2" t="n">
        <v>244</v>
      </c>
      <c r="B245" s="3" t="inlineStr">
        <is>
          <t xml:space="preserve">ANDRE FERREIRA DE ARRUDA </t>
        </is>
      </c>
      <c r="C245" s="3" t="inlineStr">
        <is>
          <t>NORDESTE</t>
        </is>
      </c>
      <c r="D245" s="3" t="inlineStr">
        <is>
          <t>PE</t>
        </is>
      </c>
      <c r="E245" s="3" t="inlineStr">
        <is>
          <t>Orobó</t>
        </is>
      </c>
      <c r="F245" s="3" t="inlineStr">
        <is>
          <t xml:space="preserve">CENTRO </t>
        </is>
      </c>
      <c r="G245" s="3" t="inlineStr">
        <is>
          <t>55745000</t>
        </is>
      </c>
      <c r="H245" s="3" t="inlineStr">
        <is>
          <t>Rodrigo</t>
        </is>
      </c>
      <c r="I245" s="3" t="inlineStr">
        <is>
          <t>Pontual</t>
        </is>
      </c>
      <c r="J245" s="2" t="n">
        <v>0</v>
      </c>
      <c r="K245" s="3" t="inlineStr">
        <is>
          <t>Semana 4</t>
        </is>
      </c>
      <c r="L245" s="3" t="inlineStr">
        <is>
          <t>Normal</t>
        </is>
      </c>
      <c r="M245" s="3" t="inlineStr">
        <is>
          <t>chave 244</t>
        </is>
      </c>
    </row>
    <row r="246">
      <c r="A246" s="2" t="n">
        <v>245</v>
      </c>
      <c r="B246" s="3" t="inlineStr">
        <is>
          <t xml:space="preserve">LUCIANA SOARES DA SILVA COMERCIO DE VARIEDADES </t>
        </is>
      </c>
      <c r="C246" s="3" t="inlineStr">
        <is>
          <t>NORDESTE</t>
        </is>
      </c>
      <c r="D246" s="3" t="inlineStr">
        <is>
          <t>PE</t>
        </is>
      </c>
      <c r="E246" s="3" t="inlineStr">
        <is>
          <t>RECIFE</t>
        </is>
      </c>
      <c r="F246" s="3" t="inlineStr">
        <is>
          <t xml:space="preserve">COHAB </t>
        </is>
      </c>
      <c r="G246" s="3" t="inlineStr">
        <is>
          <t>51270570</t>
        </is>
      </c>
      <c r="H246" s="3" t="inlineStr">
        <is>
          <t>Rodrigo</t>
        </is>
      </c>
      <c r="I246" s="3" t="inlineStr">
        <is>
          <t>Estratégico</t>
        </is>
      </c>
      <c r="J246" s="2" t="n">
        <v>0</v>
      </c>
      <c r="K246" s="3" t="inlineStr">
        <is>
          <t>Semana 1</t>
        </is>
      </c>
      <c r="L246" s="3" t="inlineStr">
        <is>
          <t>Alta</t>
        </is>
      </c>
      <c r="M246" s="3" t="inlineStr">
        <is>
          <t>chave 245</t>
        </is>
      </c>
    </row>
    <row r="247">
      <c r="A247" s="2" t="n">
        <v>246</v>
      </c>
      <c r="B247" s="3" t="inlineStr">
        <is>
          <t xml:space="preserve">MJ COMERCIO DE MOVEIS LTDA </t>
        </is>
      </c>
      <c r="C247" s="3" t="inlineStr">
        <is>
          <t>NORDESTE</t>
        </is>
      </c>
      <c r="D247" s="3" t="inlineStr">
        <is>
          <t>PE</t>
        </is>
      </c>
      <c r="E247" s="3" t="inlineStr">
        <is>
          <t>PAULISTA</t>
        </is>
      </c>
      <c r="F247" s="3" t="inlineStr">
        <is>
          <t xml:space="preserve">NOSSA SENHORA DA CONCEICAO </t>
        </is>
      </c>
      <c r="G247" s="3" t="inlineStr">
        <is>
          <t>53425030</t>
        </is>
      </c>
      <c r="H247" s="3" t="inlineStr">
        <is>
          <t>Rodrigo</t>
        </is>
      </c>
      <c r="I247" s="3" t="inlineStr">
        <is>
          <t>Pontual</t>
        </is>
      </c>
      <c r="J247" s="2" t="n">
        <v>0</v>
      </c>
      <c r="K247" s="3" t="inlineStr">
        <is>
          <t>Semana 4</t>
        </is>
      </c>
      <c r="L247" s="3" t="inlineStr">
        <is>
          <t>Normal</t>
        </is>
      </c>
      <c r="M247" s="3" t="inlineStr">
        <is>
          <t>chave 246</t>
        </is>
      </c>
    </row>
    <row r="248">
      <c r="A248" s="2" t="n">
        <v>247</v>
      </c>
      <c r="B248" s="3" t="inlineStr">
        <is>
          <t xml:space="preserve">ITAENGA COMERCIO VAREJISTA DE PAPELARIA LTDA </t>
        </is>
      </c>
      <c r="C248" s="3" t="inlineStr">
        <is>
          <t>NORDESTE</t>
        </is>
      </c>
      <c r="D248" s="3" t="inlineStr">
        <is>
          <t>PE</t>
        </is>
      </c>
      <c r="E248" s="3" t="inlineStr">
        <is>
          <t>LAGOA DO ITAENGA</t>
        </is>
      </c>
      <c r="F248" s="3" t="inlineStr">
        <is>
          <t xml:space="preserve">CENTRO </t>
        </is>
      </c>
      <c r="G248" s="3" t="inlineStr">
        <is>
          <t>55840000</t>
        </is>
      </c>
      <c r="H248" s="3" t="inlineStr">
        <is>
          <t>Rodrigo</t>
        </is>
      </c>
      <c r="I248" s="3" t="inlineStr">
        <is>
          <t>Pontual</t>
        </is>
      </c>
      <c r="J248" s="2" t="n">
        <v>0</v>
      </c>
      <c r="K248" s="3" t="inlineStr">
        <is>
          <t>Semana 3</t>
        </is>
      </c>
      <c r="L248" s="3" t="inlineStr">
        <is>
          <t>Normal</t>
        </is>
      </c>
      <c r="M248" s="3" t="inlineStr">
        <is>
          <t>chave 247</t>
        </is>
      </c>
    </row>
    <row r="249">
      <c r="A249" s="2" t="n">
        <v>248</v>
      </c>
      <c r="B249" s="3" t="inlineStr">
        <is>
          <t xml:space="preserve">PAPER BOX DISTRIBUIDORA E SERVICOS LTDA </t>
        </is>
      </c>
      <c r="C249" s="3" t="inlineStr">
        <is>
          <t>NORDESTE</t>
        </is>
      </c>
      <c r="D249" s="3" t="inlineStr">
        <is>
          <t>PE</t>
        </is>
      </c>
      <c r="E249" s="3" t="inlineStr">
        <is>
          <t>RECIFE</t>
        </is>
      </c>
      <c r="F249" s="3" t="inlineStr">
        <is>
          <t xml:space="preserve">SAO JOSE </t>
        </is>
      </c>
      <c r="G249" s="3" t="inlineStr">
        <is>
          <t>50020060</t>
        </is>
      </c>
      <c r="H249" s="3" t="inlineStr">
        <is>
          <t>Rodrigo</t>
        </is>
      </c>
      <c r="I249" s="3" t="inlineStr">
        <is>
          <t>Estratégico</t>
        </is>
      </c>
      <c r="J249" s="2" t="n">
        <v>0</v>
      </c>
      <c r="K249" s="3" t="inlineStr">
        <is>
          <t>Semana 1</t>
        </is>
      </c>
      <c r="L249" s="3" t="inlineStr">
        <is>
          <t>Alta</t>
        </is>
      </c>
      <c r="M249" s="3" t="inlineStr">
        <is>
          <t>chave 248</t>
        </is>
      </c>
    </row>
    <row r="250">
      <c r="A250" s="2" t="n">
        <v>249</v>
      </c>
      <c r="B250" s="3" t="inlineStr">
        <is>
          <t xml:space="preserve">JACINTO E CALADO COMERCIO DE LIVROS E PAPELARIA LTDA </t>
        </is>
      </c>
      <c r="C250" s="3" t="inlineStr">
        <is>
          <t>NORDESTE</t>
        </is>
      </c>
      <c r="D250" s="3" t="inlineStr">
        <is>
          <t>PE</t>
        </is>
      </c>
      <c r="E250" s="3" t="inlineStr">
        <is>
          <t>Santa Cruz do Capibaribe</t>
        </is>
      </c>
      <c r="F250" s="3" t="inlineStr">
        <is>
          <t xml:space="preserve">CENTRO </t>
        </is>
      </c>
      <c r="G250" s="3" t="inlineStr">
        <is>
          <t>55192245</t>
        </is>
      </c>
      <c r="H250" s="3" t="inlineStr">
        <is>
          <t>Rodrigo</t>
        </is>
      </c>
      <c r="I250" s="3" t="inlineStr">
        <is>
          <t>Pontual</t>
        </is>
      </c>
      <c r="J250" s="2" t="n">
        <v>0</v>
      </c>
      <c r="K250" s="3" t="inlineStr">
        <is>
          <t>Semana 4</t>
        </is>
      </c>
      <c r="L250" s="3" t="inlineStr">
        <is>
          <t>Normal</t>
        </is>
      </c>
      <c r="M250" s="3" t="inlineStr">
        <is>
          <t>chave 249</t>
        </is>
      </c>
    </row>
    <row r="251">
      <c r="A251" s="2" t="n">
        <v>250</v>
      </c>
      <c r="B251" s="3" t="inlineStr">
        <is>
          <t xml:space="preserve">BML COMERCIAL LTDA </t>
        </is>
      </c>
      <c r="C251" s="3" t="inlineStr">
        <is>
          <t>NORDESTE</t>
        </is>
      </c>
      <c r="D251" s="3" t="inlineStr">
        <is>
          <t>PE</t>
        </is>
      </c>
      <c r="E251" s="3" t="inlineStr">
        <is>
          <t>RECIFE</t>
        </is>
      </c>
      <c r="F251" s="3" t="inlineStr">
        <is>
          <t xml:space="preserve">CASA FORTE </t>
        </is>
      </c>
      <c r="G251" s="3" t="inlineStr">
        <is>
          <t>52061430</t>
        </is>
      </c>
      <c r="H251" s="3" t="inlineStr">
        <is>
          <t>Rodrigo</t>
        </is>
      </c>
      <c r="I251" s="3" t="inlineStr">
        <is>
          <t>Estratégico</t>
        </is>
      </c>
      <c r="J251" s="2" t="n">
        <v>0</v>
      </c>
      <c r="K251" s="3" t="inlineStr">
        <is>
          <t>Semana 1</t>
        </is>
      </c>
      <c r="L251" s="3" t="inlineStr">
        <is>
          <t>Alta</t>
        </is>
      </c>
      <c r="M251" s="3" t="inlineStr">
        <is>
          <t>chave 250</t>
        </is>
      </c>
    </row>
    <row r="252">
      <c r="A252" s="2" t="n">
        <v>251</v>
      </c>
      <c r="B252" s="3" t="inlineStr">
        <is>
          <t xml:space="preserve">SEVERINO JERONIMO DE MELO </t>
        </is>
      </c>
      <c r="C252" s="3" t="inlineStr">
        <is>
          <t>NORDESTE</t>
        </is>
      </c>
      <c r="D252" s="3" t="inlineStr">
        <is>
          <t>PE</t>
        </is>
      </c>
      <c r="E252" s="3" t="inlineStr">
        <is>
          <t>ITAMBÉ</t>
        </is>
      </c>
      <c r="F252" s="3" t="inlineStr">
        <is>
          <t xml:space="preserve">CENTRO </t>
        </is>
      </c>
      <c r="G252" s="3" t="inlineStr">
        <is>
          <t>55920000</t>
        </is>
      </c>
      <c r="H252" s="3" t="inlineStr">
        <is>
          <t>Rodrigo</t>
        </is>
      </c>
      <c r="I252" s="3" t="inlineStr">
        <is>
          <t>Pontual</t>
        </is>
      </c>
      <c r="J252" s="2" t="n">
        <v>0</v>
      </c>
      <c r="K252" s="3" t="inlineStr">
        <is>
          <t>Semana 3</t>
        </is>
      </c>
      <c r="L252" s="3" t="inlineStr">
        <is>
          <t>Normal</t>
        </is>
      </c>
      <c r="M252" s="3" t="inlineStr">
        <is>
          <t>chave 251</t>
        </is>
      </c>
    </row>
    <row r="253">
      <c r="A253" s="2" t="n">
        <v>252</v>
      </c>
      <c r="B253" s="3" t="inlineStr">
        <is>
          <t xml:space="preserve">LIVRARIA E PAPELARIA BELEM LTDA </t>
        </is>
      </c>
      <c r="C253" s="3" t="inlineStr">
        <is>
          <t>NORDESTE</t>
        </is>
      </c>
      <c r="D253" s="3" t="inlineStr">
        <is>
          <t>PE</t>
        </is>
      </c>
      <c r="E253" s="3" t="inlineStr">
        <is>
          <t>Belém de São Francisco</t>
        </is>
      </c>
      <c r="F253" s="3" t="inlineStr">
        <is>
          <t xml:space="preserve">CENTRO </t>
        </is>
      </c>
      <c r="G253" s="3" t="inlineStr">
        <is>
          <t>56440000</t>
        </is>
      </c>
      <c r="H253" s="3" t="inlineStr">
        <is>
          <t>Rodrigo</t>
        </is>
      </c>
      <c r="I253" s="3" t="inlineStr">
        <is>
          <t>Estratégico</t>
        </is>
      </c>
      <c r="J253" s="2" t="n">
        <v>0</v>
      </c>
      <c r="K253" s="3" t="inlineStr">
        <is>
          <t>Semana 1</t>
        </is>
      </c>
      <c r="L253" s="3" t="inlineStr">
        <is>
          <t>Alta</t>
        </is>
      </c>
      <c r="M253" s="3" t="inlineStr">
        <is>
          <t>chave 252</t>
        </is>
      </c>
    </row>
    <row r="254">
      <c r="A254" s="2" t="n">
        <v>253</v>
      </c>
      <c r="B254" s="3" t="inlineStr">
        <is>
          <t xml:space="preserve">RAQUEL LIMA SILVA LTDA </t>
        </is>
      </c>
      <c r="C254" s="3" t="inlineStr">
        <is>
          <t>NORDESTE</t>
        </is>
      </c>
      <c r="D254" s="3" t="inlineStr">
        <is>
          <t>PE</t>
        </is>
      </c>
      <c r="E254" s="3" t="inlineStr">
        <is>
          <t>LAJEDO</t>
        </is>
      </c>
      <c r="F254" s="3" t="inlineStr">
        <is>
          <t xml:space="preserve">CENTRO </t>
        </is>
      </c>
      <c r="G254" s="3" t="inlineStr">
        <is>
          <t>55385000</t>
        </is>
      </c>
      <c r="H254" s="3" t="inlineStr">
        <is>
          <t>Rodrigo</t>
        </is>
      </c>
      <c r="I254" s="3" t="inlineStr">
        <is>
          <t>Pontual</t>
        </is>
      </c>
      <c r="J254" s="2" t="n">
        <v>0</v>
      </c>
      <c r="K254" s="3" t="inlineStr">
        <is>
          <t>Semana 4</t>
        </is>
      </c>
      <c r="L254" s="3" t="inlineStr">
        <is>
          <t>Normal</t>
        </is>
      </c>
      <c r="M254" s="3" t="inlineStr">
        <is>
          <t>chave 253</t>
        </is>
      </c>
    </row>
    <row r="255">
      <c r="A255" s="2" t="n">
        <v>254</v>
      </c>
      <c r="B255" s="3" t="inlineStr">
        <is>
          <t xml:space="preserve">BONBONNIERE CAVALCANTI LTDA </t>
        </is>
      </c>
      <c r="C255" s="3" t="inlineStr">
        <is>
          <t>NORDESTE</t>
        </is>
      </c>
      <c r="D255" s="3" t="inlineStr">
        <is>
          <t>PE</t>
        </is>
      </c>
      <c r="E255" s="3" t="inlineStr">
        <is>
          <t>DORMENTES</t>
        </is>
      </c>
      <c r="F255" s="3" t="inlineStr">
        <is>
          <t xml:space="preserve">CENTRO </t>
        </is>
      </c>
      <c r="G255" s="3" t="inlineStr">
        <is>
          <t>56355000</t>
        </is>
      </c>
      <c r="H255" s="3" t="inlineStr">
        <is>
          <t>Rodrigo</t>
        </is>
      </c>
      <c r="I255" s="3" t="inlineStr">
        <is>
          <t>Pontual</t>
        </is>
      </c>
      <c r="J255" s="2" t="n">
        <v>0</v>
      </c>
      <c r="K255" s="3" t="inlineStr">
        <is>
          <t>Semana 3</t>
        </is>
      </c>
      <c r="L255" s="3" t="inlineStr">
        <is>
          <t>Normal</t>
        </is>
      </c>
      <c r="M255" s="3" t="inlineStr">
        <is>
          <t>chave 254</t>
        </is>
      </c>
    </row>
    <row r="256">
      <c r="A256" s="2" t="n">
        <v>255</v>
      </c>
      <c r="B256" s="3" t="inlineStr">
        <is>
          <t xml:space="preserve">NOGUEIRA &amp; ALENCAR LTDA </t>
        </is>
      </c>
      <c r="C256" s="3" t="inlineStr">
        <is>
          <t>NORDESTE</t>
        </is>
      </c>
      <c r="D256" s="3" t="inlineStr">
        <is>
          <t>PI</t>
        </is>
      </c>
      <c r="E256" s="3" t="inlineStr">
        <is>
          <t>TERESINA</t>
        </is>
      </c>
      <c r="F256" s="3" t="inlineStr">
        <is>
          <t xml:space="preserve">SANTA ISABEL </t>
        </is>
      </c>
      <c r="G256" s="3" t="inlineStr">
        <is>
          <t>64053180</t>
        </is>
      </c>
      <c r="H256" s="3" t="inlineStr">
        <is>
          <t>Rodrigo</t>
        </is>
      </c>
      <c r="I256" s="3" t="inlineStr">
        <is>
          <t>Pontual</t>
        </is>
      </c>
      <c r="J256" s="2" t="n">
        <v>933</v>
      </c>
      <c r="K256" s="3" t="inlineStr">
        <is>
          <t>Semana 4</t>
        </is>
      </c>
      <c r="L256" s="3" t="inlineStr">
        <is>
          <t>Normal</t>
        </is>
      </c>
      <c r="M256" s="3" t="inlineStr">
        <is>
          <t>chave 255</t>
        </is>
      </c>
    </row>
    <row r="257">
      <c r="A257" s="2" t="n">
        <v>256</v>
      </c>
      <c r="B257" s="3" t="inlineStr">
        <is>
          <t xml:space="preserve">ASA DISTRIBUIDORA LTDA </t>
        </is>
      </c>
      <c r="C257" s="3" t="inlineStr">
        <is>
          <t>NORDESTE</t>
        </is>
      </c>
      <c r="D257" s="3" t="inlineStr">
        <is>
          <t>PI</t>
        </is>
      </c>
      <c r="E257" s="3" t="inlineStr">
        <is>
          <t>TERESINA</t>
        </is>
      </c>
      <c r="F257" s="3" t="inlineStr">
        <is>
          <t xml:space="preserve">PICARREIRA </t>
        </is>
      </c>
      <c r="G257" s="3" t="inlineStr">
        <is>
          <t>64055400</t>
        </is>
      </c>
      <c r="H257" s="3" t="inlineStr">
        <is>
          <t>Rodrigo</t>
        </is>
      </c>
      <c r="I257" s="3" t="inlineStr">
        <is>
          <t>Pontual</t>
        </is>
      </c>
      <c r="J257" s="2" t="n">
        <v>933</v>
      </c>
      <c r="K257" s="3" t="inlineStr">
        <is>
          <t>Semana 4</t>
        </is>
      </c>
      <c r="L257" s="3" t="inlineStr">
        <is>
          <t>Normal</t>
        </is>
      </c>
      <c r="M257" s="3" t="inlineStr">
        <is>
          <t>chave 256</t>
        </is>
      </c>
    </row>
    <row r="258">
      <c r="A258" s="2" t="n">
        <v>257</v>
      </c>
      <c r="B258" s="3" t="inlineStr">
        <is>
          <t xml:space="preserve">FORNECE DISTRIBUIDORA LTDA </t>
        </is>
      </c>
      <c r="C258" s="3" t="inlineStr">
        <is>
          <t>NORDESTE</t>
        </is>
      </c>
      <c r="D258" s="3" t="inlineStr">
        <is>
          <t>PI</t>
        </is>
      </c>
      <c r="E258" s="3" t="inlineStr">
        <is>
          <t>TERESINA</t>
        </is>
      </c>
      <c r="F258" s="3" t="inlineStr">
        <is>
          <t xml:space="preserve">CENTRO </t>
        </is>
      </c>
      <c r="G258" s="3" t="inlineStr">
        <is>
          <t>64000130</t>
        </is>
      </c>
      <c r="H258" s="3" t="inlineStr">
        <is>
          <t>Rodrigo</t>
        </is>
      </c>
      <c r="I258" s="3" t="inlineStr">
        <is>
          <t>Pontual</t>
        </is>
      </c>
      <c r="J258" s="2" t="n">
        <v>933</v>
      </c>
      <c r="K258" s="3" t="inlineStr">
        <is>
          <t>Semana 4</t>
        </is>
      </c>
      <c r="L258" s="3" t="inlineStr">
        <is>
          <t>Normal</t>
        </is>
      </c>
      <c r="M258" s="3" t="inlineStr">
        <is>
          <t>chave 257</t>
        </is>
      </c>
    </row>
    <row r="259">
      <c r="A259" s="2" t="n">
        <v>258</v>
      </c>
      <c r="B259" s="3" t="inlineStr">
        <is>
          <t xml:space="preserve">REAL PAPELARIA LTDA </t>
        </is>
      </c>
      <c r="C259" s="3" t="inlineStr">
        <is>
          <t>NORDESTE</t>
        </is>
      </c>
      <c r="D259" s="3" t="inlineStr">
        <is>
          <t>PI</t>
        </is>
      </c>
      <c r="E259" s="3" t="inlineStr">
        <is>
          <t>BOM JESUS</t>
        </is>
      </c>
      <c r="F259" s="3" t="inlineStr">
        <is>
          <t xml:space="preserve">CENTRO </t>
        </is>
      </c>
      <c r="G259" s="3" t="inlineStr">
        <is>
          <t>64900000</t>
        </is>
      </c>
      <c r="H259" s="3" t="inlineStr">
        <is>
          <t>Rodrigo</t>
        </is>
      </c>
      <c r="I259" s="3" t="inlineStr">
        <is>
          <t>Pontual</t>
        </is>
      </c>
      <c r="J259" s="2" t="n">
        <v>933</v>
      </c>
      <c r="K259" s="3" t="inlineStr">
        <is>
          <t>Semana 4</t>
        </is>
      </c>
      <c r="L259" s="3" t="inlineStr">
        <is>
          <t>Normal</t>
        </is>
      </c>
      <c r="M259" s="3" t="inlineStr">
        <is>
          <t>chave 258</t>
        </is>
      </c>
    </row>
    <row r="260">
      <c r="A260" s="2" t="n">
        <v>259</v>
      </c>
      <c r="B260" s="3" t="inlineStr">
        <is>
          <t xml:space="preserve">A C S MOURA </t>
        </is>
      </c>
      <c r="C260" s="3" t="inlineStr">
        <is>
          <t>NORDESTE</t>
        </is>
      </c>
      <c r="D260" s="3" t="inlineStr">
        <is>
          <t>PI</t>
        </is>
      </c>
      <c r="E260" s="3" t="inlineStr">
        <is>
          <t>Simplício Mendes</t>
        </is>
      </c>
      <c r="F260" s="3" t="inlineStr">
        <is>
          <t xml:space="preserve">CENTRO </t>
        </is>
      </c>
      <c r="G260" s="3" t="inlineStr">
        <is>
          <t>64700000</t>
        </is>
      </c>
      <c r="H260" s="3" t="inlineStr">
        <is>
          <t>Rodrigo</t>
        </is>
      </c>
      <c r="I260" s="3" t="inlineStr">
        <is>
          <t>Pontual</t>
        </is>
      </c>
      <c r="J260" s="2" t="n">
        <v>933</v>
      </c>
      <c r="K260" s="3" t="inlineStr">
        <is>
          <t>Semana 4</t>
        </is>
      </c>
      <c r="L260" s="3" t="inlineStr">
        <is>
          <t>Normal</t>
        </is>
      </c>
      <c r="M260" s="3" t="inlineStr">
        <is>
          <t>chave 259</t>
        </is>
      </c>
    </row>
    <row r="261">
      <c r="A261" s="2" t="n">
        <v>260</v>
      </c>
      <c r="B261" s="3" t="inlineStr">
        <is>
          <t xml:space="preserve">LOURENCO ALVES TEIXEIRA </t>
        </is>
      </c>
      <c r="C261" s="3" t="inlineStr">
        <is>
          <t>NORDESTE</t>
        </is>
      </c>
      <c r="D261" s="3" t="inlineStr">
        <is>
          <t>PI</t>
        </is>
      </c>
      <c r="E261" s="3" t="inlineStr">
        <is>
          <t>PIRIPIRI</t>
        </is>
      </c>
      <c r="F261" s="3" t="inlineStr">
        <is>
          <t xml:space="preserve">CENTRO </t>
        </is>
      </c>
      <c r="G261" s="3" t="inlineStr">
        <is>
          <t>64260000</t>
        </is>
      </c>
      <c r="H261" s="3" t="inlineStr">
        <is>
          <t>Rodrigo</t>
        </is>
      </c>
      <c r="I261" s="3" t="inlineStr">
        <is>
          <t>Pontual</t>
        </is>
      </c>
      <c r="J261" s="2" t="n">
        <v>933</v>
      </c>
      <c r="K261" s="3" t="inlineStr">
        <is>
          <t>Semana 4</t>
        </is>
      </c>
      <c r="L261" s="3" t="inlineStr">
        <is>
          <t>Normal</t>
        </is>
      </c>
      <c r="M261" s="3" t="inlineStr">
        <is>
          <t>chave 260</t>
        </is>
      </c>
    </row>
    <row r="262">
      <c r="A262" s="2" t="n">
        <v>261</v>
      </c>
      <c r="B262" s="3" t="inlineStr">
        <is>
          <t xml:space="preserve">ALMEIDA REPRESENTACOES E COM. DE MATERIAL ESCOLAR E ALIMENTOS LTDA </t>
        </is>
      </c>
      <c r="C262" s="3" t="inlineStr">
        <is>
          <t>NORDESTE</t>
        </is>
      </c>
      <c r="D262" s="3" t="inlineStr">
        <is>
          <t>PI</t>
        </is>
      </c>
      <c r="E262" s="3" t="inlineStr">
        <is>
          <t>TERESINA</t>
        </is>
      </c>
      <c r="F262" s="3" t="inlineStr">
        <is>
          <t xml:space="preserve">PICARREIRA </t>
        </is>
      </c>
      <c r="G262" s="3" t="inlineStr">
        <is>
          <t>64055400</t>
        </is>
      </c>
      <c r="H262" s="3" t="inlineStr">
        <is>
          <t>Rodrigo</t>
        </is>
      </c>
      <c r="I262" s="3" t="inlineStr">
        <is>
          <t>Pontual</t>
        </is>
      </c>
      <c r="J262" s="2" t="n">
        <v>933</v>
      </c>
      <c r="K262" s="3" t="inlineStr">
        <is>
          <t>Semana 4</t>
        </is>
      </c>
      <c r="L262" s="3" t="inlineStr">
        <is>
          <t>Normal</t>
        </is>
      </c>
      <c r="M262" s="3" t="inlineStr">
        <is>
          <t>chave 261</t>
        </is>
      </c>
    </row>
    <row r="263">
      <c r="A263" s="2" t="n">
        <v>262</v>
      </c>
      <c r="B263" s="3" t="inlineStr">
        <is>
          <t xml:space="preserve">INDEPENDENCIA COMERCIAL LTDA </t>
        </is>
      </c>
      <c r="C263" s="3" t="inlineStr">
        <is>
          <t>NORDESTE</t>
        </is>
      </c>
      <c r="D263" s="3" t="inlineStr">
        <is>
          <t>RN</t>
        </is>
      </c>
      <c r="E263" s="3" t="inlineStr">
        <is>
          <t>Mossoró</t>
        </is>
      </c>
      <c r="F263" s="3" t="inlineStr">
        <is>
          <t xml:space="preserve">CENTRO </t>
        </is>
      </c>
      <c r="G263" s="3" t="inlineStr">
        <is>
          <t>59600520</t>
        </is>
      </c>
      <c r="H263" s="3" t="inlineStr">
        <is>
          <t>Rodrigo</t>
        </is>
      </c>
      <c r="I263" s="3" t="inlineStr">
        <is>
          <t>Pontual</t>
        </is>
      </c>
      <c r="J263" s="2" t="n">
        <v>253</v>
      </c>
      <c r="K263" s="3" t="inlineStr">
        <is>
          <t>Semana 4</t>
        </is>
      </c>
      <c r="L263" s="3" t="inlineStr">
        <is>
          <t>Normal</t>
        </is>
      </c>
      <c r="M263" s="3" t="inlineStr">
        <is>
          <t>chave 262</t>
        </is>
      </c>
    </row>
    <row r="264">
      <c r="A264" s="2" t="n">
        <v>263</v>
      </c>
      <c r="B264" s="3" t="inlineStr">
        <is>
          <t xml:space="preserve">J P DA SILVA SOUZA ARMARINHO </t>
        </is>
      </c>
      <c r="C264" s="3" t="inlineStr">
        <is>
          <t>NORDESTE</t>
        </is>
      </c>
      <c r="D264" s="3" t="inlineStr">
        <is>
          <t>RN</t>
        </is>
      </c>
      <c r="E264" s="3" t="inlineStr">
        <is>
          <t>Mossoró</t>
        </is>
      </c>
      <c r="F264" s="3" t="inlineStr">
        <is>
          <t xml:space="preserve">CENTRO </t>
        </is>
      </c>
      <c r="G264" s="3" t="inlineStr">
        <is>
          <t>59600190</t>
        </is>
      </c>
      <c r="H264" s="3" t="inlineStr">
        <is>
          <t>Rodrigo</t>
        </is>
      </c>
      <c r="I264" s="3" t="inlineStr">
        <is>
          <t>Pontual</t>
        </is>
      </c>
      <c r="J264" s="2" t="n">
        <v>253</v>
      </c>
      <c r="K264" s="3" t="inlineStr">
        <is>
          <t>Semana 4</t>
        </is>
      </c>
      <c r="L264" s="3" t="inlineStr">
        <is>
          <t>Normal</t>
        </is>
      </c>
      <c r="M264" s="3" t="inlineStr">
        <is>
          <t>chave 263</t>
        </is>
      </c>
    </row>
    <row r="265">
      <c r="A265" s="2" t="n">
        <v>264</v>
      </c>
      <c r="B265" s="3" t="inlineStr">
        <is>
          <t xml:space="preserve">ABRAHAO MELO MOREIRA PALHANO </t>
        </is>
      </c>
      <c r="C265" s="3" t="inlineStr">
        <is>
          <t>NORDESTE</t>
        </is>
      </c>
      <c r="D265" s="3" t="inlineStr">
        <is>
          <t>RN</t>
        </is>
      </c>
      <c r="E265" s="3" t="inlineStr">
        <is>
          <t>PAU DOS FERROS</t>
        </is>
      </c>
      <c r="F265" s="3" t="inlineStr">
        <is>
          <t xml:space="preserve">CENTRO </t>
        </is>
      </c>
      <c r="G265" s="3" t="inlineStr">
        <is>
          <t>59900000</t>
        </is>
      </c>
      <c r="H265" s="3" t="inlineStr">
        <is>
          <t>Rodrigo</t>
        </is>
      </c>
      <c r="I265" s="3" t="inlineStr">
        <is>
          <t>Pontual</t>
        </is>
      </c>
      <c r="J265" s="2" t="n">
        <v>253</v>
      </c>
      <c r="K265" s="3" t="inlineStr">
        <is>
          <t>Semana 4</t>
        </is>
      </c>
      <c r="L265" s="3" t="inlineStr">
        <is>
          <t>Normal</t>
        </is>
      </c>
      <c r="M265" s="3" t="inlineStr">
        <is>
          <t>chave 264</t>
        </is>
      </c>
    </row>
    <row r="266">
      <c r="A266" s="2" t="n">
        <v>265</v>
      </c>
      <c r="B266" s="3" t="inlineStr">
        <is>
          <t xml:space="preserve">LEDA DE OLIVEIRA DANTAS LTDA </t>
        </is>
      </c>
      <c r="C266" s="3" t="inlineStr">
        <is>
          <t>NORDESTE</t>
        </is>
      </c>
      <c r="D266" s="3" t="inlineStr">
        <is>
          <t>RN</t>
        </is>
      </c>
      <c r="E266" s="3" t="inlineStr">
        <is>
          <t>São José de Mipibu</t>
        </is>
      </c>
      <c r="F266" s="3" t="inlineStr">
        <is>
          <t xml:space="preserve">CENTRO </t>
        </is>
      </c>
      <c r="G266" s="3" t="inlineStr">
        <is>
          <t>59162000</t>
        </is>
      </c>
      <c r="H266" s="3" t="inlineStr">
        <is>
          <t>Rodrigo</t>
        </is>
      </c>
      <c r="I266" s="3" t="inlineStr">
        <is>
          <t>Pontual</t>
        </is>
      </c>
      <c r="J266" s="2" t="n">
        <v>253</v>
      </c>
      <c r="K266" s="3" t="inlineStr">
        <is>
          <t>Semana 4</t>
        </is>
      </c>
      <c r="L266" s="3" t="inlineStr">
        <is>
          <t>Normal</t>
        </is>
      </c>
      <c r="M266" s="3" t="inlineStr">
        <is>
          <t>chave 265</t>
        </is>
      </c>
    </row>
    <row r="267">
      <c r="A267" s="2" t="n">
        <v>266</v>
      </c>
      <c r="B267" s="3" t="inlineStr">
        <is>
          <t xml:space="preserve">SANTO ANTONIO LIVRARIA E PAPELARIA LTDA </t>
        </is>
      </c>
      <c r="C267" s="3" t="inlineStr">
        <is>
          <t>NORDESTE</t>
        </is>
      </c>
      <c r="D267" s="3" t="inlineStr">
        <is>
          <t>RN</t>
        </is>
      </c>
      <c r="E267" s="3" t="inlineStr">
        <is>
          <t>Caicó</t>
        </is>
      </c>
      <c r="F267" s="3" t="inlineStr">
        <is>
          <t xml:space="preserve">CENTRO </t>
        </is>
      </c>
      <c r="G267" s="3" t="inlineStr">
        <is>
          <t>59300000</t>
        </is>
      </c>
      <c r="H267" s="3" t="inlineStr">
        <is>
          <t>Rodrigo</t>
        </is>
      </c>
      <c r="I267" s="3" t="inlineStr">
        <is>
          <t>Pontual</t>
        </is>
      </c>
      <c r="J267" s="2" t="n">
        <v>253</v>
      </c>
      <c r="K267" s="3" t="inlineStr">
        <is>
          <t>Semana 4</t>
        </is>
      </c>
      <c r="L267" s="3" t="inlineStr">
        <is>
          <t>Normal</t>
        </is>
      </c>
      <c r="M267" s="3" t="inlineStr">
        <is>
          <t>chave 266</t>
        </is>
      </c>
    </row>
    <row r="268">
      <c r="A268" s="2" t="n">
        <v>267</v>
      </c>
      <c r="B268" s="3" t="inlineStr">
        <is>
          <t xml:space="preserve">ECONOMIX ATACADO LTDA </t>
        </is>
      </c>
      <c r="C268" s="3" t="inlineStr">
        <is>
          <t>NORDESTE</t>
        </is>
      </c>
      <c r="D268" s="3" t="inlineStr">
        <is>
          <t>RN</t>
        </is>
      </c>
      <c r="E268" s="3" t="inlineStr">
        <is>
          <t>NATAL</t>
        </is>
      </c>
      <c r="F268" s="3" t="inlineStr">
        <is>
          <t xml:space="preserve">ALECRIM </t>
        </is>
      </c>
      <c r="G268" s="3" t="inlineStr">
        <is>
          <t>59031150</t>
        </is>
      </c>
      <c r="H268" s="3" t="inlineStr">
        <is>
          <t>Rodrigo</t>
        </is>
      </c>
      <c r="I268" s="3" t="inlineStr">
        <is>
          <t>Pontual</t>
        </is>
      </c>
      <c r="J268" s="2" t="n">
        <v>253</v>
      </c>
      <c r="K268" s="3" t="inlineStr">
        <is>
          <t>Semana 4</t>
        </is>
      </c>
      <c r="L268" s="3" t="inlineStr">
        <is>
          <t>Normal</t>
        </is>
      </c>
      <c r="M268" s="3" t="inlineStr">
        <is>
          <t>chave 267</t>
        </is>
      </c>
    </row>
    <row r="269">
      <c r="A269" s="2" t="n">
        <v>268</v>
      </c>
      <c r="B269" s="3" t="inlineStr">
        <is>
          <t xml:space="preserve">LIDER DISTRIBUIDORA LTDA </t>
        </is>
      </c>
      <c r="C269" s="3" t="inlineStr">
        <is>
          <t>NORDESTE</t>
        </is>
      </c>
      <c r="D269" s="3" t="inlineStr">
        <is>
          <t>RN</t>
        </is>
      </c>
      <c r="E269" s="3" t="inlineStr">
        <is>
          <t>ASSU</t>
        </is>
      </c>
      <c r="F269" s="3" t="inlineStr">
        <is>
          <t xml:space="preserve">CENTRO </t>
        </is>
      </c>
      <c r="G269" s="3" t="inlineStr">
        <is>
          <t>59650000</t>
        </is>
      </c>
      <c r="H269" s="3" t="inlineStr">
        <is>
          <t>Rodrigo</t>
        </is>
      </c>
      <c r="I269" s="3" t="inlineStr">
        <is>
          <t>Pontual</t>
        </is>
      </c>
      <c r="J269" s="2" t="n">
        <v>253</v>
      </c>
      <c r="K269" s="3" t="inlineStr">
        <is>
          <t>Semana 4</t>
        </is>
      </c>
      <c r="L269" s="3" t="inlineStr">
        <is>
          <t>Normal</t>
        </is>
      </c>
      <c r="M269" s="3" t="inlineStr">
        <is>
          <t>chave 268</t>
        </is>
      </c>
    </row>
    <row r="270">
      <c r="A270" s="2" t="n">
        <v>269</v>
      </c>
      <c r="B270" s="3" t="inlineStr">
        <is>
          <t xml:space="preserve">E H M DINIZ </t>
        </is>
      </c>
      <c r="C270" s="3" t="inlineStr">
        <is>
          <t>NORDESTE</t>
        </is>
      </c>
      <c r="D270" s="3" t="inlineStr">
        <is>
          <t>RN</t>
        </is>
      </c>
      <c r="E270" s="3" t="inlineStr">
        <is>
          <t>NATAL</t>
        </is>
      </c>
      <c r="F270" s="3" t="inlineStr">
        <is>
          <t xml:space="preserve">DIX SEPT ROSADO </t>
        </is>
      </c>
      <c r="G270" s="3" t="inlineStr">
        <is>
          <t>59054380</t>
        </is>
      </c>
      <c r="H270" s="3" t="inlineStr">
        <is>
          <t>Rodrigo</t>
        </is>
      </c>
      <c r="I270" s="3" t="inlineStr">
        <is>
          <t>Pontual</t>
        </is>
      </c>
      <c r="J270" s="2" t="n">
        <v>253</v>
      </c>
      <c r="K270" s="3" t="inlineStr">
        <is>
          <t>Semana 4</t>
        </is>
      </c>
      <c r="L270" s="3" t="inlineStr">
        <is>
          <t>Normal</t>
        </is>
      </c>
      <c r="M270" s="3" t="inlineStr">
        <is>
          <t>chave 269</t>
        </is>
      </c>
    </row>
    <row r="271">
      <c r="A271" s="2" t="n">
        <v>270</v>
      </c>
      <c r="B271" s="3" t="inlineStr">
        <is>
          <t xml:space="preserve">JOSE AILTON PAULO </t>
        </is>
      </c>
      <c r="C271" s="3" t="inlineStr">
        <is>
          <t>NORDESTE</t>
        </is>
      </c>
      <c r="D271" s="3" t="inlineStr">
        <is>
          <t>RN</t>
        </is>
      </c>
      <c r="E271" s="3" t="inlineStr">
        <is>
          <t>SANTA CRUZ</t>
        </is>
      </c>
      <c r="F271" s="3" t="inlineStr">
        <is>
          <t xml:space="preserve">CENTRO </t>
        </is>
      </c>
      <c r="G271" s="3" t="inlineStr">
        <is>
          <t>59200000</t>
        </is>
      </c>
      <c r="H271" s="3" t="inlineStr">
        <is>
          <t>Rodrigo</t>
        </is>
      </c>
      <c r="I271" s="3" t="inlineStr">
        <is>
          <t>Pontual</t>
        </is>
      </c>
      <c r="J271" s="2" t="n">
        <v>253</v>
      </c>
      <c r="K271" s="3" t="inlineStr">
        <is>
          <t>Semana 4</t>
        </is>
      </c>
      <c r="L271" s="3" t="inlineStr">
        <is>
          <t>Normal</t>
        </is>
      </c>
      <c r="M271" s="3" t="inlineStr">
        <is>
          <t>chave 270</t>
        </is>
      </c>
    </row>
    <row r="272">
      <c r="A272" s="2" t="n">
        <v>271</v>
      </c>
      <c r="B272" s="3" t="inlineStr">
        <is>
          <t xml:space="preserve">TECNOVOS IMPORTADOS LTDA </t>
        </is>
      </c>
      <c r="C272" s="3" t="inlineStr">
        <is>
          <t>NORDESTE</t>
        </is>
      </c>
      <c r="D272" s="3" t="inlineStr">
        <is>
          <t>RN</t>
        </is>
      </c>
      <c r="E272" s="3" t="inlineStr">
        <is>
          <t>NATAL</t>
        </is>
      </c>
      <c r="F272" s="3" t="inlineStr">
        <is>
          <t xml:space="preserve">ALECRIM </t>
        </is>
      </c>
      <c r="G272" s="3" t="inlineStr">
        <is>
          <t>59031200</t>
        </is>
      </c>
      <c r="H272" s="3" t="inlineStr">
        <is>
          <t>Rodrigo</t>
        </is>
      </c>
      <c r="I272" s="3" t="inlineStr">
        <is>
          <t>Pontual</t>
        </is>
      </c>
      <c r="J272" s="2" t="n">
        <v>253</v>
      </c>
      <c r="K272" s="3" t="inlineStr">
        <is>
          <t>Semana 4</t>
        </is>
      </c>
      <c r="L272" s="3" t="inlineStr">
        <is>
          <t>Normal</t>
        </is>
      </c>
      <c r="M272" s="3" t="inlineStr">
        <is>
          <t>chave 271</t>
        </is>
      </c>
    </row>
    <row r="273">
      <c r="A273" s="2" t="n">
        <v>272</v>
      </c>
      <c r="B273" s="3" t="inlineStr">
        <is>
          <t xml:space="preserve">COSTA AQUINO LIMITADA </t>
        </is>
      </c>
      <c r="C273" s="3" t="inlineStr">
        <is>
          <t>NORDESTE</t>
        </is>
      </c>
      <c r="D273" s="3" t="inlineStr">
        <is>
          <t>RN</t>
        </is>
      </c>
      <c r="E273" s="3" t="inlineStr">
        <is>
          <t>São Miguel</t>
        </is>
      </c>
      <c r="F273" s="3" t="inlineStr">
        <is>
          <t xml:space="preserve">CENTRO </t>
        </is>
      </c>
      <c r="G273" s="3" t="inlineStr">
        <is>
          <t>59920000</t>
        </is>
      </c>
      <c r="H273" s="3" t="inlineStr">
        <is>
          <t>Rodrigo</t>
        </is>
      </c>
      <c r="I273" s="3" t="inlineStr">
        <is>
          <t>Pontual</t>
        </is>
      </c>
      <c r="J273" s="2" t="n">
        <v>253</v>
      </c>
      <c r="K273" s="3" t="inlineStr">
        <is>
          <t>Semana 4</t>
        </is>
      </c>
      <c r="L273" s="3" t="inlineStr">
        <is>
          <t>Normal</t>
        </is>
      </c>
      <c r="M273" s="3" t="inlineStr">
        <is>
          <t>chave 272</t>
        </is>
      </c>
    </row>
    <row r="274">
      <c r="A274" s="2" t="n">
        <v>273</v>
      </c>
      <c r="B274" s="3" t="inlineStr">
        <is>
          <t xml:space="preserve">CAMARA CASCUDO COMERCIO DE ATACADO LTDA </t>
        </is>
      </c>
      <c r="C274" s="3" t="inlineStr">
        <is>
          <t>NORDESTE</t>
        </is>
      </c>
      <c r="D274" s="3" t="inlineStr">
        <is>
          <t>RN</t>
        </is>
      </c>
      <c r="E274" s="3" t="inlineStr">
        <is>
          <t>NATAL</t>
        </is>
      </c>
      <c r="F274" s="3" t="inlineStr">
        <is>
          <t xml:space="preserve">CIDADE ALTA </t>
        </is>
      </c>
      <c r="G274" s="3" t="inlineStr">
        <is>
          <t>59025060</t>
        </is>
      </c>
      <c r="H274" s="3" t="inlineStr">
        <is>
          <t>Rodrigo</t>
        </is>
      </c>
      <c r="I274" s="3" t="inlineStr">
        <is>
          <t>Pontual</t>
        </is>
      </c>
      <c r="J274" s="2" t="n">
        <v>253</v>
      </c>
      <c r="K274" s="3" t="inlineStr">
        <is>
          <t>Semana 4</t>
        </is>
      </c>
      <c r="L274" s="3" t="inlineStr">
        <is>
          <t>Normal</t>
        </is>
      </c>
      <c r="M274" s="3" t="inlineStr">
        <is>
          <t>chave 273</t>
        </is>
      </c>
    </row>
    <row r="275">
      <c r="A275" s="2" t="n">
        <v>274</v>
      </c>
      <c r="B275" s="3" t="inlineStr">
        <is>
          <t xml:space="preserve">MARIO SERGIO ALVES DE OLIVEIRA LTDA </t>
        </is>
      </c>
      <c r="C275" s="3" t="inlineStr">
        <is>
          <t>NORDESTE</t>
        </is>
      </c>
      <c r="D275" s="3" t="inlineStr">
        <is>
          <t>RN</t>
        </is>
      </c>
      <c r="E275" s="3" t="inlineStr">
        <is>
          <t>Mossoró</t>
        </is>
      </c>
      <c r="F275" s="3" t="inlineStr">
        <is>
          <t xml:space="preserve">PAREDOES </t>
        </is>
      </c>
      <c r="G275" s="3" t="inlineStr">
        <is>
          <t>59618170</t>
        </is>
      </c>
      <c r="H275" s="3" t="inlineStr">
        <is>
          <t>Rodrigo</t>
        </is>
      </c>
      <c r="I275" s="3" t="inlineStr">
        <is>
          <t>Pontual</t>
        </is>
      </c>
      <c r="J275" s="2" t="n">
        <v>253</v>
      </c>
      <c r="K275" s="3" t="inlineStr">
        <is>
          <t>Semana 4</t>
        </is>
      </c>
      <c r="L275" s="3" t="inlineStr">
        <is>
          <t>Normal</t>
        </is>
      </c>
      <c r="M275" s="3" t="inlineStr">
        <is>
          <t>chave 274</t>
        </is>
      </c>
    </row>
    <row r="276">
      <c r="A276" s="2" t="n">
        <v>275</v>
      </c>
      <c r="B276" s="3" t="inlineStr">
        <is>
          <t xml:space="preserve">D. M. PEREIRA - ARMARINHO </t>
        </is>
      </c>
      <c r="C276" s="3" t="inlineStr">
        <is>
          <t>NORDESTE</t>
        </is>
      </c>
      <c r="D276" s="3" t="inlineStr">
        <is>
          <t>RN</t>
        </is>
      </c>
      <c r="E276" s="3" t="inlineStr">
        <is>
          <t>PARNAMIRIM</t>
        </is>
      </c>
      <c r="F276" s="3" t="inlineStr">
        <is>
          <t xml:space="preserve">SANTOS REIS </t>
        </is>
      </c>
      <c r="G276" s="3" t="inlineStr">
        <is>
          <t>59141100</t>
        </is>
      </c>
      <c r="H276" s="3" t="inlineStr">
        <is>
          <t>Rodrigo</t>
        </is>
      </c>
      <c r="I276" s="3" t="inlineStr">
        <is>
          <t>Pontual</t>
        </is>
      </c>
      <c r="J276" s="2" t="n">
        <v>253</v>
      </c>
      <c r="K276" s="3" t="inlineStr">
        <is>
          <t>Semana 4</t>
        </is>
      </c>
      <c r="L276" s="3" t="inlineStr">
        <is>
          <t>Normal</t>
        </is>
      </c>
      <c r="M276" s="3" t="inlineStr">
        <is>
          <t>chave 275</t>
        </is>
      </c>
    </row>
    <row r="277">
      <c r="A277" s="2" t="n">
        <v>276</v>
      </c>
      <c r="B277" s="3" t="inlineStr">
        <is>
          <t xml:space="preserve">ARTE &amp; SABER COMERCIAL LTDA </t>
        </is>
      </c>
      <c r="C277" s="3" t="inlineStr">
        <is>
          <t>NORDESTE</t>
        </is>
      </c>
      <c r="D277" s="3" t="inlineStr">
        <is>
          <t>RN</t>
        </is>
      </c>
      <c r="E277" s="3" t="inlineStr">
        <is>
          <t>Mossoró</t>
        </is>
      </c>
      <c r="F277" s="3" t="inlineStr">
        <is>
          <t xml:space="preserve">ABOLICAO </t>
        </is>
      </c>
      <c r="G277" s="3" t="inlineStr">
        <is>
          <t>59612300</t>
        </is>
      </c>
      <c r="H277" s="3" t="inlineStr">
        <is>
          <t>Rodrigo</t>
        </is>
      </c>
      <c r="I277" s="3" t="inlineStr">
        <is>
          <t>Pontual</t>
        </is>
      </c>
      <c r="J277" s="2" t="n">
        <v>253</v>
      </c>
      <c r="K277" s="3" t="inlineStr">
        <is>
          <t>Semana 4</t>
        </is>
      </c>
      <c r="L277" s="3" t="inlineStr">
        <is>
          <t>Normal</t>
        </is>
      </c>
      <c r="M277" s="3" t="inlineStr">
        <is>
          <t>chave 276</t>
        </is>
      </c>
    </row>
    <row r="278">
      <c r="A278" s="2" t="n">
        <v>277</v>
      </c>
      <c r="B278" s="3" t="inlineStr">
        <is>
          <t xml:space="preserve">AMORIM &amp; CIA LTDA </t>
        </is>
      </c>
      <c r="C278" s="3" t="inlineStr">
        <is>
          <t>NORDESTE</t>
        </is>
      </c>
      <c r="D278" s="3" t="inlineStr">
        <is>
          <t>RN</t>
        </is>
      </c>
      <c r="E278" s="3" t="inlineStr">
        <is>
          <t>SAO JOSE DE MIPIBU</t>
        </is>
      </c>
      <c r="F278" s="3" t="inlineStr">
        <is>
          <t xml:space="preserve">ZONA DE EXPANSAO </t>
        </is>
      </c>
      <c r="G278" s="3" t="inlineStr">
        <is>
          <t>59162000</t>
        </is>
      </c>
      <c r="H278" s="3" t="inlineStr">
        <is>
          <t>Rodrigo</t>
        </is>
      </c>
      <c r="I278" s="3" t="inlineStr">
        <is>
          <t>Pontual</t>
        </is>
      </c>
      <c r="J278" s="2" t="n">
        <v>253</v>
      </c>
      <c r="K278" s="3" t="inlineStr">
        <is>
          <t>Semana 4</t>
        </is>
      </c>
      <c r="L278" s="3" t="inlineStr">
        <is>
          <t>Normal</t>
        </is>
      </c>
      <c r="M278" s="3" t="inlineStr">
        <is>
          <t>chave 277</t>
        </is>
      </c>
    </row>
    <row r="279">
      <c r="A279" s="2" t="n">
        <v>278</v>
      </c>
      <c r="B279" s="3" t="inlineStr">
        <is>
          <t xml:space="preserve">JOSE ELIOMAR HOLANDA DIAS </t>
        </is>
      </c>
      <c r="C279" s="3" t="inlineStr">
        <is>
          <t>NORDESTE</t>
        </is>
      </c>
      <c r="D279" s="3" t="inlineStr">
        <is>
          <t>RN</t>
        </is>
      </c>
      <c r="E279" s="3" t="inlineStr">
        <is>
          <t>PAU DOS FERROS</t>
        </is>
      </c>
      <c r="F279" s="3" t="inlineStr">
        <is>
          <t xml:space="preserve">CENTRO </t>
        </is>
      </c>
      <c r="G279" s="3" t="inlineStr">
        <is>
          <t>59900000</t>
        </is>
      </c>
      <c r="H279" s="3" t="inlineStr">
        <is>
          <t>Rodrigo</t>
        </is>
      </c>
      <c r="I279" s="3" t="inlineStr">
        <is>
          <t>Pontual</t>
        </is>
      </c>
      <c r="J279" s="2" t="n">
        <v>253</v>
      </c>
      <c r="K279" s="3" t="inlineStr">
        <is>
          <t>Semana 4</t>
        </is>
      </c>
      <c r="L279" s="3" t="inlineStr">
        <is>
          <t>Normal</t>
        </is>
      </c>
      <c r="M279" s="3" t="inlineStr">
        <is>
          <t>chave 278</t>
        </is>
      </c>
    </row>
    <row r="280">
      <c r="A280" s="2" t="n">
        <v>279</v>
      </c>
      <c r="B280" s="3" t="inlineStr">
        <is>
          <t xml:space="preserve">DADA IMPORTADORA E VARIEDADES LTDA </t>
        </is>
      </c>
      <c r="C280" s="3" t="inlineStr">
        <is>
          <t>NORDESTE</t>
        </is>
      </c>
      <c r="D280" s="3" t="inlineStr">
        <is>
          <t>RN</t>
        </is>
      </c>
      <c r="E280" s="3" t="inlineStr">
        <is>
          <t>PAU DOS FERROS</t>
        </is>
      </c>
      <c r="F280" s="3" t="inlineStr">
        <is>
          <t xml:space="preserve">CENTRO </t>
        </is>
      </c>
      <c r="G280" s="3" t="inlineStr">
        <is>
          <t>59900000</t>
        </is>
      </c>
      <c r="H280" s="3" t="inlineStr">
        <is>
          <t>Rodrigo</t>
        </is>
      </c>
      <c r="I280" s="3" t="inlineStr">
        <is>
          <t>Pontual</t>
        </is>
      </c>
      <c r="J280" s="2" t="n">
        <v>253</v>
      </c>
      <c r="K280" s="3" t="inlineStr">
        <is>
          <t>Semana 4</t>
        </is>
      </c>
      <c r="L280" s="3" t="inlineStr">
        <is>
          <t>Normal</t>
        </is>
      </c>
      <c r="M280" s="3" t="inlineStr">
        <is>
          <t>chave 279</t>
        </is>
      </c>
    </row>
    <row r="281">
      <c r="A281" s="2" t="n">
        <v>280</v>
      </c>
      <c r="B281" s="3" t="inlineStr">
        <is>
          <t xml:space="preserve">PAPELARIA CRIATIVA LTDA </t>
        </is>
      </c>
      <c r="C281" s="3" t="inlineStr">
        <is>
          <t>NORDESTE</t>
        </is>
      </c>
      <c r="D281" s="3" t="inlineStr">
        <is>
          <t>RN</t>
        </is>
      </c>
      <c r="E281" s="3" t="inlineStr">
        <is>
          <t>CANGUARETAMA</t>
        </is>
      </c>
      <c r="F281" s="3" t="inlineStr">
        <is>
          <t xml:space="preserve">CENTRO </t>
        </is>
      </c>
      <c r="G281" s="3" t="inlineStr">
        <is>
          <t>59190000</t>
        </is>
      </c>
      <c r="H281" s="3" t="inlineStr">
        <is>
          <t>Rodrigo</t>
        </is>
      </c>
      <c r="I281" s="3" t="inlineStr">
        <is>
          <t>Pontual</t>
        </is>
      </c>
      <c r="J281" s="2" t="n">
        <v>253</v>
      </c>
      <c r="K281" s="3" t="inlineStr">
        <is>
          <t>Semana 4</t>
        </is>
      </c>
      <c r="L281" s="3" t="inlineStr">
        <is>
          <t>Normal</t>
        </is>
      </c>
      <c r="M281" s="3" t="inlineStr">
        <is>
          <t>chave 280</t>
        </is>
      </c>
    </row>
    <row r="282">
      <c r="A282" s="2" t="n">
        <v>281</v>
      </c>
      <c r="B282" s="3" t="inlineStr">
        <is>
          <t xml:space="preserve">ATACADAO DE VARIEDADES HL LTDA </t>
        </is>
      </c>
      <c r="C282" s="3" t="inlineStr">
        <is>
          <t>NORDESTE</t>
        </is>
      </c>
      <c r="D282" s="3" t="inlineStr">
        <is>
          <t>SE</t>
        </is>
      </c>
      <c r="E282" s="3" t="inlineStr">
        <is>
          <t>ARACAJU</t>
        </is>
      </c>
      <c r="F282" s="3" t="inlineStr">
        <is>
          <t xml:space="preserve">CENTRO </t>
        </is>
      </c>
      <c r="G282" s="3" t="inlineStr">
        <is>
          <t>49010010</t>
        </is>
      </c>
      <c r="H282" s="3" t="inlineStr">
        <is>
          <t>Rodrigo</t>
        </is>
      </c>
      <c r="I282" s="3" t="inlineStr">
        <is>
          <t>Pontual</t>
        </is>
      </c>
      <c r="J282" s="2" t="n">
        <v>400</v>
      </c>
      <c r="K282" s="3" t="inlineStr">
        <is>
          <t>Semana 4</t>
        </is>
      </c>
      <c r="L282" s="3" t="inlineStr">
        <is>
          <t>Normal</t>
        </is>
      </c>
      <c r="M282" s="3" t="inlineStr">
        <is>
          <t>chave 281</t>
        </is>
      </c>
    </row>
    <row r="283">
      <c r="A283" s="2" t="n">
        <v>282</v>
      </c>
      <c r="B283" s="3" t="inlineStr">
        <is>
          <t xml:space="preserve">A V S SOUTO - PAPELARIA E LIVRARIA </t>
        </is>
      </c>
      <c r="C283" s="3" t="inlineStr">
        <is>
          <t>NORDESTE</t>
        </is>
      </c>
      <c r="D283" s="3" t="inlineStr">
        <is>
          <t>SE</t>
        </is>
      </c>
      <c r="E283" s="3" t="inlineStr">
        <is>
          <t>ARACAJÚ</t>
        </is>
      </c>
      <c r="F283" s="3" t="inlineStr">
        <is>
          <t xml:space="preserve">CENTRO </t>
        </is>
      </c>
      <c r="G283" s="3" t="inlineStr">
        <is>
          <t>49010040</t>
        </is>
      </c>
      <c r="H283" s="3" t="inlineStr">
        <is>
          <t>Rodrigo</t>
        </is>
      </c>
      <c r="I283" s="3" t="inlineStr">
        <is>
          <t>Pontual</t>
        </is>
      </c>
      <c r="J283" s="2" t="n">
        <v>400</v>
      </c>
      <c r="K283" s="3" t="inlineStr">
        <is>
          <t>Semana 4</t>
        </is>
      </c>
      <c r="L283" s="3" t="inlineStr">
        <is>
          <t>Normal</t>
        </is>
      </c>
      <c r="M283" s="3" t="inlineStr">
        <is>
          <t>chave 282</t>
        </is>
      </c>
    </row>
    <row r="284">
      <c r="A284" s="2" t="n">
        <v>283</v>
      </c>
      <c r="B284" s="3" t="inlineStr">
        <is>
          <t xml:space="preserve">SAMIRES TRINDADE DE ALMEIDA </t>
        </is>
      </c>
      <c r="C284" s="3" t="inlineStr">
        <is>
          <t>NORDESTE</t>
        </is>
      </c>
      <c r="D284" s="3" t="inlineStr">
        <is>
          <t>SE</t>
        </is>
      </c>
      <c r="E284" s="3" t="inlineStr">
        <is>
          <t>ITABAIANINHA</t>
        </is>
      </c>
      <c r="F284" s="3" t="inlineStr">
        <is>
          <t xml:space="preserve">CENTRO </t>
        </is>
      </c>
      <c r="G284" s="3" t="inlineStr">
        <is>
          <t>49290000</t>
        </is>
      </c>
      <c r="H284" s="3" t="inlineStr">
        <is>
          <t>Rodrigo</t>
        </is>
      </c>
      <c r="I284" s="3" t="inlineStr">
        <is>
          <t>Pontual</t>
        </is>
      </c>
      <c r="J284" s="2" t="n">
        <v>400</v>
      </c>
      <c r="K284" s="3" t="inlineStr">
        <is>
          <t>Semana 4</t>
        </is>
      </c>
      <c r="L284" s="3" t="inlineStr">
        <is>
          <t>Normal</t>
        </is>
      </c>
      <c r="M284" s="3" t="inlineStr">
        <is>
          <t>chave 283</t>
        </is>
      </c>
    </row>
    <row r="285">
      <c r="A285" s="2" t="n">
        <v>284</v>
      </c>
      <c r="B285" s="3" t="inlineStr">
        <is>
          <t xml:space="preserve">ITA MULTIMARCAS COMERCIO &amp; SERVICOS LTDA </t>
        </is>
      </c>
      <c r="C285" s="3" t="inlineStr">
        <is>
          <t>NORDESTE</t>
        </is>
      </c>
      <c r="D285" s="3" t="inlineStr">
        <is>
          <t>SE</t>
        </is>
      </c>
      <c r="E285" s="3" t="inlineStr">
        <is>
          <t>Aracajú</t>
        </is>
      </c>
      <c r="F285" s="3" t="inlineStr">
        <is>
          <t xml:space="preserve">INDUSTRIAL </t>
        </is>
      </c>
      <c r="G285" s="3" t="inlineStr">
        <is>
          <t>49065450</t>
        </is>
      </c>
      <c r="H285" s="3" t="inlineStr">
        <is>
          <t>Rodrigo</t>
        </is>
      </c>
      <c r="I285" s="3" t="inlineStr">
        <is>
          <t>Pontual</t>
        </is>
      </c>
      <c r="J285" s="2" t="n">
        <v>400</v>
      </c>
      <c r="K285" s="3" t="inlineStr">
        <is>
          <t>Semana 4</t>
        </is>
      </c>
      <c r="L285" s="3" t="inlineStr">
        <is>
          <t>Normal</t>
        </is>
      </c>
      <c r="M285" s="3" t="inlineStr">
        <is>
          <t>chave 284</t>
        </is>
      </c>
    </row>
    <row r="286">
      <c r="A286" s="2" t="n">
        <v>285</v>
      </c>
      <c r="B286" s="3" t="inlineStr">
        <is>
          <t xml:space="preserve">R &amp; F MAGAZINE LTDA </t>
        </is>
      </c>
      <c r="C286" s="3" t="inlineStr">
        <is>
          <t>NORDESTE</t>
        </is>
      </c>
      <c r="D286" s="3" t="inlineStr">
        <is>
          <t>SE</t>
        </is>
      </c>
      <c r="E286" s="3" t="inlineStr">
        <is>
          <t>Estância</t>
        </is>
      </c>
      <c r="F286" s="3" t="inlineStr">
        <is>
          <t xml:space="preserve">CENTRO </t>
        </is>
      </c>
      <c r="G286" s="3" t="inlineStr">
        <is>
          <t>49200000</t>
        </is>
      </c>
      <c r="H286" s="3" t="inlineStr">
        <is>
          <t>Rodrigo</t>
        </is>
      </c>
      <c r="I286" s="3" t="inlineStr">
        <is>
          <t>Pontual</t>
        </is>
      </c>
      <c r="J286" s="2" t="n">
        <v>400</v>
      </c>
      <c r="K286" s="3" t="inlineStr">
        <is>
          <t>Semana 4</t>
        </is>
      </c>
      <c r="L286" s="3" t="inlineStr">
        <is>
          <t>Normal</t>
        </is>
      </c>
      <c r="M286" s="3" t="inlineStr">
        <is>
          <t>chave 285</t>
        </is>
      </c>
    </row>
    <row r="287">
      <c r="A287" s="2" t="n">
        <v>286</v>
      </c>
      <c r="B287" s="3" t="inlineStr">
        <is>
          <t xml:space="preserve">CARDOSO &amp; CIA LTDA </t>
        </is>
      </c>
      <c r="C287" s="3" t="inlineStr">
        <is>
          <t>NORDESTE</t>
        </is>
      </c>
      <c r="D287" s="3" t="inlineStr">
        <is>
          <t>SE</t>
        </is>
      </c>
      <c r="E287" s="3" t="inlineStr">
        <is>
          <t>ARACAJÚ</t>
        </is>
      </c>
      <c r="F287" s="3" t="inlineStr">
        <is>
          <t xml:space="preserve">CENTRO </t>
        </is>
      </c>
      <c r="G287" s="3" t="inlineStr">
        <is>
          <t>49010010</t>
        </is>
      </c>
      <c r="H287" s="3" t="inlineStr">
        <is>
          <t>Rodrigo</t>
        </is>
      </c>
      <c r="I287" s="3" t="inlineStr">
        <is>
          <t>Pontual</t>
        </is>
      </c>
      <c r="J287" s="2" t="n">
        <v>400</v>
      </c>
      <c r="K287" s="3" t="inlineStr">
        <is>
          <t>Semana 4</t>
        </is>
      </c>
      <c r="L287" s="3" t="inlineStr">
        <is>
          <t>Normal</t>
        </is>
      </c>
      <c r="M287" s="3" t="inlineStr">
        <is>
          <t>chave 286</t>
        </is>
      </c>
    </row>
    <row r="288">
      <c r="A288" s="2" t="n">
        <v>287</v>
      </c>
      <c r="B288" s="3" t="inlineStr">
        <is>
          <t xml:space="preserve">LIVRARIA DO ESTUDANTE LTDA </t>
        </is>
      </c>
      <c r="C288" s="3" t="inlineStr">
        <is>
          <t>NORDESTE</t>
        </is>
      </c>
      <c r="D288" s="3" t="inlineStr">
        <is>
          <t>SE</t>
        </is>
      </c>
      <c r="E288" s="3" t="inlineStr">
        <is>
          <t>LAGARTO</t>
        </is>
      </c>
      <c r="F288" s="3" t="inlineStr">
        <is>
          <t xml:space="preserve">CENTRO </t>
        </is>
      </c>
      <c r="G288" s="3" t="inlineStr">
        <is>
          <t>49400000</t>
        </is>
      </c>
      <c r="H288" s="3" t="inlineStr">
        <is>
          <t>Rodrigo</t>
        </is>
      </c>
      <c r="I288" s="3" t="inlineStr">
        <is>
          <t>Pontual</t>
        </is>
      </c>
      <c r="J288" s="2" t="n">
        <v>400</v>
      </c>
      <c r="K288" s="3" t="inlineStr">
        <is>
          <t>Semana 4</t>
        </is>
      </c>
      <c r="L288" s="3" t="inlineStr">
        <is>
          <t>Normal</t>
        </is>
      </c>
      <c r="M288" s="3" t="inlineStr">
        <is>
          <t>chave 287</t>
        </is>
      </c>
    </row>
    <row r="289">
      <c r="A289" s="2" t="n">
        <v>288</v>
      </c>
      <c r="B289" s="3" t="inlineStr">
        <is>
          <t xml:space="preserve">DISTRIBUIDORA GLOBO LTDA </t>
        </is>
      </c>
      <c r="C289" s="3" t="inlineStr">
        <is>
          <t>NORDESTE</t>
        </is>
      </c>
      <c r="D289" s="3" t="inlineStr">
        <is>
          <t>SE</t>
        </is>
      </c>
      <c r="E289" s="3" t="inlineStr">
        <is>
          <t>ARACAJÚ</t>
        </is>
      </c>
      <c r="F289" s="3" t="inlineStr">
        <is>
          <t xml:space="preserve">CENTRO </t>
        </is>
      </c>
      <c r="G289" s="3" t="inlineStr">
        <is>
          <t>49010110</t>
        </is>
      </c>
      <c r="H289" s="3" t="inlineStr">
        <is>
          <t>Rodrigo</t>
        </is>
      </c>
      <c r="I289" s="3" t="inlineStr">
        <is>
          <t>Pontual</t>
        </is>
      </c>
      <c r="J289" s="2" t="n">
        <v>400</v>
      </c>
      <c r="K289" s="3" t="inlineStr">
        <is>
          <t>Semana 4</t>
        </is>
      </c>
      <c r="L289" s="3" t="inlineStr">
        <is>
          <t>Normal</t>
        </is>
      </c>
      <c r="M289" s="3" t="inlineStr">
        <is>
          <t>chave 288</t>
        </is>
      </c>
    </row>
    <row r="290">
      <c r="A290" s="2" t="n">
        <v>289</v>
      </c>
      <c r="B290" s="3" t="inlineStr">
        <is>
          <t xml:space="preserve">I Z DO NASCIMENTO MATERIAIS ESCOLARES LTDA </t>
        </is>
      </c>
      <c r="C290" s="3" t="inlineStr">
        <is>
          <t>NORTE</t>
        </is>
      </c>
      <c r="D290" s="3" t="inlineStr">
        <is>
          <t>AC</t>
        </is>
      </c>
      <c r="E290" s="3" t="inlineStr">
        <is>
          <t>RIO BRANCO</t>
        </is>
      </c>
      <c r="F290" s="3" t="inlineStr">
        <is>
          <t xml:space="preserve">TRIANGULO VELHO </t>
        </is>
      </c>
      <c r="G290" s="3" t="inlineStr">
        <is>
          <t>69906216</t>
        </is>
      </c>
      <c r="H290" s="3" t="inlineStr">
        <is>
          <t>Rodrigo</t>
        </is>
      </c>
      <c r="I290" s="3" t="inlineStr">
        <is>
          <t>Pontual</t>
        </is>
      </c>
      <c r="J290" s="2" t="n">
        <v>3619</v>
      </c>
      <c r="K290" s="3" t="inlineStr">
        <is>
          <t>Semana 1</t>
        </is>
      </c>
      <c r="L290" s="3" t="inlineStr">
        <is>
          <t>Normal</t>
        </is>
      </c>
      <c r="M290" s="3" t="inlineStr">
        <is>
          <t>chave 289</t>
        </is>
      </c>
    </row>
    <row r="291">
      <c r="A291" s="2" t="n">
        <v>290</v>
      </c>
      <c r="B291" s="3" t="inlineStr">
        <is>
          <t xml:space="preserve">J S CORDEIRO LTDA </t>
        </is>
      </c>
      <c r="C291" s="3" t="inlineStr">
        <is>
          <t>NORTE</t>
        </is>
      </c>
      <c r="D291" s="3" t="inlineStr">
        <is>
          <t>AC</t>
        </is>
      </c>
      <c r="E291" s="3" t="inlineStr">
        <is>
          <t>RIO BRANCO</t>
        </is>
      </c>
      <c r="F291" s="3" t="inlineStr">
        <is>
          <t xml:space="preserve">ESTACAO EXPERIMENTAL </t>
        </is>
      </c>
      <c r="G291" s="3" t="inlineStr">
        <is>
          <t>69918172</t>
        </is>
      </c>
      <c r="H291" s="3" t="inlineStr">
        <is>
          <t>Rodrigo</t>
        </is>
      </c>
      <c r="I291" s="3" t="inlineStr">
        <is>
          <t>Pontual</t>
        </is>
      </c>
      <c r="J291" s="2" t="n">
        <v>3619</v>
      </c>
      <c r="K291" s="3" t="inlineStr">
        <is>
          <t>Semana 1</t>
        </is>
      </c>
      <c r="L291" s="3" t="inlineStr">
        <is>
          <t>Normal</t>
        </is>
      </c>
      <c r="M291" s="3" t="inlineStr">
        <is>
          <t>chave 290</t>
        </is>
      </c>
    </row>
    <row r="292">
      <c r="A292" s="2" t="n">
        <v>291</v>
      </c>
      <c r="B292" s="3" t="inlineStr">
        <is>
          <t xml:space="preserve">E N LIMA VERDE LTDA </t>
        </is>
      </c>
      <c r="C292" s="3" t="inlineStr">
        <is>
          <t>NORTE</t>
        </is>
      </c>
      <c r="D292" s="3" t="inlineStr">
        <is>
          <t>AC</t>
        </is>
      </c>
      <c r="E292" s="3" t="inlineStr">
        <is>
          <t>CRUZEIRO DO SUL</t>
        </is>
      </c>
      <c r="F292" s="3" t="inlineStr">
        <is>
          <t xml:space="preserve">CENTRO </t>
        </is>
      </c>
      <c r="G292" s="3" t="inlineStr">
        <is>
          <t>69980000</t>
        </is>
      </c>
      <c r="H292" s="3" t="inlineStr">
        <is>
          <t>Rodrigo</t>
        </is>
      </c>
      <c r="I292" s="3" t="inlineStr">
        <is>
          <t>Pontual</t>
        </is>
      </c>
      <c r="J292" s="2" t="n">
        <v>3619</v>
      </c>
      <c r="K292" s="3" t="inlineStr">
        <is>
          <t>Semana 1</t>
        </is>
      </c>
      <c r="L292" s="3" t="inlineStr">
        <is>
          <t>Normal</t>
        </is>
      </c>
      <c r="M292" s="3" t="inlineStr">
        <is>
          <t>chave 291</t>
        </is>
      </c>
    </row>
    <row r="293">
      <c r="A293" s="2" t="n">
        <v>292</v>
      </c>
      <c r="B293" s="3" t="inlineStr">
        <is>
          <t xml:space="preserve">H &amp; S COMERCIO IMPORTACAO E EXPORTACAO LTDA </t>
        </is>
      </c>
      <c r="C293" s="3" t="inlineStr">
        <is>
          <t>NORTE</t>
        </is>
      </c>
      <c r="D293" s="3" t="inlineStr">
        <is>
          <t>AC</t>
        </is>
      </c>
      <c r="E293" s="3" t="inlineStr">
        <is>
          <t>RIO BRANCO</t>
        </is>
      </c>
      <c r="F293" s="3" t="inlineStr">
        <is>
          <t xml:space="preserve">CENTRO </t>
        </is>
      </c>
      <c r="G293" s="3" t="inlineStr">
        <is>
          <t>69908420</t>
        </is>
      </c>
      <c r="H293" s="3" t="inlineStr">
        <is>
          <t>Rodrigo</t>
        </is>
      </c>
      <c r="I293" s="3" t="inlineStr">
        <is>
          <t>Pontual</t>
        </is>
      </c>
      <c r="J293" s="2" t="n">
        <v>3619</v>
      </c>
      <c r="K293" s="3" t="inlineStr">
        <is>
          <t>Semana 1</t>
        </is>
      </c>
      <c r="L293" s="3" t="inlineStr">
        <is>
          <t>Normal</t>
        </is>
      </c>
      <c r="M293" s="3" t="inlineStr">
        <is>
          <t>chave 292</t>
        </is>
      </c>
    </row>
    <row r="294">
      <c r="A294" s="2" t="n">
        <v>293</v>
      </c>
      <c r="B294" s="3" t="inlineStr">
        <is>
          <t xml:space="preserve">G I C CAMELI </t>
        </is>
      </c>
      <c r="C294" s="3" t="inlineStr">
        <is>
          <t>NORTE</t>
        </is>
      </c>
      <c r="D294" s="3" t="inlineStr">
        <is>
          <t>AC</t>
        </is>
      </c>
      <c r="E294" s="3" t="inlineStr">
        <is>
          <t>CRUZEIRO DO SUL</t>
        </is>
      </c>
      <c r="F294" s="3" t="inlineStr">
        <is>
          <t xml:space="preserve">CENTRO </t>
        </is>
      </c>
      <c r="G294" s="3" t="inlineStr">
        <is>
          <t>69980000</t>
        </is>
      </c>
      <c r="H294" s="3" t="inlineStr">
        <is>
          <t>Rodrigo</t>
        </is>
      </c>
      <c r="I294" s="3" t="inlineStr">
        <is>
          <t>Pontual</t>
        </is>
      </c>
      <c r="J294" s="2" t="n">
        <v>3619</v>
      </c>
      <c r="K294" s="3" t="inlineStr">
        <is>
          <t>Semana 1</t>
        </is>
      </c>
      <c r="L294" s="3" t="inlineStr">
        <is>
          <t>Normal</t>
        </is>
      </c>
      <c r="M294" s="3" t="inlineStr">
        <is>
          <t>chave 293</t>
        </is>
      </c>
    </row>
    <row r="295">
      <c r="A295" s="2" t="n">
        <v>294</v>
      </c>
      <c r="B295" s="3" t="inlineStr">
        <is>
          <t xml:space="preserve">R. S. MIRANDA LTDA </t>
        </is>
      </c>
      <c r="C295" s="3" t="inlineStr">
        <is>
          <t>NORTE</t>
        </is>
      </c>
      <c r="D295" s="3" t="inlineStr">
        <is>
          <t>AC</t>
        </is>
      </c>
      <c r="E295" s="3" t="inlineStr">
        <is>
          <t>RIO BRANCO</t>
        </is>
      </c>
      <c r="F295" s="3" t="inlineStr">
        <is>
          <t xml:space="preserve">JARDIM NAZLE </t>
        </is>
      </c>
      <c r="G295" s="3" t="inlineStr">
        <is>
          <t>69918084</t>
        </is>
      </c>
      <c r="H295" s="3" t="inlineStr">
        <is>
          <t>Rodrigo</t>
        </is>
      </c>
      <c r="I295" s="3" t="inlineStr">
        <is>
          <t>Pontual</t>
        </is>
      </c>
      <c r="J295" s="2" t="n">
        <v>3619</v>
      </c>
      <c r="K295" s="3" t="inlineStr">
        <is>
          <t>Semana 1</t>
        </is>
      </c>
      <c r="L295" s="3" t="inlineStr">
        <is>
          <t>Normal</t>
        </is>
      </c>
      <c r="M295" s="3" t="inlineStr">
        <is>
          <t>chave 294</t>
        </is>
      </c>
    </row>
    <row r="296">
      <c r="A296" s="2" t="n">
        <v>295</v>
      </c>
      <c r="B296" s="3" t="inlineStr">
        <is>
          <t xml:space="preserve">CECIL CONCORDE COMERCIO INDUSTRIA IMP E EXPORTACAO LTDA </t>
        </is>
      </c>
      <c r="C296" s="3" t="inlineStr">
        <is>
          <t>NORTE</t>
        </is>
      </c>
      <c r="D296" s="3" t="inlineStr">
        <is>
          <t>AM</t>
        </is>
      </c>
      <c r="E296" s="3" t="inlineStr">
        <is>
          <t>MANAUS</t>
        </is>
      </c>
      <c r="F296" s="3" t="inlineStr">
        <is>
          <t xml:space="preserve">CENTRO </t>
        </is>
      </c>
      <c r="G296" s="3" t="inlineStr">
        <is>
          <t>69010010</t>
        </is>
      </c>
      <c r="H296" s="3" t="inlineStr">
        <is>
          <t>Rodrigo</t>
        </is>
      </c>
      <c r="I296" s="3" t="inlineStr">
        <is>
          <t>Estratégico</t>
        </is>
      </c>
      <c r="J296" s="2" t="n">
        <v>2833</v>
      </c>
      <c r="K296" s="3" t="inlineStr">
        <is>
          <t>Semana 1</t>
        </is>
      </c>
      <c r="L296" s="3" t="inlineStr">
        <is>
          <t>Alta</t>
        </is>
      </c>
      <c r="M296" s="3" t="inlineStr">
        <is>
          <t>chave 295</t>
        </is>
      </c>
    </row>
    <row r="297">
      <c r="A297" s="2" t="n">
        <v>296</v>
      </c>
      <c r="B297" s="3" t="inlineStr">
        <is>
          <t xml:space="preserve">A A LIMA ARTIGOS DE PAPELARIA LTDA </t>
        </is>
      </c>
      <c r="C297" s="3" t="inlineStr">
        <is>
          <t>NORTE</t>
        </is>
      </c>
      <c r="D297" s="3" t="inlineStr">
        <is>
          <t>AM</t>
        </is>
      </c>
      <c r="E297" s="3" t="inlineStr">
        <is>
          <t>MANAUS</t>
        </is>
      </c>
      <c r="F297" s="3" t="inlineStr">
        <is>
          <t xml:space="preserve">CRESPO </t>
        </is>
      </c>
      <c r="G297" s="3" t="inlineStr">
        <is>
          <t>69073272</t>
        </is>
      </c>
      <c r="H297" s="3" t="inlineStr">
        <is>
          <t>Rodrigo</t>
        </is>
      </c>
      <c r="I297" s="3" t="inlineStr">
        <is>
          <t>Estratégico</t>
        </is>
      </c>
      <c r="J297" s="2" t="n">
        <v>2833</v>
      </c>
      <c r="K297" s="3" t="inlineStr">
        <is>
          <t>Semana 1</t>
        </is>
      </c>
      <c r="L297" s="3" t="inlineStr">
        <is>
          <t>Alta</t>
        </is>
      </c>
      <c r="M297" s="3" t="inlineStr">
        <is>
          <t>chave 296</t>
        </is>
      </c>
    </row>
    <row r="298">
      <c r="A298" s="2" t="n">
        <v>297</v>
      </c>
      <c r="B298" s="3" t="inlineStr">
        <is>
          <t xml:space="preserve">R P V DA AMAZONIA LTDA </t>
        </is>
      </c>
      <c r="C298" s="3" t="inlineStr">
        <is>
          <t>NORTE</t>
        </is>
      </c>
      <c r="D298" s="3" t="inlineStr">
        <is>
          <t>AM</t>
        </is>
      </c>
      <c r="E298" s="3" t="inlineStr">
        <is>
          <t>MANAUS</t>
        </is>
      </c>
      <c r="F298" s="3" t="inlineStr">
        <is>
          <t xml:space="preserve">PRACA 14 </t>
        </is>
      </c>
      <c r="G298" s="3" t="inlineStr">
        <is>
          <t>69020190</t>
        </is>
      </c>
      <c r="H298" s="3" t="inlineStr">
        <is>
          <t>Rodrigo</t>
        </is>
      </c>
      <c r="I298" s="3" t="inlineStr">
        <is>
          <t>Estratégico</t>
        </is>
      </c>
      <c r="J298" s="2" t="n">
        <v>2833</v>
      </c>
      <c r="K298" s="3" t="inlineStr">
        <is>
          <t>Semana 1</t>
        </is>
      </c>
      <c r="L298" s="3" t="inlineStr">
        <is>
          <t>Alta</t>
        </is>
      </c>
      <c r="M298" s="3" t="inlineStr">
        <is>
          <t>chave 297</t>
        </is>
      </c>
    </row>
    <row r="299">
      <c r="A299" s="2" t="n">
        <v>298</v>
      </c>
      <c r="B299" s="3" t="inlineStr">
        <is>
          <t xml:space="preserve">JONIVAL COSTA RODRIGUES LTDA </t>
        </is>
      </c>
      <c r="C299" s="3" t="inlineStr">
        <is>
          <t>NORTE</t>
        </is>
      </c>
      <c r="D299" s="3" t="inlineStr">
        <is>
          <t>AM</t>
        </is>
      </c>
      <c r="E299" s="3" t="inlineStr">
        <is>
          <t>MANAUS</t>
        </is>
      </c>
      <c r="F299" s="3" t="inlineStr">
        <is>
          <t xml:space="preserve">CIDADE DE DEUS </t>
        </is>
      </c>
      <c r="G299" s="3" t="inlineStr">
        <is>
          <t>69099145</t>
        </is>
      </c>
      <c r="H299" s="3" t="inlineStr">
        <is>
          <t>Rodrigo</t>
        </is>
      </c>
      <c r="I299" s="3" t="inlineStr">
        <is>
          <t>Estratégico</t>
        </is>
      </c>
      <c r="J299" s="2" t="n">
        <v>2833</v>
      </c>
      <c r="K299" s="3" t="inlineStr">
        <is>
          <t>Semana 1</t>
        </is>
      </c>
      <c r="L299" s="3" t="inlineStr">
        <is>
          <t>Alta</t>
        </is>
      </c>
      <c r="M299" s="3" t="inlineStr">
        <is>
          <t>chave 298</t>
        </is>
      </c>
    </row>
    <row r="300">
      <c r="A300" s="2" t="n">
        <v>299</v>
      </c>
      <c r="B300" s="3" t="inlineStr">
        <is>
          <t xml:space="preserve">IMPORTADORA NOVA OLINDA LTDA </t>
        </is>
      </c>
      <c r="C300" s="3" t="inlineStr">
        <is>
          <t>NORTE</t>
        </is>
      </c>
      <c r="D300" s="3" t="inlineStr">
        <is>
          <t>AM</t>
        </is>
      </c>
      <c r="E300" s="3" t="inlineStr">
        <is>
          <t>MANAUS</t>
        </is>
      </c>
      <c r="F300" s="3" t="inlineStr">
        <is>
          <t xml:space="preserve">CENTRO </t>
        </is>
      </c>
      <c r="G300" s="3" t="inlineStr">
        <is>
          <t>69005090</t>
        </is>
      </c>
      <c r="H300" s="3" t="inlineStr">
        <is>
          <t>Rodrigo</t>
        </is>
      </c>
      <c r="I300" s="3" t="inlineStr">
        <is>
          <t>Estratégico</t>
        </is>
      </c>
      <c r="J300" s="2" t="n">
        <v>2833</v>
      </c>
      <c r="K300" s="3" t="inlineStr">
        <is>
          <t>Semana 1</t>
        </is>
      </c>
      <c r="L300" s="3" t="inlineStr">
        <is>
          <t>Alta</t>
        </is>
      </c>
      <c r="M300" s="3" t="inlineStr">
        <is>
          <t>chave 299</t>
        </is>
      </c>
    </row>
    <row r="301">
      <c r="A301" s="2" t="n">
        <v>300</v>
      </c>
      <c r="B301" s="3" t="inlineStr">
        <is>
          <t xml:space="preserve">ALVES LIRA LTDA </t>
        </is>
      </c>
      <c r="C301" s="3" t="inlineStr">
        <is>
          <t>NORTE</t>
        </is>
      </c>
      <c r="D301" s="3" t="inlineStr">
        <is>
          <t>AM</t>
        </is>
      </c>
      <c r="E301" s="3" t="inlineStr">
        <is>
          <t>MANAUS</t>
        </is>
      </c>
      <c r="F301" s="3" t="inlineStr">
        <is>
          <t xml:space="preserve">CENTRO </t>
        </is>
      </c>
      <c r="G301" s="3" t="inlineStr">
        <is>
          <t>69010010</t>
        </is>
      </c>
      <c r="H301" s="3" t="inlineStr">
        <is>
          <t>Rodrigo</t>
        </is>
      </c>
      <c r="I301" s="3" t="inlineStr">
        <is>
          <t>Estratégico</t>
        </is>
      </c>
      <c r="J301" s="2" t="n">
        <v>2833</v>
      </c>
      <c r="K301" s="3" t="inlineStr">
        <is>
          <t>Semana 1</t>
        </is>
      </c>
      <c r="L301" s="3" t="inlineStr">
        <is>
          <t>Alta</t>
        </is>
      </c>
      <c r="M301" s="3" t="inlineStr">
        <is>
          <t>chave 300</t>
        </is>
      </c>
    </row>
    <row r="302">
      <c r="A302" s="2" t="n">
        <v>301</v>
      </c>
      <c r="B302" s="3" t="inlineStr">
        <is>
          <t xml:space="preserve">BIG TRADING E EMPREENDIMENTOS LTDA </t>
        </is>
      </c>
      <c r="C302" s="3" t="inlineStr">
        <is>
          <t>NORTE</t>
        </is>
      </c>
      <c r="D302" s="3" t="inlineStr">
        <is>
          <t>AM</t>
        </is>
      </c>
      <c r="E302" s="3" t="inlineStr">
        <is>
          <t>MANAUS</t>
        </is>
      </c>
      <c r="F302" s="3" t="inlineStr">
        <is>
          <t xml:space="preserve">TARUMA-ACU </t>
        </is>
      </c>
      <c r="G302" s="3" t="inlineStr">
        <is>
          <t>69041010</t>
        </is>
      </c>
      <c r="H302" s="3" t="inlineStr">
        <is>
          <t>Rodrigo</t>
        </is>
      </c>
      <c r="I302" s="3" t="inlineStr">
        <is>
          <t>Estratégico</t>
        </is>
      </c>
      <c r="J302" s="2" t="n">
        <v>2833</v>
      </c>
      <c r="K302" s="3" t="inlineStr">
        <is>
          <t>Semana 1</t>
        </is>
      </c>
      <c r="L302" s="3" t="inlineStr">
        <is>
          <t>Alta</t>
        </is>
      </c>
      <c r="M302" s="3" t="inlineStr">
        <is>
          <t>chave 301</t>
        </is>
      </c>
    </row>
    <row r="303">
      <c r="A303" s="2" t="n">
        <v>302</v>
      </c>
      <c r="B303" s="3" t="inlineStr">
        <is>
          <t xml:space="preserve">REAL COMERCIO DE ARTIGOS DE ARMARINHOS LTDA </t>
        </is>
      </c>
      <c r="C303" s="3" t="inlineStr">
        <is>
          <t>NORTE</t>
        </is>
      </c>
      <c r="D303" s="3" t="inlineStr">
        <is>
          <t>AM</t>
        </is>
      </c>
      <c r="E303" s="3" t="inlineStr">
        <is>
          <t>MANAUS</t>
        </is>
      </c>
      <c r="F303" s="3" t="inlineStr">
        <is>
          <t xml:space="preserve">COLONIA TERRA NOVA </t>
        </is>
      </c>
      <c r="G303" s="3" t="inlineStr">
        <is>
          <t>69093415</t>
        </is>
      </c>
      <c r="H303" s="3" t="inlineStr">
        <is>
          <t>Rodrigo</t>
        </is>
      </c>
      <c r="I303" s="3" t="inlineStr">
        <is>
          <t>Estratégico</t>
        </is>
      </c>
      <c r="J303" s="2" t="n">
        <v>2833</v>
      </c>
      <c r="K303" s="3" t="inlineStr">
        <is>
          <t>Semana 1</t>
        </is>
      </c>
      <c r="L303" s="3" t="inlineStr">
        <is>
          <t>Alta</t>
        </is>
      </c>
      <c r="M303" s="3" t="inlineStr">
        <is>
          <t>chave 302</t>
        </is>
      </c>
    </row>
    <row r="304">
      <c r="A304" s="2" t="n">
        <v>303</v>
      </c>
      <c r="B304" s="3" t="inlineStr">
        <is>
          <t xml:space="preserve">S M COMERCIO DE VARIEDADES LTDA </t>
        </is>
      </c>
      <c r="C304" s="3" t="inlineStr">
        <is>
          <t>NORTE</t>
        </is>
      </c>
      <c r="D304" s="3" t="inlineStr">
        <is>
          <t>AM</t>
        </is>
      </c>
      <c r="E304" s="3" t="inlineStr">
        <is>
          <t>MANAUS</t>
        </is>
      </c>
      <c r="F304" s="3" t="inlineStr">
        <is>
          <t xml:space="preserve">CENTRO </t>
        </is>
      </c>
      <c r="G304" s="3" t="inlineStr">
        <is>
          <t>69005090</t>
        </is>
      </c>
      <c r="H304" s="3" t="inlineStr">
        <is>
          <t>Rodrigo</t>
        </is>
      </c>
      <c r="I304" s="3" t="inlineStr">
        <is>
          <t>Estratégico</t>
        </is>
      </c>
      <c r="J304" s="2" t="n">
        <v>2833</v>
      </c>
      <c r="K304" s="3" t="inlineStr">
        <is>
          <t>Semana 1</t>
        </is>
      </c>
      <c r="L304" s="3" t="inlineStr">
        <is>
          <t>Alta</t>
        </is>
      </c>
      <c r="M304" s="3" t="inlineStr">
        <is>
          <t>chave 303</t>
        </is>
      </c>
    </row>
    <row r="305">
      <c r="A305" s="2" t="n">
        <v>304</v>
      </c>
      <c r="B305" s="3" t="inlineStr">
        <is>
          <t xml:space="preserve">FABIO SILVA AZEVEDO </t>
        </is>
      </c>
      <c r="C305" s="3" t="inlineStr">
        <is>
          <t>NORTE</t>
        </is>
      </c>
      <c r="D305" s="3" t="inlineStr">
        <is>
          <t>AM</t>
        </is>
      </c>
      <c r="E305" s="3" t="inlineStr">
        <is>
          <t>MANAUS</t>
        </is>
      </c>
      <c r="F305" s="3" t="inlineStr">
        <is>
          <t xml:space="preserve">VILA DA PRATA </t>
        </is>
      </c>
      <c r="G305" s="3" t="inlineStr">
        <is>
          <t>69030610</t>
        </is>
      </c>
      <c r="H305" s="3" t="inlineStr">
        <is>
          <t>Rodrigo</t>
        </is>
      </c>
      <c r="I305" s="3" t="inlineStr">
        <is>
          <t>Estratégico</t>
        </is>
      </c>
      <c r="J305" s="2" t="n">
        <v>2833</v>
      </c>
      <c r="K305" s="3" t="inlineStr">
        <is>
          <t>Semana 1</t>
        </is>
      </c>
      <c r="L305" s="3" t="inlineStr">
        <is>
          <t>Alta</t>
        </is>
      </c>
      <c r="M305" s="3" t="inlineStr">
        <is>
          <t>chave 304</t>
        </is>
      </c>
    </row>
    <row r="306">
      <c r="A306" s="2" t="n">
        <v>305</v>
      </c>
      <c r="B306" s="3" t="inlineStr">
        <is>
          <t xml:space="preserve">METRO IMP. DE ARTIGOS ELETRONICOS LTDA </t>
        </is>
      </c>
      <c r="C306" s="3" t="inlineStr">
        <is>
          <t>NORTE</t>
        </is>
      </c>
      <c r="D306" s="3" t="inlineStr">
        <is>
          <t>AM</t>
        </is>
      </c>
      <c r="E306" s="3" t="inlineStr">
        <is>
          <t>MANAUS</t>
        </is>
      </c>
      <c r="F306" s="3" t="inlineStr">
        <is>
          <t xml:space="preserve">PRACA 14 DE JANEIRO </t>
        </is>
      </c>
      <c r="G306" s="3" t="inlineStr">
        <is>
          <t>69020040</t>
        </is>
      </c>
      <c r="H306" s="3" t="inlineStr">
        <is>
          <t>Rodrigo</t>
        </is>
      </c>
      <c r="I306" s="3" t="inlineStr">
        <is>
          <t>Estratégico</t>
        </is>
      </c>
      <c r="J306" s="2" t="n">
        <v>2833</v>
      </c>
      <c r="K306" s="3" t="inlineStr">
        <is>
          <t>Semana 1</t>
        </is>
      </c>
      <c r="L306" s="3" t="inlineStr">
        <is>
          <t>Alta</t>
        </is>
      </c>
      <c r="M306" s="3" t="inlineStr">
        <is>
          <t>chave 305</t>
        </is>
      </c>
    </row>
    <row r="307">
      <c r="A307" s="2" t="n">
        <v>306</v>
      </c>
      <c r="B307" s="3" t="inlineStr">
        <is>
          <t xml:space="preserve">ILBERTO AFONSO HENTGES </t>
        </is>
      </c>
      <c r="C307" s="3" t="inlineStr">
        <is>
          <t>NORTE</t>
        </is>
      </c>
      <c r="D307" s="3" t="inlineStr">
        <is>
          <t>AM</t>
        </is>
      </c>
      <c r="E307" s="3" t="inlineStr">
        <is>
          <t>Humaitá</t>
        </is>
      </c>
      <c r="F307" s="3" t="inlineStr">
        <is>
          <t xml:space="preserve">SAO PEDRO </t>
        </is>
      </c>
      <c r="G307" s="3" t="inlineStr">
        <is>
          <t>69800000</t>
        </is>
      </c>
      <c r="H307" s="3" t="inlineStr">
        <is>
          <t>Rodrigo</t>
        </is>
      </c>
      <c r="I307" s="3" t="inlineStr">
        <is>
          <t>Pontual</t>
        </is>
      </c>
      <c r="J307" s="2" t="n">
        <v>2833</v>
      </c>
      <c r="K307" s="3" t="inlineStr">
        <is>
          <t>Semana 1</t>
        </is>
      </c>
      <c r="L307" s="3" t="inlineStr">
        <is>
          <t>Normal</t>
        </is>
      </c>
      <c r="M307" s="3" t="inlineStr">
        <is>
          <t>chave 306</t>
        </is>
      </c>
    </row>
    <row r="308">
      <c r="A308" s="2" t="n">
        <v>307</v>
      </c>
      <c r="B308" s="3" t="inlineStr">
        <is>
          <t xml:space="preserve">M C COMERCIO E REPRESENTACOES LTDA </t>
        </is>
      </c>
      <c r="C308" s="3" t="inlineStr">
        <is>
          <t>NORTE</t>
        </is>
      </c>
      <c r="D308" s="3" t="inlineStr">
        <is>
          <t>AM</t>
        </is>
      </c>
      <c r="E308" s="3" t="inlineStr">
        <is>
          <t>MANAUS</t>
        </is>
      </c>
      <c r="F308" s="3" t="inlineStr">
        <is>
          <t xml:space="preserve">JAPIM </t>
        </is>
      </c>
      <c r="G308" s="3" t="inlineStr">
        <is>
          <t>69076800</t>
        </is>
      </c>
      <c r="H308" s="3" t="inlineStr">
        <is>
          <t>Rodrigo</t>
        </is>
      </c>
      <c r="I308" s="3" t="inlineStr">
        <is>
          <t>Estratégico</t>
        </is>
      </c>
      <c r="J308" s="2" t="n">
        <v>2833</v>
      </c>
      <c r="K308" s="3" t="inlineStr">
        <is>
          <t>Semana 1</t>
        </is>
      </c>
      <c r="L308" s="3" t="inlineStr">
        <is>
          <t>Alta</t>
        </is>
      </c>
      <c r="M308" s="3" t="inlineStr">
        <is>
          <t>chave 307</t>
        </is>
      </c>
    </row>
    <row r="309">
      <c r="A309" s="2" t="n">
        <v>308</v>
      </c>
      <c r="B309" s="3" t="inlineStr">
        <is>
          <t xml:space="preserve">J L A HUANCA </t>
        </is>
      </c>
      <c r="C309" s="3" t="inlineStr">
        <is>
          <t>NORTE</t>
        </is>
      </c>
      <c r="D309" s="3" t="inlineStr">
        <is>
          <t>AM</t>
        </is>
      </c>
      <c r="E309" s="3" t="inlineStr">
        <is>
          <t>MANAUS</t>
        </is>
      </c>
      <c r="F309" s="3" t="inlineStr">
        <is>
          <t xml:space="preserve">CENTRO </t>
        </is>
      </c>
      <c r="G309" s="3" t="inlineStr">
        <is>
          <t>69005190</t>
        </is>
      </c>
      <c r="H309" s="3" t="inlineStr">
        <is>
          <t>Rodrigo</t>
        </is>
      </c>
      <c r="I309" s="3" t="inlineStr">
        <is>
          <t>Estratégico</t>
        </is>
      </c>
      <c r="J309" s="2" t="n">
        <v>2833</v>
      </c>
      <c r="K309" s="3" t="inlineStr">
        <is>
          <t>Semana 1</t>
        </is>
      </c>
      <c r="L309" s="3" t="inlineStr">
        <is>
          <t>Alta</t>
        </is>
      </c>
      <c r="M309" s="3" t="inlineStr">
        <is>
          <t>chave 308</t>
        </is>
      </c>
    </row>
    <row r="310">
      <c r="A310" s="2" t="n">
        <v>309</v>
      </c>
      <c r="B310" s="3" t="inlineStr">
        <is>
          <t xml:space="preserve">F GALVAO COMERCIO IMPORTACAO LIMITDA </t>
        </is>
      </c>
      <c r="C310" s="3" t="inlineStr">
        <is>
          <t>NORTE</t>
        </is>
      </c>
      <c r="D310" s="3" t="inlineStr">
        <is>
          <t>AM</t>
        </is>
      </c>
      <c r="E310" s="3" t="inlineStr">
        <is>
          <t>MANAUS</t>
        </is>
      </c>
      <c r="F310" s="3" t="inlineStr">
        <is>
          <t xml:space="preserve">CENTRO </t>
        </is>
      </c>
      <c r="G310" s="3" t="inlineStr">
        <is>
          <t>69005040</t>
        </is>
      </c>
      <c r="H310" s="3" t="inlineStr">
        <is>
          <t>Rodrigo</t>
        </is>
      </c>
      <c r="I310" s="3" t="inlineStr">
        <is>
          <t>Estratégico</t>
        </is>
      </c>
      <c r="J310" s="2" t="n">
        <v>2833</v>
      </c>
      <c r="K310" s="3" t="inlineStr">
        <is>
          <t>Semana 1</t>
        </is>
      </c>
      <c r="L310" s="3" t="inlineStr">
        <is>
          <t>Alta</t>
        </is>
      </c>
      <c r="M310" s="3" t="inlineStr">
        <is>
          <t>chave 309</t>
        </is>
      </c>
    </row>
    <row r="311">
      <c r="A311" s="2" t="n">
        <v>310</v>
      </c>
      <c r="B311" s="3" t="inlineStr">
        <is>
          <t xml:space="preserve">C DE F CORREIA LIMA </t>
        </is>
      </c>
      <c r="C311" s="3" t="inlineStr">
        <is>
          <t>NORTE</t>
        </is>
      </c>
      <c r="D311" s="3" t="inlineStr">
        <is>
          <t>AM</t>
        </is>
      </c>
      <c r="E311" s="3" t="inlineStr">
        <is>
          <t>MANAUS</t>
        </is>
      </c>
      <c r="F311" s="3" t="inlineStr">
        <is>
          <t xml:space="preserve">CENTRO </t>
        </is>
      </c>
      <c r="G311" s="3" t="inlineStr">
        <is>
          <t>69005090</t>
        </is>
      </c>
      <c r="H311" s="3" t="inlineStr">
        <is>
          <t>Rodrigo</t>
        </is>
      </c>
      <c r="I311" s="3" t="inlineStr">
        <is>
          <t>Estratégico</t>
        </is>
      </c>
      <c r="J311" s="2" t="n">
        <v>2833</v>
      </c>
      <c r="K311" s="3" t="inlineStr">
        <is>
          <t>Semana 1</t>
        </is>
      </c>
      <c r="L311" s="3" t="inlineStr">
        <is>
          <t>Alta</t>
        </is>
      </c>
      <c r="M311" s="3" t="inlineStr">
        <is>
          <t>chave 310</t>
        </is>
      </c>
    </row>
    <row r="312">
      <c r="A312" s="2" t="n">
        <v>311</v>
      </c>
      <c r="B312" s="3" t="inlineStr">
        <is>
          <t xml:space="preserve">R G XAVIER GUIMARAES LTDA </t>
        </is>
      </c>
      <c r="C312" s="3" t="inlineStr">
        <is>
          <t>NORTE</t>
        </is>
      </c>
      <c r="D312" s="3" t="inlineStr">
        <is>
          <t>AM</t>
        </is>
      </c>
      <c r="E312" s="3" t="inlineStr">
        <is>
          <t>MANAUS</t>
        </is>
      </c>
      <c r="F312" s="3" t="inlineStr">
        <is>
          <t xml:space="preserve">TARUMA </t>
        </is>
      </c>
      <c r="G312" s="3" t="inlineStr">
        <is>
          <t>69041772</t>
        </is>
      </c>
      <c r="H312" s="3" t="inlineStr">
        <is>
          <t>Rodrigo</t>
        </is>
      </c>
      <c r="I312" s="3" t="inlineStr">
        <is>
          <t>Estratégico</t>
        </is>
      </c>
      <c r="J312" s="2" t="n">
        <v>2833</v>
      </c>
      <c r="K312" s="3" t="inlineStr">
        <is>
          <t>Semana 1</t>
        </is>
      </c>
      <c r="L312" s="3" t="inlineStr">
        <is>
          <t>Alta</t>
        </is>
      </c>
      <c r="M312" s="3" t="inlineStr">
        <is>
          <t>chave 311</t>
        </is>
      </c>
    </row>
    <row r="313">
      <c r="A313" s="2" t="n">
        <v>312</v>
      </c>
      <c r="B313" s="3" t="inlineStr">
        <is>
          <t xml:space="preserve">J LIMA LOBATO LTDA </t>
        </is>
      </c>
      <c r="C313" s="3" t="inlineStr">
        <is>
          <t>NORTE</t>
        </is>
      </c>
      <c r="D313" s="3" t="inlineStr">
        <is>
          <t>AM</t>
        </is>
      </c>
      <c r="E313" s="3" t="inlineStr">
        <is>
          <t>MANAUS</t>
        </is>
      </c>
      <c r="F313" s="3" t="inlineStr">
        <is>
          <t xml:space="preserve">ALVORADA </t>
        </is>
      </c>
      <c r="G313" s="3" t="inlineStr">
        <is>
          <t>69043670</t>
        </is>
      </c>
      <c r="H313" s="3" t="inlineStr">
        <is>
          <t>Rodrigo</t>
        </is>
      </c>
      <c r="I313" s="3" t="inlineStr">
        <is>
          <t>Estratégico</t>
        </is>
      </c>
      <c r="J313" s="2" t="n">
        <v>2833</v>
      </c>
      <c r="K313" s="3" t="inlineStr">
        <is>
          <t>Semana 1</t>
        </is>
      </c>
      <c r="L313" s="3" t="inlineStr">
        <is>
          <t>Alta</t>
        </is>
      </c>
      <c r="M313" s="3" t="inlineStr">
        <is>
          <t>chave 312</t>
        </is>
      </c>
    </row>
    <row r="314">
      <c r="A314" s="2" t="n">
        <v>313</v>
      </c>
      <c r="B314" s="3" t="inlineStr">
        <is>
          <t xml:space="preserve">MALCHER COMERCIO DE ARTIGOS DE UTILIDADES LTDA </t>
        </is>
      </c>
      <c r="C314" s="3" t="inlineStr">
        <is>
          <t>NORTE</t>
        </is>
      </c>
      <c r="D314" s="3" t="inlineStr">
        <is>
          <t>AM</t>
        </is>
      </c>
      <c r="E314" s="3" t="inlineStr">
        <is>
          <t>MANAUS</t>
        </is>
      </c>
      <c r="F314" s="3" t="inlineStr">
        <is>
          <t xml:space="preserve">CENTRO </t>
        </is>
      </c>
      <c r="G314" s="3" t="inlineStr">
        <is>
          <t>69005180</t>
        </is>
      </c>
      <c r="H314" s="3" t="inlineStr">
        <is>
          <t>Rodrigo</t>
        </is>
      </c>
      <c r="I314" s="3" t="inlineStr">
        <is>
          <t>Estratégico</t>
        </is>
      </c>
      <c r="J314" s="2" t="n">
        <v>2833</v>
      </c>
      <c r="K314" s="3" t="inlineStr">
        <is>
          <t>Semana 1</t>
        </is>
      </c>
      <c r="L314" s="3" t="inlineStr">
        <is>
          <t>Alta</t>
        </is>
      </c>
      <c r="M314" s="3" t="inlineStr">
        <is>
          <t>chave 313</t>
        </is>
      </c>
    </row>
    <row r="315">
      <c r="A315" s="2" t="n">
        <v>314</v>
      </c>
      <c r="B315" s="3" t="inlineStr">
        <is>
          <t xml:space="preserve">C. D. B. DO NASCIMENTO LTDA </t>
        </is>
      </c>
      <c r="C315" s="3" t="inlineStr">
        <is>
          <t>NORTE</t>
        </is>
      </c>
      <c r="D315" s="3" t="inlineStr">
        <is>
          <t>AM</t>
        </is>
      </c>
      <c r="E315" s="3" t="inlineStr">
        <is>
          <t>MANAUS</t>
        </is>
      </c>
      <c r="F315" s="3" t="inlineStr">
        <is>
          <t xml:space="preserve">CENTRO </t>
        </is>
      </c>
      <c r="G315" s="3" t="inlineStr">
        <is>
          <t>69005190</t>
        </is>
      </c>
      <c r="H315" s="3" t="inlineStr">
        <is>
          <t>Rodrigo</t>
        </is>
      </c>
      <c r="I315" s="3" t="inlineStr">
        <is>
          <t>Estratégico</t>
        </is>
      </c>
      <c r="J315" s="2" t="n">
        <v>2833</v>
      </c>
      <c r="K315" s="3" t="inlineStr">
        <is>
          <t>Semana 1</t>
        </is>
      </c>
      <c r="L315" s="3" t="inlineStr">
        <is>
          <t>Alta</t>
        </is>
      </c>
      <c r="M315" s="3" t="inlineStr">
        <is>
          <t>chave 314</t>
        </is>
      </c>
    </row>
    <row r="316">
      <c r="A316" s="2" t="n">
        <v>315</v>
      </c>
      <c r="B316" s="3" t="inlineStr">
        <is>
          <t xml:space="preserve">M. NOBRE RAMALHO LTDA </t>
        </is>
      </c>
      <c r="C316" s="3" t="inlineStr">
        <is>
          <t>NORTE</t>
        </is>
      </c>
      <c r="D316" s="3" t="inlineStr">
        <is>
          <t>AM</t>
        </is>
      </c>
      <c r="E316" s="3" t="inlineStr">
        <is>
          <t>MANAUS</t>
        </is>
      </c>
      <c r="F316" s="3" t="inlineStr">
        <is>
          <t xml:space="preserve">JORGE TEIXEIRA </t>
        </is>
      </c>
      <c r="G316" s="3" t="inlineStr">
        <is>
          <t>69088340</t>
        </is>
      </c>
      <c r="H316" s="3" t="inlineStr">
        <is>
          <t>Rodrigo</t>
        </is>
      </c>
      <c r="I316" s="3" t="inlineStr">
        <is>
          <t>Estratégico</t>
        </is>
      </c>
      <c r="J316" s="2" t="n">
        <v>2833</v>
      </c>
      <c r="K316" s="3" t="inlineStr">
        <is>
          <t>Semana 1</t>
        </is>
      </c>
      <c r="L316" s="3" t="inlineStr">
        <is>
          <t>Alta</t>
        </is>
      </c>
      <c r="M316" s="3" t="inlineStr">
        <is>
          <t>chave 315</t>
        </is>
      </c>
    </row>
    <row r="317">
      <c r="A317" s="2" t="n">
        <v>316</v>
      </c>
      <c r="B317" s="3" t="inlineStr">
        <is>
          <t xml:space="preserve">JOYCE GUERRA BATISTA MAGALHAES </t>
        </is>
      </c>
      <c r="C317" s="3" t="inlineStr">
        <is>
          <t>NORTE</t>
        </is>
      </c>
      <c r="D317" s="3" t="inlineStr">
        <is>
          <t>AM</t>
        </is>
      </c>
      <c r="E317" s="3" t="inlineStr">
        <is>
          <t>MANAUS</t>
        </is>
      </c>
      <c r="F317" s="3" t="inlineStr">
        <is>
          <t xml:space="preserve">CENTRO </t>
        </is>
      </c>
      <c r="G317" s="3" t="inlineStr">
        <is>
          <t>69005090</t>
        </is>
      </c>
      <c r="H317" s="3" t="inlineStr">
        <is>
          <t>Rodrigo</t>
        </is>
      </c>
      <c r="I317" s="3" t="inlineStr">
        <is>
          <t>Estratégico</t>
        </is>
      </c>
      <c r="J317" s="2" t="n">
        <v>2833</v>
      </c>
      <c r="K317" s="3" t="inlineStr">
        <is>
          <t>Semana 1</t>
        </is>
      </c>
      <c r="L317" s="3" t="inlineStr">
        <is>
          <t>Alta</t>
        </is>
      </c>
      <c r="M317" s="3" t="inlineStr">
        <is>
          <t>chave 316</t>
        </is>
      </c>
    </row>
    <row r="318">
      <c r="A318" s="2" t="n">
        <v>317</v>
      </c>
      <c r="B318" s="3" t="inlineStr">
        <is>
          <t xml:space="preserve">F N DE SOUSA ARMARINHO </t>
        </is>
      </c>
      <c r="C318" s="3" t="inlineStr">
        <is>
          <t>NORTE</t>
        </is>
      </c>
      <c r="D318" s="3" t="inlineStr">
        <is>
          <t>AM</t>
        </is>
      </c>
      <c r="E318" s="3" t="inlineStr">
        <is>
          <t>PARINTINS</t>
        </is>
      </c>
      <c r="F318" s="3" t="inlineStr">
        <is>
          <t xml:space="preserve">CENTRO </t>
        </is>
      </c>
      <c r="G318" s="3" t="inlineStr">
        <is>
          <t>69151260</t>
        </is>
      </c>
      <c r="H318" s="3" t="inlineStr">
        <is>
          <t>Rodrigo</t>
        </is>
      </c>
      <c r="I318" s="3" t="inlineStr">
        <is>
          <t>Pontual</t>
        </is>
      </c>
      <c r="J318" s="2" t="n">
        <v>2833</v>
      </c>
      <c r="K318" s="3" t="inlineStr">
        <is>
          <t>Semana 1</t>
        </is>
      </c>
      <c r="L318" s="3" t="inlineStr">
        <is>
          <t>Normal</t>
        </is>
      </c>
      <c r="M318" s="3" t="inlineStr">
        <is>
          <t>chave 317</t>
        </is>
      </c>
    </row>
    <row r="319">
      <c r="A319" s="2" t="n">
        <v>318</v>
      </c>
      <c r="B319" s="3" t="inlineStr">
        <is>
          <t xml:space="preserve">MARCIO PINTO COSTA </t>
        </is>
      </c>
      <c r="C319" s="3" t="inlineStr">
        <is>
          <t>NORTE</t>
        </is>
      </c>
      <c r="D319" s="3" t="inlineStr">
        <is>
          <t>AM</t>
        </is>
      </c>
      <c r="E319" s="3" t="inlineStr">
        <is>
          <t>MANAUS</t>
        </is>
      </c>
      <c r="F319" s="3" t="inlineStr">
        <is>
          <t xml:space="preserve">CENTRO </t>
        </is>
      </c>
      <c r="G319" s="3" t="inlineStr">
        <is>
          <t>69005090</t>
        </is>
      </c>
      <c r="H319" s="3" t="inlineStr">
        <is>
          <t>Rodrigo</t>
        </is>
      </c>
      <c r="I319" s="3" t="inlineStr">
        <is>
          <t>Estratégico</t>
        </is>
      </c>
      <c r="J319" s="2" t="n">
        <v>2833</v>
      </c>
      <c r="K319" s="3" t="inlineStr">
        <is>
          <t>Semana 1</t>
        </is>
      </c>
      <c r="L319" s="3" t="inlineStr">
        <is>
          <t>Alta</t>
        </is>
      </c>
      <c r="M319" s="3" t="inlineStr">
        <is>
          <t>chave 318</t>
        </is>
      </c>
    </row>
    <row r="320">
      <c r="A320" s="2" t="n">
        <v>319</v>
      </c>
      <c r="B320" s="3" t="inlineStr">
        <is>
          <t xml:space="preserve">A PICANCO DO NASCIMENTO </t>
        </is>
      </c>
      <c r="C320" s="3" t="inlineStr">
        <is>
          <t>NORTE</t>
        </is>
      </c>
      <c r="D320" s="3" t="inlineStr">
        <is>
          <t>AM</t>
        </is>
      </c>
      <c r="E320" s="3" t="inlineStr">
        <is>
          <t>MANAUS</t>
        </is>
      </c>
      <c r="F320" s="3" t="inlineStr">
        <is>
          <t xml:space="preserve">MORRO DA LIBERDADE </t>
        </is>
      </c>
      <c r="G320" s="3" t="inlineStr">
        <is>
          <t>69074805</t>
        </is>
      </c>
      <c r="H320" s="3" t="inlineStr">
        <is>
          <t>Rodrigo</t>
        </is>
      </c>
      <c r="I320" s="3" t="inlineStr">
        <is>
          <t>Estratégico</t>
        </is>
      </c>
      <c r="J320" s="2" t="n">
        <v>2833</v>
      </c>
      <c r="K320" s="3" t="inlineStr">
        <is>
          <t>Semana 1</t>
        </is>
      </c>
      <c r="L320" s="3" t="inlineStr">
        <is>
          <t>Alta</t>
        </is>
      </c>
      <c r="M320" s="3" t="inlineStr">
        <is>
          <t>chave 319</t>
        </is>
      </c>
    </row>
    <row r="321">
      <c r="A321" s="2" t="n">
        <v>320</v>
      </c>
      <c r="B321" s="3" t="inlineStr">
        <is>
          <t xml:space="preserve">FRANK PAPELARIA LTDA </t>
        </is>
      </c>
      <c r="C321" s="3" t="inlineStr">
        <is>
          <t>NORTE</t>
        </is>
      </c>
      <c r="D321" s="3" t="inlineStr">
        <is>
          <t>AM</t>
        </is>
      </c>
      <c r="E321" s="3" t="inlineStr">
        <is>
          <t>MANAUS</t>
        </is>
      </c>
      <c r="F321" s="3" t="inlineStr">
        <is>
          <t xml:space="preserve">CENTRO </t>
        </is>
      </c>
      <c r="G321" s="3" t="inlineStr">
        <is>
          <t>69005070</t>
        </is>
      </c>
      <c r="H321" s="3" t="inlineStr">
        <is>
          <t>Rodrigo</t>
        </is>
      </c>
      <c r="I321" s="3" t="inlineStr">
        <is>
          <t>Estratégico</t>
        </is>
      </c>
      <c r="J321" s="2" t="n">
        <v>2833</v>
      </c>
      <c r="K321" s="3" t="inlineStr">
        <is>
          <t>Semana 1</t>
        </is>
      </c>
      <c r="L321" s="3" t="inlineStr">
        <is>
          <t>Alta</t>
        </is>
      </c>
      <c r="M321" s="3" t="inlineStr">
        <is>
          <t>chave 320</t>
        </is>
      </c>
    </row>
    <row r="322">
      <c r="A322" s="2" t="n">
        <v>321</v>
      </c>
      <c r="B322" s="3" t="inlineStr">
        <is>
          <t xml:space="preserve">L. R. A. DA MATA LTDA </t>
        </is>
      </c>
      <c r="C322" s="3" t="inlineStr">
        <is>
          <t>NORTE</t>
        </is>
      </c>
      <c r="D322" s="3" t="inlineStr">
        <is>
          <t>AM</t>
        </is>
      </c>
      <c r="E322" s="3" t="inlineStr">
        <is>
          <t>MANAUS</t>
        </is>
      </c>
      <c r="F322" s="3" t="inlineStr">
        <is>
          <t xml:space="preserve">CENTRO </t>
        </is>
      </c>
      <c r="G322" s="3" t="inlineStr">
        <is>
          <t>69005080</t>
        </is>
      </c>
      <c r="H322" s="3" t="inlineStr">
        <is>
          <t>Rodrigo</t>
        </is>
      </c>
      <c r="I322" s="3" t="inlineStr">
        <is>
          <t>Estratégico</t>
        </is>
      </c>
      <c r="J322" s="2" t="n">
        <v>2833</v>
      </c>
      <c r="K322" s="3" t="inlineStr">
        <is>
          <t>Semana 1</t>
        </is>
      </c>
      <c r="L322" s="3" t="inlineStr">
        <is>
          <t>Alta</t>
        </is>
      </c>
      <c r="M322" s="3" t="inlineStr">
        <is>
          <t>chave 321</t>
        </is>
      </c>
    </row>
    <row r="323">
      <c r="A323" s="2" t="n">
        <v>322</v>
      </c>
      <c r="B323" s="3" t="inlineStr">
        <is>
          <t xml:space="preserve">DARKLE R ARAUJO </t>
        </is>
      </c>
      <c r="C323" s="3" t="inlineStr">
        <is>
          <t>NORTE</t>
        </is>
      </c>
      <c r="D323" s="3" t="inlineStr">
        <is>
          <t>AP</t>
        </is>
      </c>
      <c r="E323" s="3" t="inlineStr">
        <is>
          <t>MACAPA</t>
        </is>
      </c>
      <c r="F323" s="3" t="inlineStr">
        <is>
          <t xml:space="preserve">CENTRAL </t>
        </is>
      </c>
      <c r="G323" s="3" t="inlineStr">
        <is>
          <t>68900060</t>
        </is>
      </c>
      <c r="H323" s="3" t="inlineStr">
        <is>
          <t>Rodrigo</t>
        </is>
      </c>
      <c r="I323" s="3" t="inlineStr">
        <is>
          <t>Pontual</t>
        </is>
      </c>
      <c r="J323" s="2" t="n">
        <v>2004</v>
      </c>
      <c r="K323" s="3" t="inlineStr">
        <is>
          <t>Semana 1</t>
        </is>
      </c>
      <c r="L323" s="3" t="inlineStr">
        <is>
          <t>Normal</t>
        </is>
      </c>
      <c r="M323" s="3" t="inlineStr">
        <is>
          <t>chave 322</t>
        </is>
      </c>
    </row>
    <row r="324">
      <c r="A324" s="2" t="n">
        <v>323</v>
      </c>
      <c r="B324" s="3" t="inlineStr">
        <is>
          <t xml:space="preserve">IMPORTADORA GT LTDA </t>
        </is>
      </c>
      <c r="C324" s="3" t="inlineStr">
        <is>
          <t>NORTE</t>
        </is>
      </c>
      <c r="D324" s="3" t="inlineStr">
        <is>
          <t>AP</t>
        </is>
      </c>
      <c r="E324" s="3" t="inlineStr">
        <is>
          <t>SANTANA</t>
        </is>
      </c>
      <c r="F324" s="3" t="inlineStr">
        <is>
          <t xml:space="preserve">CENTRAL </t>
        </is>
      </c>
      <c r="G324" s="3" t="inlineStr">
        <is>
          <t>68925180</t>
        </is>
      </c>
      <c r="H324" s="3" t="inlineStr">
        <is>
          <t>Rodrigo</t>
        </is>
      </c>
      <c r="I324" s="3" t="inlineStr">
        <is>
          <t>Pontual</t>
        </is>
      </c>
      <c r="J324" s="2" t="n">
        <v>2004</v>
      </c>
      <c r="K324" s="3" t="inlineStr">
        <is>
          <t>Semana 2</t>
        </is>
      </c>
      <c r="L324" s="3" t="inlineStr">
        <is>
          <t>Normal</t>
        </is>
      </c>
      <c r="M324" s="3" t="inlineStr">
        <is>
          <t>chave 323</t>
        </is>
      </c>
    </row>
    <row r="325">
      <c r="A325" s="2" t="n">
        <v>324</v>
      </c>
      <c r="B325" s="3" t="inlineStr">
        <is>
          <t xml:space="preserve">AMAFLAM COMERCIO E DISTRIBUICAO LTDA </t>
        </is>
      </c>
      <c r="C325" s="3" t="inlineStr">
        <is>
          <t>NORTE</t>
        </is>
      </c>
      <c r="D325" s="3" t="inlineStr">
        <is>
          <t>AP</t>
        </is>
      </c>
      <c r="E325" s="3" t="inlineStr">
        <is>
          <t>MACAPA</t>
        </is>
      </c>
      <c r="F325" s="3" t="inlineStr">
        <is>
          <t xml:space="preserve">CENTRAL </t>
        </is>
      </c>
      <c r="G325" s="3" t="inlineStr">
        <is>
          <t>68900015</t>
        </is>
      </c>
      <c r="H325" s="3" t="inlineStr">
        <is>
          <t>Rodrigo</t>
        </is>
      </c>
      <c r="I325" s="3" t="inlineStr">
        <is>
          <t>Pontual</t>
        </is>
      </c>
      <c r="J325" s="2" t="n">
        <v>2004</v>
      </c>
      <c r="K325" s="3" t="inlineStr">
        <is>
          <t>Semana 1</t>
        </is>
      </c>
      <c r="L325" s="3" t="inlineStr">
        <is>
          <t>Normal</t>
        </is>
      </c>
      <c r="M325" s="3" t="inlineStr">
        <is>
          <t>chave 324</t>
        </is>
      </c>
    </row>
    <row r="326">
      <c r="A326" s="2" t="n">
        <v>325</v>
      </c>
      <c r="B326" s="3" t="inlineStr">
        <is>
          <t xml:space="preserve">IBIAPINA VARIEDADES LTDA </t>
        </is>
      </c>
      <c r="C326" s="3" t="inlineStr">
        <is>
          <t>NORTE</t>
        </is>
      </c>
      <c r="D326" s="3" t="inlineStr">
        <is>
          <t>AP</t>
        </is>
      </c>
      <c r="E326" s="3" t="inlineStr">
        <is>
          <t>MACAPA</t>
        </is>
      </c>
      <c r="F326" s="3" t="inlineStr">
        <is>
          <t xml:space="preserve">BURITIZAL </t>
        </is>
      </c>
      <c r="G326" s="3" t="inlineStr">
        <is>
          <t>68902861</t>
        </is>
      </c>
      <c r="H326" s="3" t="inlineStr">
        <is>
          <t>Rodrigo</t>
        </is>
      </c>
      <c r="I326" s="3" t="inlineStr">
        <is>
          <t>Pontual</t>
        </is>
      </c>
      <c r="J326" s="2" t="n">
        <v>2004</v>
      </c>
      <c r="K326" s="3" t="inlineStr">
        <is>
          <t>Semana 1</t>
        </is>
      </c>
      <c r="L326" s="3" t="inlineStr">
        <is>
          <t>Normal</t>
        </is>
      </c>
      <c r="M326" s="3" t="inlineStr">
        <is>
          <t>chave 325</t>
        </is>
      </c>
    </row>
    <row r="327">
      <c r="A327" s="2" t="n">
        <v>326</v>
      </c>
      <c r="B327" s="3" t="inlineStr">
        <is>
          <t xml:space="preserve">R S IGLESIAS </t>
        </is>
      </c>
      <c r="C327" s="3" t="inlineStr">
        <is>
          <t>NORTE</t>
        </is>
      </c>
      <c r="D327" s="3" t="inlineStr">
        <is>
          <t>AP</t>
        </is>
      </c>
      <c r="E327" s="3" t="inlineStr">
        <is>
          <t>MACAPA</t>
        </is>
      </c>
      <c r="F327" s="3" t="inlineStr">
        <is>
          <t xml:space="preserve">SANTA RITA </t>
        </is>
      </c>
      <c r="G327" s="3" t="inlineStr">
        <is>
          <t>68900073</t>
        </is>
      </c>
      <c r="H327" s="3" t="inlineStr">
        <is>
          <t>Rodrigo</t>
        </is>
      </c>
      <c r="I327" s="3" t="inlineStr">
        <is>
          <t>Pontual</t>
        </is>
      </c>
      <c r="J327" s="2" t="n">
        <v>2004</v>
      </c>
      <c r="K327" s="3" t="inlineStr">
        <is>
          <t>Semana 1</t>
        </is>
      </c>
      <c r="L327" s="3" t="inlineStr">
        <is>
          <t>Normal</t>
        </is>
      </c>
      <c r="M327" s="3" t="inlineStr">
        <is>
          <t>chave 326</t>
        </is>
      </c>
    </row>
    <row r="328">
      <c r="A328" s="2" t="n">
        <v>327</v>
      </c>
      <c r="B328" s="3" t="inlineStr">
        <is>
          <t xml:space="preserve">F. G. DE SOUSA LTDA </t>
        </is>
      </c>
      <c r="C328" s="3" t="inlineStr">
        <is>
          <t>NORTE</t>
        </is>
      </c>
      <c r="D328" s="3" t="inlineStr">
        <is>
          <t>AP</t>
        </is>
      </c>
      <c r="E328" s="3" t="inlineStr">
        <is>
          <t>MACAPA</t>
        </is>
      </c>
      <c r="F328" s="3" t="inlineStr">
        <is>
          <t xml:space="preserve">SANTA RITA </t>
        </is>
      </c>
      <c r="G328" s="3" t="inlineStr">
        <is>
          <t>68901259</t>
        </is>
      </c>
      <c r="H328" s="3" t="inlineStr">
        <is>
          <t>Rodrigo</t>
        </is>
      </c>
      <c r="I328" s="3" t="inlineStr">
        <is>
          <t>Pontual</t>
        </is>
      </c>
      <c r="J328" s="2" t="n">
        <v>2004</v>
      </c>
      <c r="K328" s="3" t="inlineStr">
        <is>
          <t>Semana 1</t>
        </is>
      </c>
      <c r="L328" s="3" t="inlineStr">
        <is>
          <t>Normal</t>
        </is>
      </c>
      <c r="M328" s="3" t="inlineStr">
        <is>
          <t>chave 327</t>
        </is>
      </c>
    </row>
    <row r="329">
      <c r="A329" s="2" t="n">
        <v>328</v>
      </c>
      <c r="B329" s="3" t="inlineStr">
        <is>
          <t xml:space="preserve">A SALOMAO DE ALMEIDA </t>
        </is>
      </c>
      <c r="C329" s="3" t="inlineStr">
        <is>
          <t>NORTE</t>
        </is>
      </c>
      <c r="D329" s="3" t="inlineStr">
        <is>
          <t>AP</t>
        </is>
      </c>
      <c r="E329" s="3" t="inlineStr">
        <is>
          <t>MACAPA</t>
        </is>
      </c>
      <c r="F329" s="3" t="inlineStr">
        <is>
          <t xml:space="preserve">PACOVAL </t>
        </is>
      </c>
      <c r="G329" s="3" t="inlineStr">
        <is>
          <t>68908360</t>
        </is>
      </c>
      <c r="H329" s="3" t="inlineStr">
        <is>
          <t>Rodrigo</t>
        </is>
      </c>
      <c r="I329" s="3" t="inlineStr">
        <is>
          <t>Pontual</t>
        </is>
      </c>
      <c r="J329" s="2" t="n">
        <v>2004</v>
      </c>
      <c r="K329" s="3" t="inlineStr">
        <is>
          <t>Semana 1</t>
        </is>
      </c>
      <c r="L329" s="3" t="inlineStr">
        <is>
          <t>Normal</t>
        </is>
      </c>
      <c r="M329" s="3" t="inlineStr">
        <is>
          <t>chave 328</t>
        </is>
      </c>
    </row>
    <row r="330">
      <c r="A330" s="2" t="n">
        <v>329</v>
      </c>
      <c r="B330" s="3" t="inlineStr">
        <is>
          <t xml:space="preserve">A C G DE FARIAS LTDA </t>
        </is>
      </c>
      <c r="C330" s="3" t="inlineStr">
        <is>
          <t>NORTE</t>
        </is>
      </c>
      <c r="D330" s="3" t="inlineStr">
        <is>
          <t>AP</t>
        </is>
      </c>
      <c r="E330" s="3" t="inlineStr">
        <is>
          <t>MACAPA</t>
        </is>
      </c>
      <c r="F330" s="3" t="inlineStr">
        <is>
          <t xml:space="preserve">CENTRAL </t>
        </is>
      </c>
      <c r="G330" s="3" t="inlineStr">
        <is>
          <t>68900100</t>
        </is>
      </c>
      <c r="H330" s="3" t="inlineStr">
        <is>
          <t>Rodrigo</t>
        </is>
      </c>
      <c r="I330" s="3" t="inlineStr">
        <is>
          <t>Pontual</t>
        </is>
      </c>
      <c r="J330" s="2" t="n">
        <v>2004</v>
      </c>
      <c r="K330" s="3" t="inlineStr">
        <is>
          <t>Semana 1</t>
        </is>
      </c>
      <c r="L330" s="3" t="inlineStr">
        <is>
          <t>Normal</t>
        </is>
      </c>
      <c r="M330" s="3" t="inlineStr">
        <is>
          <t>chave 329</t>
        </is>
      </c>
    </row>
    <row r="331">
      <c r="A331" s="2" t="n">
        <v>330</v>
      </c>
      <c r="B331" s="3" t="inlineStr">
        <is>
          <t xml:space="preserve">E.S.M. E DIAS LTDA </t>
        </is>
      </c>
      <c r="C331" s="3" t="inlineStr">
        <is>
          <t>NORTE</t>
        </is>
      </c>
      <c r="D331" s="3" t="inlineStr">
        <is>
          <t>AP</t>
        </is>
      </c>
      <c r="E331" s="3" t="inlineStr">
        <is>
          <t>MACAPA</t>
        </is>
      </c>
      <c r="F331" s="3" t="inlineStr">
        <is>
          <t xml:space="preserve">BEIROL </t>
        </is>
      </c>
      <c r="G331" s="3" t="inlineStr">
        <is>
          <t>68902000</t>
        </is>
      </c>
      <c r="H331" s="3" t="inlineStr">
        <is>
          <t>Rodrigo</t>
        </is>
      </c>
      <c r="I331" s="3" t="inlineStr">
        <is>
          <t>Pontual</t>
        </is>
      </c>
      <c r="J331" s="2" t="n">
        <v>2004</v>
      </c>
      <c r="K331" s="3" t="inlineStr">
        <is>
          <t>Semana 1</t>
        </is>
      </c>
      <c r="L331" s="3" t="inlineStr">
        <is>
          <t>Normal</t>
        </is>
      </c>
      <c r="M331" s="3" t="inlineStr">
        <is>
          <t>chave 330</t>
        </is>
      </c>
    </row>
    <row r="332">
      <c r="A332" s="2" t="n">
        <v>331</v>
      </c>
      <c r="B332" s="3" t="inlineStr">
        <is>
          <t xml:space="preserve">PLASMAR - COMERCIO DE PRODUTOS DESCARTAVEIS LTDA </t>
        </is>
      </c>
      <c r="C332" s="3" t="inlineStr">
        <is>
          <t>NORTE</t>
        </is>
      </c>
      <c r="D332" s="3" t="inlineStr">
        <is>
          <t>AP</t>
        </is>
      </c>
      <c r="E332" s="3" t="inlineStr">
        <is>
          <t>SANTANA</t>
        </is>
      </c>
      <c r="F332" s="3" t="inlineStr">
        <is>
          <t xml:space="preserve">COMERCIAL </t>
        </is>
      </c>
      <c r="G332" s="3" t="inlineStr">
        <is>
          <t>68925076</t>
        </is>
      </c>
      <c r="H332" s="3" t="inlineStr">
        <is>
          <t>Rodrigo</t>
        </is>
      </c>
      <c r="I332" s="3" t="inlineStr">
        <is>
          <t>Pontual</t>
        </is>
      </c>
      <c r="J332" s="2" t="n">
        <v>2004</v>
      </c>
      <c r="K332" s="3" t="inlineStr">
        <is>
          <t>Semana 2</t>
        </is>
      </c>
      <c r="L332" s="3" t="inlineStr">
        <is>
          <t>Normal</t>
        </is>
      </c>
      <c r="M332" s="3" t="inlineStr">
        <is>
          <t>chave 331</t>
        </is>
      </c>
    </row>
    <row r="333">
      <c r="A333" s="2" t="n">
        <v>332</v>
      </c>
      <c r="B333" s="3" t="inlineStr">
        <is>
          <t xml:space="preserve">IMPORTADORA MACAPA RURAL CASA E CONSTRUCAO LTDA </t>
        </is>
      </c>
      <c r="C333" s="3" t="inlineStr">
        <is>
          <t>NORTE</t>
        </is>
      </c>
      <c r="D333" s="3" t="inlineStr">
        <is>
          <t>AP</t>
        </is>
      </c>
      <c r="E333" s="3" t="inlineStr">
        <is>
          <t>MACAPA</t>
        </is>
      </c>
      <c r="F333" s="3" t="inlineStr">
        <is>
          <t xml:space="preserve">PERPETUO SOCORRO </t>
        </is>
      </c>
      <c r="G333" s="3" t="inlineStr">
        <is>
          <t>68905627</t>
        </is>
      </c>
      <c r="H333" s="3" t="inlineStr">
        <is>
          <t>Rodrigo</t>
        </is>
      </c>
      <c r="I333" s="3" t="inlineStr">
        <is>
          <t>Pontual</t>
        </is>
      </c>
      <c r="J333" s="2" t="n">
        <v>2004</v>
      </c>
      <c r="K333" s="3" t="inlineStr">
        <is>
          <t>Semana 1</t>
        </is>
      </c>
      <c r="L333" s="3" t="inlineStr">
        <is>
          <t>Normal</t>
        </is>
      </c>
      <c r="M333" s="3" t="inlineStr">
        <is>
          <t>chave 332</t>
        </is>
      </c>
    </row>
    <row r="334">
      <c r="A334" s="2" t="n">
        <v>333</v>
      </c>
      <c r="B334" s="3" t="inlineStr">
        <is>
          <t xml:space="preserve">PAPER SHOP LTDA </t>
        </is>
      </c>
      <c r="C334" s="3" t="inlineStr">
        <is>
          <t>NORTE</t>
        </is>
      </c>
      <c r="D334" s="3" t="inlineStr">
        <is>
          <t>AP</t>
        </is>
      </c>
      <c r="E334" s="3" t="inlineStr">
        <is>
          <t>MACAPA</t>
        </is>
      </c>
      <c r="F334" s="3" t="inlineStr">
        <is>
          <t xml:space="preserve">CENTRAL </t>
        </is>
      </c>
      <c r="G334" s="3" t="inlineStr">
        <is>
          <t>68900098</t>
        </is>
      </c>
      <c r="H334" s="3" t="inlineStr">
        <is>
          <t>Rodrigo</t>
        </is>
      </c>
      <c r="I334" s="3" t="inlineStr">
        <is>
          <t>Pontual</t>
        </is>
      </c>
      <c r="J334" s="2" t="n">
        <v>2004</v>
      </c>
      <c r="K334" s="3" t="inlineStr">
        <is>
          <t>Semana 2</t>
        </is>
      </c>
      <c r="L334" s="3" t="inlineStr">
        <is>
          <t>Normal</t>
        </is>
      </c>
      <c r="M334" s="3" t="inlineStr">
        <is>
          <t>chave 333</t>
        </is>
      </c>
    </row>
    <row r="335">
      <c r="A335" s="2" t="n">
        <v>334</v>
      </c>
      <c r="B335" s="3" t="inlineStr">
        <is>
          <t xml:space="preserve">M A M SOUZA FEITOSA </t>
        </is>
      </c>
      <c r="C335" s="3" t="inlineStr">
        <is>
          <t>NORTE</t>
        </is>
      </c>
      <c r="D335" s="3" t="inlineStr">
        <is>
          <t>AP</t>
        </is>
      </c>
      <c r="E335" s="3" t="inlineStr">
        <is>
          <t>SANTANA</t>
        </is>
      </c>
      <c r="F335" s="3" t="inlineStr">
        <is>
          <t xml:space="preserve">COMERCIAL </t>
        </is>
      </c>
      <c r="G335" s="3" t="inlineStr">
        <is>
          <t>68925001</t>
        </is>
      </c>
      <c r="H335" s="3" t="inlineStr">
        <is>
          <t>Rodrigo</t>
        </is>
      </c>
      <c r="I335" s="3" t="inlineStr">
        <is>
          <t>Pontual</t>
        </is>
      </c>
      <c r="J335" s="2" t="n">
        <v>2004</v>
      </c>
      <c r="K335" s="3" t="inlineStr">
        <is>
          <t>Semana 2</t>
        </is>
      </c>
      <c r="L335" s="3" t="inlineStr">
        <is>
          <t>Normal</t>
        </is>
      </c>
      <c r="M335" s="3" t="inlineStr">
        <is>
          <t>chave 334</t>
        </is>
      </c>
    </row>
    <row r="336">
      <c r="A336" s="2" t="n">
        <v>335</v>
      </c>
      <c r="B336" s="3" t="inlineStr">
        <is>
          <t xml:space="preserve">MAPEL CENTER LTDA </t>
        </is>
      </c>
      <c r="C336" s="3" t="inlineStr">
        <is>
          <t>NORTE</t>
        </is>
      </c>
      <c r="D336" s="3" t="inlineStr">
        <is>
          <t>AP</t>
        </is>
      </c>
      <c r="E336" s="3" t="inlineStr">
        <is>
          <t>MACAPA</t>
        </is>
      </c>
      <c r="F336" s="3" t="inlineStr">
        <is>
          <t xml:space="preserve">BEIROL </t>
        </is>
      </c>
      <c r="G336" s="3" t="inlineStr">
        <is>
          <t>68905160</t>
        </is>
      </c>
      <c r="H336" s="3" t="inlineStr">
        <is>
          <t>Rodrigo</t>
        </is>
      </c>
      <c r="I336" s="3" t="inlineStr">
        <is>
          <t>Pontual</t>
        </is>
      </c>
      <c r="J336" s="2" t="n">
        <v>2004</v>
      </c>
      <c r="K336" s="3" t="inlineStr">
        <is>
          <t>Semana 2</t>
        </is>
      </c>
      <c r="L336" s="3" t="inlineStr">
        <is>
          <t>Normal</t>
        </is>
      </c>
      <c r="M336" s="3" t="inlineStr">
        <is>
          <t>chave 335</t>
        </is>
      </c>
    </row>
    <row r="337">
      <c r="A337" s="2" t="n">
        <v>336</v>
      </c>
      <c r="B337" s="3" t="inlineStr">
        <is>
          <t xml:space="preserve">DANYLO M M MENDES </t>
        </is>
      </c>
      <c r="C337" s="3" t="inlineStr">
        <is>
          <t>NORTE</t>
        </is>
      </c>
      <c r="D337" s="3" t="inlineStr">
        <is>
          <t>AP</t>
        </is>
      </c>
      <c r="E337" s="3" t="inlineStr">
        <is>
          <t>MACAPA</t>
        </is>
      </c>
      <c r="F337" s="3" t="inlineStr">
        <is>
          <t xml:space="preserve">CENTRO </t>
        </is>
      </c>
      <c r="G337" s="3" t="inlineStr">
        <is>
          <t>68900015</t>
        </is>
      </c>
      <c r="H337" s="3" t="inlineStr">
        <is>
          <t>Rodrigo</t>
        </is>
      </c>
      <c r="I337" s="3" t="inlineStr">
        <is>
          <t>Pontual</t>
        </is>
      </c>
      <c r="J337" s="2" t="n">
        <v>2004</v>
      </c>
      <c r="K337" s="3" t="inlineStr">
        <is>
          <t>Semana 2</t>
        </is>
      </c>
      <c r="L337" s="3" t="inlineStr">
        <is>
          <t>Normal</t>
        </is>
      </c>
      <c r="M337" s="3" t="inlineStr">
        <is>
          <t>chave 336</t>
        </is>
      </c>
    </row>
    <row r="338">
      <c r="A338" s="2" t="n">
        <v>337</v>
      </c>
      <c r="B338" s="3" t="inlineStr">
        <is>
          <t xml:space="preserve">M. A. DE OLIVEIRA COSTA LTDA </t>
        </is>
      </c>
      <c r="C338" s="3" t="inlineStr">
        <is>
          <t>NORTE</t>
        </is>
      </c>
      <c r="D338" s="3" t="inlineStr">
        <is>
          <t>PA</t>
        </is>
      </c>
      <c r="E338" s="3" t="inlineStr">
        <is>
          <t>CASTANHAL</t>
        </is>
      </c>
      <c r="F338" s="3" t="inlineStr">
        <is>
          <t xml:space="preserve">CENTRO </t>
        </is>
      </c>
      <c r="G338" s="3" t="inlineStr">
        <is>
          <t>68743000</t>
        </is>
      </c>
      <c r="H338" s="3" t="inlineStr">
        <is>
          <t>Rodrigo</t>
        </is>
      </c>
      <c r="I338" s="3" t="inlineStr">
        <is>
          <t>Pontual</t>
        </is>
      </c>
      <c r="J338" s="2" t="n">
        <v>1673</v>
      </c>
      <c r="K338" s="3" t="inlineStr">
        <is>
          <t>Semana 2</t>
        </is>
      </c>
      <c r="L338" s="3" t="inlineStr">
        <is>
          <t>Normal</t>
        </is>
      </c>
      <c r="M338" s="3" t="inlineStr">
        <is>
          <t>chave 337</t>
        </is>
      </c>
    </row>
    <row r="339">
      <c r="A339" s="2" t="n">
        <v>338</v>
      </c>
      <c r="B339" s="3" t="inlineStr">
        <is>
          <t xml:space="preserve">A NERES &amp; CIA LTDA </t>
        </is>
      </c>
      <c r="C339" s="3" t="inlineStr">
        <is>
          <t>NORTE</t>
        </is>
      </c>
      <c r="D339" s="3" t="inlineStr">
        <is>
          <t>PA</t>
        </is>
      </c>
      <c r="E339" s="3" t="inlineStr">
        <is>
          <t>Canaã dos Carajás</t>
        </is>
      </c>
      <c r="F339" s="3" t="inlineStr">
        <is>
          <t xml:space="preserve">ESTANCIA FELIZ </t>
        </is>
      </c>
      <c r="G339" s="3" t="inlineStr">
        <is>
          <t>68537000</t>
        </is>
      </c>
      <c r="H339" s="3" t="inlineStr">
        <is>
          <t>Rodrigo</t>
        </is>
      </c>
      <c r="I339" s="3" t="inlineStr">
        <is>
          <t>Pontual</t>
        </is>
      </c>
      <c r="J339" s="2" t="n">
        <v>1673</v>
      </c>
      <c r="K339" s="3" t="inlineStr">
        <is>
          <t>Semana 2</t>
        </is>
      </c>
      <c r="L339" s="3" t="inlineStr">
        <is>
          <t>Normal</t>
        </is>
      </c>
      <c r="M339" s="3" t="inlineStr">
        <is>
          <t>chave 338</t>
        </is>
      </c>
    </row>
    <row r="340">
      <c r="A340" s="2" t="n">
        <v>339</v>
      </c>
      <c r="B340" s="3" t="inlineStr">
        <is>
          <t xml:space="preserve">P C DIAS LTDA </t>
        </is>
      </c>
      <c r="C340" s="3" t="inlineStr">
        <is>
          <t>NORTE</t>
        </is>
      </c>
      <c r="D340" s="3" t="inlineStr">
        <is>
          <t>PA</t>
        </is>
      </c>
      <c r="E340" s="3" t="inlineStr">
        <is>
          <t>BARCARENA</t>
        </is>
      </c>
      <c r="F340" s="3" t="inlineStr">
        <is>
          <t xml:space="preserve">COMERCIAL </t>
        </is>
      </c>
      <c r="G340" s="3" t="inlineStr">
        <is>
          <t>68445000</t>
        </is>
      </c>
      <c r="H340" s="3" t="inlineStr">
        <is>
          <t>Rodrigo</t>
        </is>
      </c>
      <c r="I340" s="3" t="inlineStr">
        <is>
          <t>Pontual</t>
        </is>
      </c>
      <c r="J340" s="2" t="n">
        <v>1673</v>
      </c>
      <c r="K340" s="3" t="inlineStr">
        <is>
          <t>Semana 2</t>
        </is>
      </c>
      <c r="L340" s="3" t="inlineStr">
        <is>
          <t>Normal</t>
        </is>
      </c>
      <c r="M340" s="3" t="inlineStr">
        <is>
          <t>chave 339</t>
        </is>
      </c>
    </row>
    <row r="341">
      <c r="A341" s="2" t="n">
        <v>340</v>
      </c>
      <c r="B341" s="3" t="inlineStr">
        <is>
          <t xml:space="preserve">E J COSTA COMERCIO REPRESENTACAO LTDA </t>
        </is>
      </c>
      <c r="C341" s="3" t="inlineStr">
        <is>
          <t>NORTE</t>
        </is>
      </c>
      <c r="D341" s="3" t="inlineStr">
        <is>
          <t>PA</t>
        </is>
      </c>
      <c r="E341" s="3" t="inlineStr">
        <is>
          <t>Santarém</t>
        </is>
      </c>
      <c r="F341" s="3" t="inlineStr">
        <is>
          <t xml:space="preserve">PEROLA DO MAICA </t>
        </is>
      </c>
      <c r="G341" s="3" t="inlineStr">
        <is>
          <t>68046120</t>
        </is>
      </c>
      <c r="H341" s="3" t="inlineStr">
        <is>
          <t>Rodrigo</t>
        </is>
      </c>
      <c r="I341" s="3" t="inlineStr">
        <is>
          <t>Pontual</t>
        </is>
      </c>
      <c r="J341" s="2" t="n">
        <v>1673</v>
      </c>
      <c r="K341" s="3" t="inlineStr">
        <is>
          <t>Semana 3</t>
        </is>
      </c>
      <c r="L341" s="3" t="inlineStr">
        <is>
          <t>Normal</t>
        </is>
      </c>
      <c r="M341" s="3" t="inlineStr">
        <is>
          <t>chave 340</t>
        </is>
      </c>
    </row>
    <row r="342">
      <c r="A342" s="2" t="n">
        <v>341</v>
      </c>
      <c r="B342" s="3" t="inlineStr">
        <is>
          <t xml:space="preserve">A. A. DE SOUZA MELO LTDA </t>
        </is>
      </c>
      <c r="C342" s="3" t="inlineStr">
        <is>
          <t>NORTE</t>
        </is>
      </c>
      <c r="D342" s="3" t="inlineStr">
        <is>
          <t>PA</t>
        </is>
      </c>
      <c r="E342" s="3" t="inlineStr">
        <is>
          <t>URUARA</t>
        </is>
      </c>
      <c r="F342" s="3" t="inlineStr">
        <is>
          <t xml:space="preserve">CENTRO </t>
        </is>
      </c>
      <c r="G342" s="3" t="inlineStr">
        <is>
          <t>68140000</t>
        </is>
      </c>
      <c r="H342" s="3" t="inlineStr">
        <is>
          <t>Rodrigo</t>
        </is>
      </c>
      <c r="I342" s="3" t="inlineStr">
        <is>
          <t>Pontual</t>
        </is>
      </c>
      <c r="J342" s="2" t="n">
        <v>1673</v>
      </c>
      <c r="K342" s="3" t="inlineStr">
        <is>
          <t>Semana 3</t>
        </is>
      </c>
      <c r="L342" s="3" t="inlineStr">
        <is>
          <t>Normal</t>
        </is>
      </c>
      <c r="M342" s="3" t="inlineStr">
        <is>
          <t>chave 341</t>
        </is>
      </c>
    </row>
    <row r="343">
      <c r="A343" s="2" t="n">
        <v>342</v>
      </c>
      <c r="B343" s="3" t="inlineStr">
        <is>
          <t xml:space="preserve">50.591.548 DOUGLAS MAX ABREU DE JESUS </t>
        </is>
      </c>
      <c r="C343" s="3" t="inlineStr">
        <is>
          <t>NORTE</t>
        </is>
      </c>
      <c r="D343" s="3" t="inlineStr">
        <is>
          <t>PA</t>
        </is>
      </c>
      <c r="E343" s="3" t="inlineStr">
        <is>
          <t>CASTANHAL</t>
        </is>
      </c>
      <c r="F343" s="3" t="inlineStr">
        <is>
          <t xml:space="preserve">ESTRELA </t>
        </is>
      </c>
      <c r="G343" s="3" t="inlineStr">
        <is>
          <t>68742243</t>
        </is>
      </c>
      <c r="H343" s="3" t="inlineStr">
        <is>
          <t>Rodrigo</t>
        </is>
      </c>
      <c r="I343" s="3" t="inlineStr">
        <is>
          <t>Pontual</t>
        </is>
      </c>
      <c r="J343" s="2" t="n">
        <v>1673</v>
      </c>
      <c r="K343" s="3" t="inlineStr">
        <is>
          <t>Semana 2</t>
        </is>
      </c>
      <c r="L343" s="3" t="inlineStr">
        <is>
          <t>Normal</t>
        </is>
      </c>
      <c r="M343" s="3" t="inlineStr">
        <is>
          <t>chave 342</t>
        </is>
      </c>
    </row>
    <row r="344">
      <c r="A344" s="2" t="n">
        <v>343</v>
      </c>
      <c r="B344" s="3" t="inlineStr">
        <is>
          <t xml:space="preserve">OPCAO DISTRIBUIDORA EM GERAL LTDA </t>
        </is>
      </c>
      <c r="C344" s="3" t="inlineStr">
        <is>
          <t>NORTE</t>
        </is>
      </c>
      <c r="D344" s="3" t="inlineStr">
        <is>
          <t>PA</t>
        </is>
      </c>
      <c r="E344" s="3" t="inlineStr">
        <is>
          <t>REDENÇÃO</t>
        </is>
      </c>
      <c r="F344" s="3" t="inlineStr">
        <is>
          <t xml:space="preserve">SANTOS DUMONT </t>
        </is>
      </c>
      <c r="G344" s="3" t="inlineStr">
        <is>
          <t>68551060</t>
        </is>
      </c>
      <c r="H344" s="3" t="inlineStr">
        <is>
          <t>Rodrigo</t>
        </is>
      </c>
      <c r="I344" s="3" t="inlineStr">
        <is>
          <t>Pontual</t>
        </is>
      </c>
      <c r="J344" s="2" t="n">
        <v>1673</v>
      </c>
      <c r="K344" s="3" t="inlineStr">
        <is>
          <t>Semana 3</t>
        </is>
      </c>
      <c r="L344" s="3" t="inlineStr">
        <is>
          <t>Normal</t>
        </is>
      </c>
      <c r="M344" s="3" t="inlineStr">
        <is>
          <t>chave 343</t>
        </is>
      </c>
    </row>
    <row r="345">
      <c r="A345" s="2" t="n">
        <v>344</v>
      </c>
      <c r="B345" s="3" t="inlineStr">
        <is>
          <t xml:space="preserve">COMERCIAL CENTRAL LTDA </t>
        </is>
      </c>
      <c r="C345" s="3" t="inlineStr">
        <is>
          <t>NORTE</t>
        </is>
      </c>
      <c r="D345" s="3" t="inlineStr">
        <is>
          <t>PA</t>
        </is>
      </c>
      <c r="E345" s="3" t="inlineStr">
        <is>
          <t>Santarém</t>
        </is>
      </c>
      <c r="F345" s="3" t="inlineStr">
        <is>
          <t xml:space="preserve">CENTRO </t>
        </is>
      </c>
      <c r="G345" s="3" t="inlineStr">
        <is>
          <t>68005000</t>
        </is>
      </c>
      <c r="H345" s="3" t="inlineStr">
        <is>
          <t>Rodrigo</t>
        </is>
      </c>
      <c r="I345" s="3" t="inlineStr">
        <is>
          <t>Pontual</t>
        </is>
      </c>
      <c r="J345" s="2" t="n">
        <v>1673</v>
      </c>
      <c r="K345" s="3" t="inlineStr">
        <is>
          <t>Semana 3</t>
        </is>
      </c>
      <c r="L345" s="3" t="inlineStr">
        <is>
          <t>Normal</t>
        </is>
      </c>
      <c r="M345" s="3" t="inlineStr">
        <is>
          <t>chave 344</t>
        </is>
      </c>
    </row>
    <row r="346">
      <c r="A346" s="2" t="n">
        <v>345</v>
      </c>
      <c r="B346" s="3" t="inlineStr">
        <is>
          <t xml:space="preserve">LUCIMARI ROCHA DOS SANTOS LTDA </t>
        </is>
      </c>
      <c r="C346" s="3" t="inlineStr">
        <is>
          <t>NORTE</t>
        </is>
      </c>
      <c r="D346" s="3" t="inlineStr">
        <is>
          <t>PA</t>
        </is>
      </c>
      <c r="E346" s="3" t="inlineStr">
        <is>
          <t>PARAUAPEBAS</t>
        </is>
      </c>
      <c r="F346" s="3" t="inlineStr">
        <is>
          <t xml:space="preserve">CIDADE NOVA </t>
        </is>
      </c>
      <c r="G346" s="3" t="inlineStr">
        <is>
          <t>68515000</t>
        </is>
      </c>
      <c r="H346" s="3" t="inlineStr">
        <is>
          <t>Rodrigo</t>
        </is>
      </c>
      <c r="I346" s="3" t="inlineStr">
        <is>
          <t>Pontual</t>
        </is>
      </c>
      <c r="J346" s="2" t="n">
        <v>1673</v>
      </c>
      <c r="K346" s="3" t="inlineStr">
        <is>
          <t>Semana 3</t>
        </is>
      </c>
      <c r="L346" s="3" t="inlineStr">
        <is>
          <t>Normal</t>
        </is>
      </c>
      <c r="M346" s="3" t="inlineStr">
        <is>
          <t>chave 345</t>
        </is>
      </c>
    </row>
    <row r="347">
      <c r="A347" s="2" t="n">
        <v>346</v>
      </c>
      <c r="B347" s="3" t="inlineStr">
        <is>
          <t xml:space="preserve">JURANDY F RAMOS LTDA </t>
        </is>
      </c>
      <c r="C347" s="3" t="inlineStr">
        <is>
          <t>NORTE</t>
        </is>
      </c>
      <c r="D347" s="3" t="inlineStr">
        <is>
          <t>PA</t>
        </is>
      </c>
      <c r="E347" s="3" t="inlineStr">
        <is>
          <t>São Miguel do Guamá</t>
        </is>
      </c>
      <c r="F347" s="3" t="inlineStr">
        <is>
          <t xml:space="preserve">CENTRO </t>
        </is>
      </c>
      <c r="G347" s="3" t="inlineStr">
        <is>
          <t>68660000</t>
        </is>
      </c>
      <c r="H347" s="3" t="inlineStr">
        <is>
          <t>Rodrigo</t>
        </is>
      </c>
      <c r="I347" s="3" t="inlineStr">
        <is>
          <t>Pontual</t>
        </is>
      </c>
      <c r="J347" s="2" t="n">
        <v>1673</v>
      </c>
      <c r="K347" s="3" t="inlineStr">
        <is>
          <t>Semana 3</t>
        </is>
      </c>
      <c r="L347" s="3" t="inlineStr">
        <is>
          <t>Normal</t>
        </is>
      </c>
      <c r="M347" s="3" t="inlineStr">
        <is>
          <t>chave 346</t>
        </is>
      </c>
    </row>
    <row r="348">
      <c r="A348" s="2" t="n">
        <v>347</v>
      </c>
      <c r="B348" s="3" t="inlineStr">
        <is>
          <t xml:space="preserve">COMERCIAL VEREDAS LTDA </t>
        </is>
      </c>
      <c r="C348" s="3" t="inlineStr">
        <is>
          <t>NORTE</t>
        </is>
      </c>
      <c r="D348" s="3" t="inlineStr">
        <is>
          <t>PA</t>
        </is>
      </c>
      <c r="E348" s="3" t="inlineStr">
        <is>
          <t>Marabá</t>
        </is>
      </c>
      <c r="F348" s="3" t="inlineStr">
        <is>
          <t xml:space="preserve">SAO FELIX I </t>
        </is>
      </c>
      <c r="G348" s="3" t="inlineStr">
        <is>
          <t>68506000</t>
        </is>
      </c>
      <c r="H348" s="3" t="inlineStr">
        <is>
          <t>Rodrigo</t>
        </is>
      </c>
      <c r="I348" s="3" t="inlineStr">
        <is>
          <t>Pontual</t>
        </is>
      </c>
      <c r="J348" s="2" t="n">
        <v>1673</v>
      </c>
      <c r="K348" s="3" t="inlineStr">
        <is>
          <t>Semana 3</t>
        </is>
      </c>
      <c r="L348" s="3" t="inlineStr">
        <is>
          <t>Normal</t>
        </is>
      </c>
      <c r="M348" s="3" t="inlineStr">
        <is>
          <t>chave 347</t>
        </is>
      </c>
    </row>
    <row r="349">
      <c r="A349" s="2" t="n">
        <v>348</v>
      </c>
      <c r="B349" s="3" t="inlineStr">
        <is>
          <t xml:space="preserve">M. C. S. SILVA </t>
        </is>
      </c>
      <c r="C349" s="3" t="inlineStr">
        <is>
          <t>NORTE</t>
        </is>
      </c>
      <c r="D349" s="3" t="inlineStr">
        <is>
          <t>PA</t>
        </is>
      </c>
      <c r="E349" s="3" t="inlineStr">
        <is>
          <t>Bragança</t>
        </is>
      </c>
      <c r="F349" s="3" t="inlineStr">
        <is>
          <t xml:space="preserve">CENTRO </t>
        </is>
      </c>
      <c r="G349" s="3" t="inlineStr">
        <is>
          <t>68600000</t>
        </is>
      </c>
      <c r="H349" s="3" t="inlineStr">
        <is>
          <t>Rodrigo</t>
        </is>
      </c>
      <c r="I349" s="3" t="inlineStr">
        <is>
          <t>Pontual</t>
        </is>
      </c>
      <c r="J349" s="2" t="n">
        <v>1673</v>
      </c>
      <c r="K349" s="3" t="inlineStr">
        <is>
          <t>Semana 2</t>
        </is>
      </c>
      <c r="L349" s="3" t="inlineStr">
        <is>
          <t>Normal</t>
        </is>
      </c>
      <c r="M349" s="3" t="inlineStr">
        <is>
          <t>chave 348</t>
        </is>
      </c>
    </row>
    <row r="350">
      <c r="A350" s="2" t="n">
        <v>349</v>
      </c>
      <c r="B350" s="3" t="inlineStr">
        <is>
          <t xml:space="preserve">NI COMERCIO DE UTILIDADES DOMESTICAS LTDA </t>
        </is>
      </c>
      <c r="C350" s="3" t="inlineStr">
        <is>
          <t>NORTE</t>
        </is>
      </c>
      <c r="D350" s="3" t="inlineStr">
        <is>
          <t>PA</t>
        </is>
      </c>
      <c r="E350" s="3" t="inlineStr">
        <is>
          <t>Ananindeua</t>
        </is>
      </c>
      <c r="F350" s="3" t="inlineStr">
        <is>
          <t xml:space="preserve">COQUEIRO </t>
        </is>
      </c>
      <c r="G350" s="3" t="inlineStr">
        <is>
          <t>67140550</t>
        </is>
      </c>
      <c r="H350" s="3" t="inlineStr">
        <is>
          <t>Rodrigo</t>
        </is>
      </c>
      <c r="I350" s="3" t="inlineStr">
        <is>
          <t>Pontual</t>
        </is>
      </c>
      <c r="J350" s="2" t="n">
        <v>1673</v>
      </c>
      <c r="K350" s="3" t="inlineStr">
        <is>
          <t>Semana 2</t>
        </is>
      </c>
      <c r="L350" s="3" t="inlineStr">
        <is>
          <t>Normal</t>
        </is>
      </c>
      <c r="M350" s="3" t="inlineStr">
        <is>
          <t>chave 349</t>
        </is>
      </c>
    </row>
    <row r="351">
      <c r="A351" s="2" t="n">
        <v>350</v>
      </c>
      <c r="B351" s="3" t="inlineStr">
        <is>
          <t xml:space="preserve">COLMEIA COMERCIO VAREJISTA DE ARTIGOS DE PAPELARIA &amp; VARIEDADES LTDA </t>
        </is>
      </c>
      <c r="C351" s="3" t="inlineStr">
        <is>
          <t>NORTE</t>
        </is>
      </c>
      <c r="D351" s="3" t="inlineStr">
        <is>
          <t>PA</t>
        </is>
      </c>
      <c r="E351" s="3" t="inlineStr">
        <is>
          <t>Ananindeua</t>
        </is>
      </c>
      <c r="F351" s="3" t="inlineStr">
        <is>
          <t xml:space="preserve">GUANABARA </t>
        </is>
      </c>
      <c r="G351" s="3" t="inlineStr">
        <is>
          <t>67010320</t>
        </is>
      </c>
      <c r="H351" s="3" t="inlineStr">
        <is>
          <t>Rodrigo</t>
        </is>
      </c>
      <c r="I351" s="3" t="inlineStr">
        <is>
          <t>Pontual</t>
        </is>
      </c>
      <c r="J351" s="2" t="n">
        <v>1673</v>
      </c>
      <c r="K351" s="3" t="inlineStr">
        <is>
          <t>Semana 2</t>
        </is>
      </c>
      <c r="L351" s="3" t="inlineStr">
        <is>
          <t>Normal</t>
        </is>
      </c>
      <c r="M351" s="3" t="inlineStr">
        <is>
          <t>chave 350</t>
        </is>
      </c>
    </row>
    <row r="352">
      <c r="A352" s="2" t="n">
        <v>351</v>
      </c>
      <c r="B352" s="3" t="inlineStr">
        <is>
          <t xml:space="preserve">R M P DA SILVA LTDA </t>
        </is>
      </c>
      <c r="C352" s="3" t="inlineStr">
        <is>
          <t>NORTE</t>
        </is>
      </c>
      <c r="D352" s="3" t="inlineStr">
        <is>
          <t>PA</t>
        </is>
      </c>
      <c r="E352" s="3" t="inlineStr">
        <is>
          <t>MONTE ALEGRE</t>
        </is>
      </c>
      <c r="F352" s="3" t="inlineStr">
        <is>
          <t xml:space="preserve">CIDADE ALTA </t>
        </is>
      </c>
      <c r="G352" s="3" t="inlineStr">
        <is>
          <t>68220000</t>
        </is>
      </c>
      <c r="H352" s="3" t="inlineStr">
        <is>
          <t>Rodrigo</t>
        </is>
      </c>
      <c r="I352" s="3" t="inlineStr">
        <is>
          <t>Pontual</t>
        </is>
      </c>
      <c r="J352" s="2" t="n">
        <v>1673</v>
      </c>
      <c r="K352" s="3" t="inlineStr">
        <is>
          <t>Semana 3</t>
        </is>
      </c>
      <c r="L352" s="3" t="inlineStr">
        <is>
          <t>Normal</t>
        </is>
      </c>
      <c r="M352" s="3" t="inlineStr">
        <is>
          <t>chave 351</t>
        </is>
      </c>
    </row>
    <row r="353">
      <c r="A353" s="2" t="n">
        <v>352</v>
      </c>
      <c r="B353" s="3" t="inlineStr">
        <is>
          <t xml:space="preserve">MATRIX COMERCIO DE ARTIGOS ESCOLARES LTDA </t>
        </is>
      </c>
      <c r="C353" s="3" t="inlineStr">
        <is>
          <t>NORTE</t>
        </is>
      </c>
      <c r="D353" s="3" t="inlineStr">
        <is>
          <t>PA</t>
        </is>
      </c>
      <c r="E353" s="3" t="inlineStr">
        <is>
          <t>Belém</t>
        </is>
      </c>
      <c r="F353" s="3" t="inlineStr">
        <is>
          <t xml:space="preserve">CAMPINA </t>
        </is>
      </c>
      <c r="G353" s="3" t="inlineStr">
        <is>
          <t>66015020</t>
        </is>
      </c>
      <c r="H353" s="3" t="inlineStr">
        <is>
          <t>Rodrigo</t>
        </is>
      </c>
      <c r="I353" s="3" t="inlineStr">
        <is>
          <t>Estratégico</t>
        </is>
      </c>
      <c r="J353" s="2" t="n">
        <v>1673</v>
      </c>
      <c r="K353" s="3" t="inlineStr">
        <is>
          <t>Semana 1</t>
        </is>
      </c>
      <c r="L353" s="3" t="inlineStr">
        <is>
          <t>Alta</t>
        </is>
      </c>
      <c r="M353" s="3" t="inlineStr">
        <is>
          <t>chave 352</t>
        </is>
      </c>
    </row>
    <row r="354">
      <c r="A354" s="2" t="n">
        <v>353</v>
      </c>
      <c r="B354" s="3" t="inlineStr">
        <is>
          <t xml:space="preserve">COMERCIAL MULT VARIEDADES LTDA </t>
        </is>
      </c>
      <c r="C354" s="3" t="inlineStr">
        <is>
          <t>NORTE</t>
        </is>
      </c>
      <c r="D354" s="3" t="inlineStr">
        <is>
          <t>PA</t>
        </is>
      </c>
      <c r="E354" s="3" t="inlineStr">
        <is>
          <t>SANTARÉM</t>
        </is>
      </c>
      <c r="F354" s="3" t="inlineStr">
        <is>
          <t xml:space="preserve">CENTRO </t>
        </is>
      </c>
      <c r="G354" s="3" t="inlineStr">
        <is>
          <t>68005340</t>
        </is>
      </c>
      <c r="H354" s="3" t="inlineStr">
        <is>
          <t>Rodrigo</t>
        </is>
      </c>
      <c r="I354" s="3" t="inlineStr">
        <is>
          <t>Pontual</t>
        </is>
      </c>
      <c r="J354" s="2" t="n">
        <v>1673</v>
      </c>
      <c r="K354" s="3" t="inlineStr">
        <is>
          <t>Semana 3</t>
        </is>
      </c>
      <c r="L354" s="3" t="inlineStr">
        <is>
          <t>Normal</t>
        </is>
      </c>
      <c r="M354" s="3" t="inlineStr">
        <is>
          <t>chave 353</t>
        </is>
      </c>
    </row>
    <row r="355">
      <c r="A355" s="2" t="n">
        <v>354</v>
      </c>
      <c r="B355" s="3" t="inlineStr">
        <is>
          <t xml:space="preserve">MEL PAPELARIA E PRESENTES LTDA </t>
        </is>
      </c>
      <c r="C355" s="3" t="inlineStr">
        <is>
          <t>NORTE</t>
        </is>
      </c>
      <c r="D355" s="3" t="inlineStr">
        <is>
          <t>PA</t>
        </is>
      </c>
      <c r="E355" s="3" t="inlineStr">
        <is>
          <t>Parauapebas</t>
        </is>
      </c>
      <c r="F355" s="3" t="inlineStr">
        <is>
          <t xml:space="preserve">PRIMAVERA </t>
        </is>
      </c>
      <c r="G355" s="3" t="inlineStr">
        <is>
          <t>68515000</t>
        </is>
      </c>
      <c r="H355" s="3" t="inlineStr">
        <is>
          <t>Rodrigo</t>
        </is>
      </c>
      <c r="I355" s="3" t="inlineStr">
        <is>
          <t>Pontual</t>
        </is>
      </c>
      <c r="J355" s="2" t="n">
        <v>1673</v>
      </c>
      <c r="K355" s="3" t="inlineStr">
        <is>
          <t>Semana 3</t>
        </is>
      </c>
      <c r="L355" s="3" t="inlineStr">
        <is>
          <t>Normal</t>
        </is>
      </c>
      <c r="M355" s="3" t="inlineStr">
        <is>
          <t>chave 354</t>
        </is>
      </c>
    </row>
    <row r="356">
      <c r="A356" s="2" t="n">
        <v>355</v>
      </c>
      <c r="B356" s="3" t="inlineStr">
        <is>
          <t xml:space="preserve">DESCARTAVEIS E ARMARINHO DA FEIRA LTDA </t>
        </is>
      </c>
      <c r="C356" s="3" t="inlineStr">
        <is>
          <t>NORTE</t>
        </is>
      </c>
      <c r="D356" s="3" t="inlineStr">
        <is>
          <t>PA</t>
        </is>
      </c>
      <c r="E356" s="3" t="inlineStr">
        <is>
          <t>Tomé-Açu</t>
        </is>
      </c>
      <c r="F356" s="3" t="inlineStr">
        <is>
          <t xml:space="preserve">QUATRO BOCAS </t>
        </is>
      </c>
      <c r="G356" s="3" t="inlineStr">
        <is>
          <t>68682000</t>
        </is>
      </c>
      <c r="H356" s="3" t="inlineStr">
        <is>
          <t>Rodrigo</t>
        </is>
      </c>
      <c r="I356" s="3" t="inlineStr">
        <is>
          <t>Pontual</t>
        </is>
      </c>
      <c r="J356" s="2" t="n">
        <v>1673</v>
      </c>
      <c r="K356" s="3" t="inlineStr">
        <is>
          <t>Semana 3</t>
        </is>
      </c>
      <c r="L356" s="3" t="inlineStr">
        <is>
          <t>Normal</t>
        </is>
      </c>
      <c r="M356" s="3" t="inlineStr">
        <is>
          <t>chave 355</t>
        </is>
      </c>
    </row>
    <row r="357">
      <c r="A357" s="2" t="n">
        <v>356</v>
      </c>
      <c r="B357" s="3" t="inlineStr">
        <is>
          <t xml:space="preserve">AMAZONIA COMERCIO DE ARTIGOS DE ARMARINHO LTDA </t>
        </is>
      </c>
      <c r="C357" s="3" t="inlineStr">
        <is>
          <t>NORTE</t>
        </is>
      </c>
      <c r="D357" s="3" t="inlineStr">
        <is>
          <t>PA</t>
        </is>
      </c>
      <c r="E357" s="3" t="inlineStr">
        <is>
          <t>CASTANHAL</t>
        </is>
      </c>
      <c r="F357" s="3" t="inlineStr">
        <is>
          <t xml:space="preserve">CENTRO </t>
        </is>
      </c>
      <c r="G357" s="3" t="inlineStr">
        <is>
          <t>68743060</t>
        </is>
      </c>
      <c r="H357" s="3" t="inlineStr">
        <is>
          <t>Rodrigo</t>
        </is>
      </c>
      <c r="I357" s="3" t="inlineStr">
        <is>
          <t>Pontual</t>
        </is>
      </c>
      <c r="J357" s="2" t="n">
        <v>1673</v>
      </c>
      <c r="K357" s="3" t="inlineStr">
        <is>
          <t>Semana 2</t>
        </is>
      </c>
      <c r="L357" s="3" t="inlineStr">
        <is>
          <t>Normal</t>
        </is>
      </c>
      <c r="M357" s="3" t="inlineStr">
        <is>
          <t>chave 356</t>
        </is>
      </c>
    </row>
    <row r="358">
      <c r="A358" s="2" t="n">
        <v>357</v>
      </c>
      <c r="B358" s="3" t="inlineStr">
        <is>
          <t xml:space="preserve">PAPELARIA COPYTEC LTDA </t>
        </is>
      </c>
      <c r="C358" s="3" t="inlineStr">
        <is>
          <t>NORTE</t>
        </is>
      </c>
      <c r="D358" s="3" t="inlineStr">
        <is>
          <t>PA</t>
        </is>
      </c>
      <c r="E358" s="3" t="inlineStr">
        <is>
          <t>CAPITÃO POÇO</t>
        </is>
      </c>
      <c r="F358" s="3" t="inlineStr">
        <is>
          <t xml:space="preserve">GOIABARANA </t>
        </is>
      </c>
      <c r="G358" s="3" t="inlineStr">
        <is>
          <t>68650000</t>
        </is>
      </c>
      <c r="H358" s="3" t="inlineStr">
        <is>
          <t>Rodrigo</t>
        </is>
      </c>
      <c r="I358" s="3" t="inlineStr">
        <is>
          <t>Pontual</t>
        </is>
      </c>
      <c r="J358" s="2" t="n">
        <v>1673</v>
      </c>
      <c r="K358" s="3" t="inlineStr">
        <is>
          <t>Semana 2</t>
        </is>
      </c>
      <c r="L358" s="3" t="inlineStr">
        <is>
          <t>Normal</t>
        </is>
      </c>
      <c r="M358" s="3" t="inlineStr">
        <is>
          <t>chave 357</t>
        </is>
      </c>
    </row>
    <row r="359">
      <c r="A359" s="2" t="n">
        <v>358</v>
      </c>
      <c r="B359" s="3" t="inlineStr">
        <is>
          <t xml:space="preserve">TOP COMERCIO DE UTILIDADES LTDA </t>
        </is>
      </c>
      <c r="C359" s="3" t="inlineStr">
        <is>
          <t>NORTE</t>
        </is>
      </c>
      <c r="D359" s="3" t="inlineStr">
        <is>
          <t>PA</t>
        </is>
      </c>
      <c r="E359" s="3" t="inlineStr">
        <is>
          <t>Parauapebas</t>
        </is>
      </c>
      <c r="F359" s="3" t="inlineStr">
        <is>
          <t xml:space="preserve">UNIAO </t>
        </is>
      </c>
      <c r="G359" s="3" t="inlineStr">
        <is>
          <t>68515000</t>
        </is>
      </c>
      <c r="H359" s="3" t="inlineStr">
        <is>
          <t>Rodrigo</t>
        </is>
      </c>
      <c r="I359" s="3" t="inlineStr">
        <is>
          <t>Pontual</t>
        </is>
      </c>
      <c r="J359" s="2" t="n">
        <v>1673</v>
      </c>
      <c r="K359" s="3" t="inlineStr">
        <is>
          <t>Semana 3</t>
        </is>
      </c>
      <c r="L359" s="3" t="inlineStr">
        <is>
          <t>Normal</t>
        </is>
      </c>
      <c r="M359" s="3" t="inlineStr">
        <is>
          <t>chave 358</t>
        </is>
      </c>
    </row>
    <row r="360">
      <c r="A360" s="2" t="n">
        <v>359</v>
      </c>
      <c r="B360" s="3" t="inlineStr">
        <is>
          <t xml:space="preserve">M C COMERCIO E SERVICO LTDA </t>
        </is>
      </c>
      <c r="C360" s="3" t="inlineStr">
        <is>
          <t>NORTE</t>
        </is>
      </c>
      <c r="D360" s="3" t="inlineStr">
        <is>
          <t>PA</t>
        </is>
      </c>
      <c r="E360" s="3" t="inlineStr">
        <is>
          <t>CASTANHAL</t>
        </is>
      </c>
      <c r="F360" s="3" t="inlineStr">
        <is>
          <t xml:space="preserve">IANETAMA </t>
        </is>
      </c>
      <c r="G360" s="3" t="inlineStr">
        <is>
          <t>68744580</t>
        </is>
      </c>
      <c r="H360" s="3" t="inlineStr">
        <is>
          <t>Rodrigo</t>
        </is>
      </c>
      <c r="I360" s="3" t="inlineStr">
        <is>
          <t>Pontual</t>
        </is>
      </c>
      <c r="J360" s="2" t="n">
        <v>1673</v>
      </c>
      <c r="K360" s="3" t="inlineStr">
        <is>
          <t>Semana 2</t>
        </is>
      </c>
      <c r="L360" s="3" t="inlineStr">
        <is>
          <t>Normal</t>
        </is>
      </c>
      <c r="M360" s="3" t="inlineStr">
        <is>
          <t>chave 359</t>
        </is>
      </c>
    </row>
    <row r="361">
      <c r="A361" s="2" t="n">
        <v>360</v>
      </c>
      <c r="B361" s="3" t="inlineStr">
        <is>
          <t xml:space="preserve">PAPELARIA PARA MINAS LTDA </t>
        </is>
      </c>
      <c r="C361" s="3" t="inlineStr">
        <is>
          <t>NORTE</t>
        </is>
      </c>
      <c r="D361" s="3" t="inlineStr">
        <is>
          <t>PA</t>
        </is>
      </c>
      <c r="E361" s="3" t="inlineStr">
        <is>
          <t>BARCARENA</t>
        </is>
      </c>
      <c r="F361" s="3" t="inlineStr">
        <is>
          <t xml:space="preserve">VILA DOS CABANOS </t>
        </is>
      </c>
      <c r="G361" s="3" t="inlineStr">
        <is>
          <t>68447000</t>
        </is>
      </c>
      <c r="H361" s="3" t="inlineStr">
        <is>
          <t>Rodrigo</t>
        </is>
      </c>
      <c r="I361" s="3" t="inlineStr">
        <is>
          <t>Pontual</t>
        </is>
      </c>
      <c r="J361" s="2" t="n">
        <v>1673</v>
      </c>
      <c r="K361" s="3" t="inlineStr">
        <is>
          <t>Semana 2</t>
        </is>
      </c>
      <c r="L361" s="3" t="inlineStr">
        <is>
          <t>Normal</t>
        </is>
      </c>
      <c r="M361" s="3" t="inlineStr">
        <is>
          <t>chave 360</t>
        </is>
      </c>
    </row>
    <row r="362">
      <c r="A362" s="2" t="n">
        <v>361</v>
      </c>
      <c r="B362" s="3" t="inlineStr">
        <is>
          <t xml:space="preserve">PIAU FORMULARIO LTDA </t>
        </is>
      </c>
      <c r="C362" s="3" t="inlineStr">
        <is>
          <t>NORTE</t>
        </is>
      </c>
      <c r="D362" s="3" t="inlineStr">
        <is>
          <t>PA</t>
        </is>
      </c>
      <c r="E362" s="3" t="inlineStr">
        <is>
          <t>Santarém</t>
        </is>
      </c>
      <c r="F362" s="3" t="inlineStr">
        <is>
          <t xml:space="preserve">ALDEIA </t>
        </is>
      </c>
      <c r="G362" s="3" t="inlineStr">
        <is>
          <t>68040040</t>
        </is>
      </c>
      <c r="H362" s="3" t="inlineStr">
        <is>
          <t>Rodrigo</t>
        </is>
      </c>
      <c r="I362" s="3" t="inlineStr">
        <is>
          <t>Pontual</t>
        </is>
      </c>
      <c r="J362" s="2" t="n">
        <v>1673</v>
      </c>
      <c r="K362" s="3" t="inlineStr">
        <is>
          <t>Semana 3</t>
        </is>
      </c>
      <c r="L362" s="3" t="inlineStr">
        <is>
          <t>Normal</t>
        </is>
      </c>
      <c r="M362" s="3" t="inlineStr">
        <is>
          <t>chave 361</t>
        </is>
      </c>
    </row>
    <row r="363">
      <c r="A363" s="2" t="n">
        <v>362</v>
      </c>
      <c r="B363" s="3" t="inlineStr">
        <is>
          <t xml:space="preserve">T S SOUZA DE SOUSA </t>
        </is>
      </c>
      <c r="C363" s="3" t="inlineStr">
        <is>
          <t>NORTE</t>
        </is>
      </c>
      <c r="D363" s="3" t="inlineStr">
        <is>
          <t>PA</t>
        </is>
      </c>
      <c r="E363" s="3" t="inlineStr">
        <is>
          <t>ANANINDEUA</t>
        </is>
      </c>
      <c r="F363" s="3" t="inlineStr">
        <is>
          <t xml:space="preserve">COQUEIRO </t>
        </is>
      </c>
      <c r="G363" s="3" t="inlineStr">
        <is>
          <t>67013970</t>
        </is>
      </c>
      <c r="H363" s="3" t="inlineStr">
        <is>
          <t>Rodrigo</t>
        </is>
      </c>
      <c r="I363" s="3" t="inlineStr">
        <is>
          <t>Pontual</t>
        </is>
      </c>
      <c r="J363" s="2" t="n">
        <v>1673</v>
      </c>
      <c r="K363" s="3" t="inlineStr">
        <is>
          <t>Semana 2</t>
        </is>
      </c>
      <c r="L363" s="3" t="inlineStr">
        <is>
          <t>Normal</t>
        </is>
      </c>
      <c r="M363" s="3" t="inlineStr">
        <is>
          <t>chave 362</t>
        </is>
      </c>
    </row>
    <row r="364">
      <c r="A364" s="2" t="n">
        <v>363</v>
      </c>
      <c r="B364" s="3" t="inlineStr">
        <is>
          <t xml:space="preserve">V A BESSA LTDA </t>
        </is>
      </c>
      <c r="C364" s="3" t="inlineStr">
        <is>
          <t>NORTE</t>
        </is>
      </c>
      <c r="D364" s="3" t="inlineStr">
        <is>
          <t>PA</t>
        </is>
      </c>
      <c r="E364" s="3" t="inlineStr">
        <is>
          <t>ANANINDEUA</t>
        </is>
      </c>
      <c r="F364" s="3" t="inlineStr">
        <is>
          <t xml:space="preserve">MAGUARI </t>
        </is>
      </c>
      <c r="G364" s="3" t="inlineStr">
        <is>
          <t>67145290</t>
        </is>
      </c>
      <c r="H364" s="3" t="inlineStr">
        <is>
          <t>Rodrigo</t>
        </is>
      </c>
      <c r="I364" s="3" t="inlineStr">
        <is>
          <t>Pontual</t>
        </is>
      </c>
      <c r="J364" s="2" t="n">
        <v>1673</v>
      </c>
      <c r="K364" s="3" t="inlineStr">
        <is>
          <t>Semana 2</t>
        </is>
      </c>
      <c r="L364" s="3" t="inlineStr">
        <is>
          <t>Normal</t>
        </is>
      </c>
      <c r="M364" s="3" t="inlineStr">
        <is>
          <t>chave 363</t>
        </is>
      </c>
    </row>
    <row r="365">
      <c r="A365" s="2" t="n">
        <v>364</v>
      </c>
      <c r="B365" s="3" t="inlineStr">
        <is>
          <t xml:space="preserve">S &amp; J COMERCIO DE ALIMENTOS E CONFECCOES LTDA </t>
        </is>
      </c>
      <c r="C365" s="3" t="inlineStr">
        <is>
          <t>NORTE</t>
        </is>
      </c>
      <c r="D365" s="3" t="inlineStr">
        <is>
          <t>PA</t>
        </is>
      </c>
      <c r="E365" s="3" t="inlineStr">
        <is>
          <t>BARCARENA</t>
        </is>
      </c>
      <c r="F365" s="3" t="inlineStr">
        <is>
          <t xml:space="preserve">PIONEIRO </t>
        </is>
      </c>
      <c r="G365" s="3" t="inlineStr">
        <is>
          <t>68447000</t>
        </is>
      </c>
      <c r="H365" s="3" t="inlineStr">
        <is>
          <t>Rodrigo</t>
        </is>
      </c>
      <c r="I365" s="3" t="inlineStr">
        <is>
          <t>Pontual</t>
        </is>
      </c>
      <c r="J365" s="2" t="n">
        <v>1673</v>
      </c>
      <c r="K365" s="3" t="inlineStr">
        <is>
          <t>Semana 2</t>
        </is>
      </c>
      <c r="L365" s="3" t="inlineStr">
        <is>
          <t>Normal</t>
        </is>
      </c>
      <c r="M365" s="3" t="inlineStr">
        <is>
          <t>chave 364</t>
        </is>
      </c>
    </row>
    <row r="366">
      <c r="A366" s="2" t="n">
        <v>365</v>
      </c>
      <c r="B366" s="3" t="inlineStr">
        <is>
          <t xml:space="preserve">A R COMERCIAL LTDA </t>
        </is>
      </c>
      <c r="C366" s="3" t="inlineStr">
        <is>
          <t>NORTE</t>
        </is>
      </c>
      <c r="D366" s="3" t="inlineStr">
        <is>
          <t>PA</t>
        </is>
      </c>
      <c r="E366" s="3" t="inlineStr">
        <is>
          <t>Santarém</t>
        </is>
      </c>
      <c r="F366" s="3" t="inlineStr">
        <is>
          <t xml:space="preserve">DIAMANTINO </t>
        </is>
      </c>
      <c r="G366" s="3" t="inlineStr">
        <is>
          <t>68010130</t>
        </is>
      </c>
      <c r="H366" s="3" t="inlineStr">
        <is>
          <t>Rodrigo</t>
        </is>
      </c>
      <c r="I366" s="3" t="inlineStr">
        <is>
          <t>Pontual</t>
        </is>
      </c>
      <c r="J366" s="2" t="n">
        <v>1673</v>
      </c>
      <c r="K366" s="3" t="inlineStr">
        <is>
          <t>Semana 3</t>
        </is>
      </c>
      <c r="L366" s="3" t="inlineStr">
        <is>
          <t>Normal</t>
        </is>
      </c>
      <c r="M366" s="3" t="inlineStr">
        <is>
          <t>chave 365</t>
        </is>
      </c>
    </row>
    <row r="367">
      <c r="A367" s="2" t="n">
        <v>366</v>
      </c>
      <c r="B367" s="3" t="inlineStr">
        <is>
          <t xml:space="preserve">APRENDIZ COMERCIO DE PAPELARIA LTDA </t>
        </is>
      </c>
      <c r="C367" s="3" t="inlineStr">
        <is>
          <t>NORTE</t>
        </is>
      </c>
      <c r="D367" s="3" t="inlineStr">
        <is>
          <t>PA</t>
        </is>
      </c>
      <c r="E367" s="3" t="inlineStr">
        <is>
          <t>ABAETETUBA</t>
        </is>
      </c>
      <c r="F367" s="3" t="inlineStr">
        <is>
          <t xml:space="preserve">CENTRO </t>
        </is>
      </c>
      <c r="G367" s="3" t="inlineStr">
        <is>
          <t>68440000</t>
        </is>
      </c>
      <c r="H367" s="3" t="inlineStr">
        <is>
          <t>Rodrigo</t>
        </is>
      </c>
      <c r="I367" s="3" t="inlineStr">
        <is>
          <t>Pontual</t>
        </is>
      </c>
      <c r="J367" s="2" t="n">
        <v>1673</v>
      </c>
      <c r="K367" s="3" t="inlineStr">
        <is>
          <t>Semana 2</t>
        </is>
      </c>
      <c r="L367" s="3" t="inlineStr">
        <is>
          <t>Normal</t>
        </is>
      </c>
      <c r="M367" s="3" t="inlineStr">
        <is>
          <t>chave 366</t>
        </is>
      </c>
    </row>
    <row r="368">
      <c r="A368" s="2" t="n">
        <v>367</v>
      </c>
      <c r="B368" s="3" t="inlineStr">
        <is>
          <t xml:space="preserve">K LEAL DOS SANTOS COMERCIO E REPRESENTACOES </t>
        </is>
      </c>
      <c r="C368" s="3" t="inlineStr">
        <is>
          <t>NORTE</t>
        </is>
      </c>
      <c r="D368" s="3" t="inlineStr">
        <is>
          <t>PA</t>
        </is>
      </c>
      <c r="E368" s="3" t="inlineStr">
        <is>
          <t>Santarém</t>
        </is>
      </c>
      <c r="F368" s="3" t="inlineStr">
        <is>
          <t xml:space="preserve">LIBERDADE </t>
        </is>
      </c>
      <c r="G368" s="3" t="inlineStr">
        <is>
          <t>68040290</t>
        </is>
      </c>
      <c r="H368" s="3" t="inlineStr">
        <is>
          <t>Rodrigo</t>
        </is>
      </c>
      <c r="I368" s="3" t="inlineStr">
        <is>
          <t>Pontual</t>
        </is>
      </c>
      <c r="J368" s="2" t="n">
        <v>1673</v>
      </c>
      <c r="K368" s="3" t="inlineStr">
        <is>
          <t>Semana 3</t>
        </is>
      </c>
      <c r="L368" s="3" t="inlineStr">
        <is>
          <t>Normal</t>
        </is>
      </c>
      <c r="M368" s="3" t="inlineStr">
        <is>
          <t>chave 367</t>
        </is>
      </c>
    </row>
    <row r="369">
      <c r="A369" s="2" t="n">
        <v>368</v>
      </c>
      <c r="B369" s="3" t="inlineStr">
        <is>
          <t xml:space="preserve">BRINK PRESENTES LTDA </t>
        </is>
      </c>
      <c r="C369" s="3" t="inlineStr">
        <is>
          <t>NORTE</t>
        </is>
      </c>
      <c r="D369" s="3" t="inlineStr">
        <is>
          <t>PA</t>
        </is>
      </c>
      <c r="E369" s="3" t="inlineStr">
        <is>
          <t>PARAUAPEBAS</t>
        </is>
      </c>
      <c r="F369" s="3" t="inlineStr">
        <is>
          <t xml:space="preserve">CIDADE NOVA </t>
        </is>
      </c>
      <c r="G369" s="3" t="inlineStr">
        <is>
          <t>68515000</t>
        </is>
      </c>
      <c r="H369" s="3" t="inlineStr">
        <is>
          <t>Rodrigo</t>
        </is>
      </c>
      <c r="I369" s="3" t="inlineStr">
        <is>
          <t>Pontual</t>
        </is>
      </c>
      <c r="J369" s="2" t="n">
        <v>1673</v>
      </c>
      <c r="K369" s="3" t="inlineStr">
        <is>
          <t>Semana 3</t>
        </is>
      </c>
      <c r="L369" s="3" t="inlineStr">
        <is>
          <t>Normal</t>
        </is>
      </c>
      <c r="M369" s="3" t="inlineStr">
        <is>
          <t>chave 368</t>
        </is>
      </c>
    </row>
    <row r="370">
      <c r="A370" s="2" t="n">
        <v>369</v>
      </c>
      <c r="B370" s="3" t="inlineStr">
        <is>
          <t xml:space="preserve">L R COELHO CAVALCANTE LTDA </t>
        </is>
      </c>
      <c r="C370" s="3" t="inlineStr">
        <is>
          <t>NORTE</t>
        </is>
      </c>
      <c r="D370" s="3" t="inlineStr">
        <is>
          <t>PA</t>
        </is>
      </c>
      <c r="E370" s="3" t="inlineStr">
        <is>
          <t>ABAETETUBA</t>
        </is>
      </c>
      <c r="F370" s="3" t="inlineStr">
        <is>
          <t xml:space="preserve">CENTRO </t>
        </is>
      </c>
      <c r="G370" s="3" t="inlineStr">
        <is>
          <t>68440000</t>
        </is>
      </c>
      <c r="H370" s="3" t="inlineStr">
        <is>
          <t>Rodrigo</t>
        </is>
      </c>
      <c r="I370" s="3" t="inlineStr">
        <is>
          <t>Pontual</t>
        </is>
      </c>
      <c r="J370" s="2" t="n">
        <v>1673</v>
      </c>
      <c r="K370" s="3" t="inlineStr">
        <is>
          <t>Semana 2</t>
        </is>
      </c>
      <c r="L370" s="3" t="inlineStr">
        <is>
          <t>Normal</t>
        </is>
      </c>
      <c r="M370" s="3" t="inlineStr">
        <is>
          <t>chave 369</t>
        </is>
      </c>
    </row>
    <row r="371">
      <c r="A371" s="2" t="n">
        <v>370</v>
      </c>
      <c r="B371" s="3" t="inlineStr">
        <is>
          <t xml:space="preserve">A. R. DA SILVA COMERCIO E SERVICOS LTDA </t>
        </is>
      </c>
      <c r="C371" s="3" t="inlineStr">
        <is>
          <t>NORTE</t>
        </is>
      </c>
      <c r="D371" s="3" t="inlineStr">
        <is>
          <t>PA</t>
        </is>
      </c>
      <c r="E371" s="3" t="inlineStr">
        <is>
          <t>ITAITUBA</t>
        </is>
      </c>
      <c r="F371" s="3" t="inlineStr">
        <is>
          <t xml:space="preserve">DO BOM REMEDIO </t>
        </is>
      </c>
      <c r="G371" s="3" t="inlineStr">
        <is>
          <t>68180660</t>
        </is>
      </c>
      <c r="H371" s="3" t="inlineStr">
        <is>
          <t>Rodrigo</t>
        </is>
      </c>
      <c r="I371" s="3" t="inlineStr">
        <is>
          <t>Pontual</t>
        </is>
      </c>
      <c r="J371" s="2" t="n">
        <v>1673</v>
      </c>
      <c r="K371" s="3" t="inlineStr">
        <is>
          <t>Semana 3</t>
        </is>
      </c>
      <c r="L371" s="3" t="inlineStr">
        <is>
          <t>Normal</t>
        </is>
      </c>
      <c r="M371" s="3" t="inlineStr">
        <is>
          <t>chave 370</t>
        </is>
      </c>
    </row>
    <row r="372">
      <c r="A372" s="2" t="n">
        <v>371</v>
      </c>
      <c r="B372" s="3" t="inlineStr">
        <is>
          <t xml:space="preserve">A S LOPES COM. IND. GRAFICA LTDA </t>
        </is>
      </c>
      <c r="C372" s="3" t="inlineStr">
        <is>
          <t>NORTE</t>
        </is>
      </c>
      <c r="D372" s="3" t="inlineStr">
        <is>
          <t>PA</t>
        </is>
      </c>
      <c r="E372" s="3" t="inlineStr">
        <is>
          <t>Pacajá</t>
        </is>
      </c>
      <c r="F372" s="3" t="inlineStr">
        <is>
          <t xml:space="preserve">CENTRO </t>
        </is>
      </c>
      <c r="G372" s="3" t="inlineStr">
        <is>
          <t>68485000</t>
        </is>
      </c>
      <c r="H372" s="3" t="inlineStr">
        <is>
          <t>Rodrigo</t>
        </is>
      </c>
      <c r="I372" s="3" t="inlineStr">
        <is>
          <t>Pontual</t>
        </is>
      </c>
      <c r="J372" s="2" t="n">
        <v>1673</v>
      </c>
      <c r="K372" s="3" t="inlineStr">
        <is>
          <t>Semana 3</t>
        </is>
      </c>
      <c r="L372" s="3" t="inlineStr">
        <is>
          <t>Normal</t>
        </is>
      </c>
      <c r="M372" s="3" t="inlineStr">
        <is>
          <t>chave 371</t>
        </is>
      </c>
    </row>
    <row r="373">
      <c r="A373" s="2" t="n">
        <v>372</v>
      </c>
      <c r="B373" s="3" t="inlineStr">
        <is>
          <t xml:space="preserve">JORGE HENRIQUE SANTOS DE SOUSA </t>
        </is>
      </c>
      <c r="C373" s="3" t="inlineStr">
        <is>
          <t>NORTE</t>
        </is>
      </c>
      <c r="D373" s="3" t="inlineStr">
        <is>
          <t>PA</t>
        </is>
      </c>
      <c r="E373" s="3" t="inlineStr">
        <is>
          <t>BRASIL NOVO</t>
        </is>
      </c>
      <c r="F373" s="3" t="inlineStr">
        <is>
          <t xml:space="preserve">CENTRO </t>
        </is>
      </c>
      <c r="G373" s="3" t="inlineStr">
        <is>
          <t>68148000</t>
        </is>
      </c>
      <c r="H373" s="3" t="inlineStr">
        <is>
          <t>Rodrigo</t>
        </is>
      </c>
      <c r="I373" s="3" t="inlineStr">
        <is>
          <t>Pontual</t>
        </is>
      </c>
      <c r="J373" s="2" t="n">
        <v>1673</v>
      </c>
      <c r="K373" s="3" t="inlineStr">
        <is>
          <t>Semana 2</t>
        </is>
      </c>
      <c r="L373" s="3" t="inlineStr">
        <is>
          <t>Normal</t>
        </is>
      </c>
      <c r="M373" s="3" t="inlineStr">
        <is>
          <t>chave 372</t>
        </is>
      </c>
    </row>
    <row r="374">
      <c r="A374" s="2" t="n">
        <v>373</v>
      </c>
      <c r="B374" s="3" t="inlineStr">
        <is>
          <t xml:space="preserve">J. S. MENDES COMERCIO E SERVICOS LTDA </t>
        </is>
      </c>
      <c r="C374" s="3" t="inlineStr">
        <is>
          <t>NORTE</t>
        </is>
      </c>
      <c r="D374" s="3" t="inlineStr">
        <is>
          <t>PA</t>
        </is>
      </c>
      <c r="E374" s="3" t="inlineStr">
        <is>
          <t>Senador José Porfírio</t>
        </is>
      </c>
      <c r="F374" s="3" t="inlineStr">
        <is>
          <t xml:space="preserve">LINHARES </t>
        </is>
      </c>
      <c r="G374" s="3" t="inlineStr">
        <is>
          <t>68360000</t>
        </is>
      </c>
      <c r="H374" s="3" t="inlineStr">
        <is>
          <t>Rodrigo</t>
        </is>
      </c>
      <c r="I374" s="3" t="inlineStr">
        <is>
          <t>Pontual</t>
        </is>
      </c>
      <c r="J374" s="2" t="n">
        <v>1673</v>
      </c>
      <c r="K374" s="3" t="inlineStr">
        <is>
          <t>Semana 3</t>
        </is>
      </c>
      <c r="L374" s="3" t="inlineStr">
        <is>
          <t>Normal</t>
        </is>
      </c>
      <c r="M374" s="3" t="inlineStr">
        <is>
          <t>chave 373</t>
        </is>
      </c>
    </row>
    <row r="375">
      <c r="A375" s="2" t="n">
        <v>374</v>
      </c>
      <c r="B375" s="3" t="inlineStr">
        <is>
          <t xml:space="preserve">L C POZZER LTDA </t>
        </is>
      </c>
      <c r="C375" s="3" t="inlineStr">
        <is>
          <t>NORTE</t>
        </is>
      </c>
      <c r="D375" s="3" t="inlineStr">
        <is>
          <t>PA</t>
        </is>
      </c>
      <c r="E375" s="3" t="inlineStr">
        <is>
          <t>PARAGOMINAS</t>
        </is>
      </c>
      <c r="F375" s="3" t="inlineStr">
        <is>
          <t xml:space="preserve">CELIO MIRANDA / LOTAM. MOD. I </t>
        </is>
      </c>
      <c r="G375" s="3" t="inlineStr">
        <is>
          <t>68625130</t>
        </is>
      </c>
      <c r="H375" s="3" t="inlineStr">
        <is>
          <t>Rodrigo</t>
        </is>
      </c>
      <c r="I375" s="3" t="inlineStr">
        <is>
          <t>Pontual</t>
        </is>
      </c>
      <c r="J375" s="2" t="n">
        <v>1673</v>
      </c>
      <c r="K375" s="3" t="inlineStr">
        <is>
          <t>Semana 3</t>
        </is>
      </c>
      <c r="L375" s="3" t="inlineStr">
        <is>
          <t>Normal</t>
        </is>
      </c>
      <c r="M375" s="3" t="inlineStr">
        <is>
          <t>chave 374</t>
        </is>
      </c>
    </row>
    <row r="376">
      <c r="A376" s="2" t="n">
        <v>375</v>
      </c>
      <c r="B376" s="3" t="inlineStr">
        <is>
          <t xml:space="preserve">A C BARROS SERVICOS LTDA </t>
        </is>
      </c>
      <c r="C376" s="3" t="inlineStr">
        <is>
          <t>NORTE</t>
        </is>
      </c>
      <c r="D376" s="3" t="inlineStr">
        <is>
          <t>PA</t>
        </is>
      </c>
      <c r="E376" s="3" t="inlineStr">
        <is>
          <t>Belém</t>
        </is>
      </c>
      <c r="F376" s="3" t="inlineStr">
        <is>
          <t xml:space="preserve">CAMPINA </t>
        </is>
      </c>
      <c r="G376" s="3" t="inlineStr">
        <is>
          <t>66015020</t>
        </is>
      </c>
      <c r="H376" s="3" t="inlineStr">
        <is>
          <t>Rodrigo</t>
        </is>
      </c>
      <c r="I376" s="3" t="inlineStr">
        <is>
          <t>Estratégico</t>
        </is>
      </c>
      <c r="J376" s="2" t="n">
        <v>1673</v>
      </c>
      <c r="K376" s="3" t="inlineStr">
        <is>
          <t>Semana 1</t>
        </is>
      </c>
      <c r="L376" s="3" t="inlineStr">
        <is>
          <t>Alta</t>
        </is>
      </c>
      <c r="M376" s="3" t="inlineStr">
        <is>
          <t>chave 375</t>
        </is>
      </c>
    </row>
    <row r="377">
      <c r="A377" s="2" t="n">
        <v>376</v>
      </c>
      <c r="B377" s="3" t="inlineStr">
        <is>
          <t xml:space="preserve">REDE SUPERMERCADO MAIS BARATO LTDA </t>
        </is>
      </c>
      <c r="C377" s="3" t="inlineStr">
        <is>
          <t>NORTE</t>
        </is>
      </c>
      <c r="D377" s="3" t="inlineStr">
        <is>
          <t>PA</t>
        </is>
      </c>
      <c r="E377" s="3" t="inlineStr">
        <is>
          <t>BELÉM</t>
        </is>
      </c>
      <c r="F377" s="3" t="inlineStr">
        <is>
          <t xml:space="preserve">TAPANA </t>
        </is>
      </c>
      <c r="G377" s="3" t="inlineStr">
        <is>
          <t>66825010</t>
        </is>
      </c>
      <c r="H377" s="3" t="inlineStr">
        <is>
          <t>Rodrigo</t>
        </is>
      </c>
      <c r="I377" s="3" t="inlineStr">
        <is>
          <t>Estratégico</t>
        </is>
      </c>
      <c r="J377" s="2" t="n">
        <v>1673</v>
      </c>
      <c r="K377" s="3" t="inlineStr">
        <is>
          <t>Semana 1</t>
        </is>
      </c>
      <c r="L377" s="3" t="inlineStr">
        <is>
          <t>Alta</t>
        </is>
      </c>
      <c r="M377" s="3" t="inlineStr">
        <is>
          <t>chave 376</t>
        </is>
      </c>
    </row>
    <row r="378">
      <c r="A378" s="2" t="n">
        <v>377</v>
      </c>
      <c r="B378" s="3" t="inlineStr">
        <is>
          <t xml:space="preserve">D W LIMA AGUIAR LTDA </t>
        </is>
      </c>
      <c r="C378" s="3" t="inlineStr">
        <is>
          <t>NORTE</t>
        </is>
      </c>
      <c r="D378" s="3" t="inlineStr">
        <is>
          <t>PA</t>
        </is>
      </c>
      <c r="E378" s="3" t="inlineStr">
        <is>
          <t>Santarém</t>
        </is>
      </c>
      <c r="F378" s="3" t="inlineStr">
        <is>
          <t xml:space="preserve">CENTRO </t>
        </is>
      </c>
      <c r="G378" s="3" t="inlineStr">
        <is>
          <t>68005290</t>
        </is>
      </c>
      <c r="H378" s="3" t="inlineStr">
        <is>
          <t>Rodrigo</t>
        </is>
      </c>
      <c r="I378" s="3" t="inlineStr">
        <is>
          <t>Pontual</t>
        </is>
      </c>
      <c r="J378" s="2" t="n">
        <v>1673</v>
      </c>
      <c r="K378" s="3" t="inlineStr">
        <is>
          <t>Semana 3</t>
        </is>
      </c>
      <c r="L378" s="3" t="inlineStr">
        <is>
          <t>Normal</t>
        </is>
      </c>
      <c r="M378" s="3" t="inlineStr">
        <is>
          <t>chave 377</t>
        </is>
      </c>
    </row>
    <row r="379">
      <c r="A379" s="2" t="n">
        <v>378</v>
      </c>
      <c r="B379" s="3" t="inlineStr">
        <is>
          <t xml:space="preserve">ANA VANELLI LIVRARIA E PAPELARIA LTDA </t>
        </is>
      </c>
      <c r="C379" s="3" t="inlineStr">
        <is>
          <t>NORTE</t>
        </is>
      </c>
      <c r="D379" s="3" t="inlineStr">
        <is>
          <t>PA</t>
        </is>
      </c>
      <c r="E379" s="3" t="inlineStr">
        <is>
          <t>Marabá</t>
        </is>
      </c>
      <c r="F379" s="3" t="inlineStr">
        <is>
          <t xml:space="preserve">CIDADE NOVA </t>
        </is>
      </c>
      <c r="G379" s="3" t="inlineStr">
        <is>
          <t>68501580</t>
        </is>
      </c>
      <c r="H379" s="3" t="inlineStr">
        <is>
          <t>Rodrigo</t>
        </is>
      </c>
      <c r="I379" s="3" t="inlineStr">
        <is>
          <t>Pontual</t>
        </is>
      </c>
      <c r="J379" s="2" t="n">
        <v>1673</v>
      </c>
      <c r="K379" s="3" t="inlineStr">
        <is>
          <t>Semana 3</t>
        </is>
      </c>
      <c r="L379" s="3" t="inlineStr">
        <is>
          <t>Normal</t>
        </is>
      </c>
      <c r="M379" s="3" t="inlineStr">
        <is>
          <t>chave 378</t>
        </is>
      </c>
    </row>
    <row r="380">
      <c r="A380" s="2" t="n">
        <v>379</v>
      </c>
      <c r="B380" s="3" t="inlineStr">
        <is>
          <t xml:space="preserve">J D DE LACERDA COMERCIAL LTDA </t>
        </is>
      </c>
      <c r="C380" s="3" t="inlineStr">
        <is>
          <t>NORTE</t>
        </is>
      </c>
      <c r="D380" s="3" t="inlineStr">
        <is>
          <t>PA</t>
        </is>
      </c>
      <c r="E380" s="3" t="inlineStr">
        <is>
          <t>Santarém</t>
        </is>
      </c>
      <c r="F380" s="3" t="inlineStr">
        <is>
          <t xml:space="preserve">CENTRO </t>
        </is>
      </c>
      <c r="G380" s="3" t="inlineStr">
        <is>
          <t>68005340</t>
        </is>
      </c>
      <c r="H380" s="3" t="inlineStr">
        <is>
          <t>Rodrigo</t>
        </is>
      </c>
      <c r="I380" s="3" t="inlineStr">
        <is>
          <t>Pontual</t>
        </is>
      </c>
      <c r="J380" s="2" t="n">
        <v>1673</v>
      </c>
      <c r="K380" s="3" t="inlineStr">
        <is>
          <t>Semana 3</t>
        </is>
      </c>
      <c r="L380" s="3" t="inlineStr">
        <is>
          <t>Normal</t>
        </is>
      </c>
      <c r="M380" s="3" t="inlineStr">
        <is>
          <t>chave 379</t>
        </is>
      </c>
    </row>
    <row r="381">
      <c r="A381" s="2" t="n">
        <v>380</v>
      </c>
      <c r="B381" s="3" t="inlineStr">
        <is>
          <t xml:space="preserve">DIAMANTE COMERCIO DE UTILIDADES DOMESTICAS LTDA </t>
        </is>
      </c>
      <c r="C381" s="3" t="inlineStr">
        <is>
          <t>NORTE</t>
        </is>
      </c>
      <c r="D381" s="3" t="inlineStr">
        <is>
          <t>PA</t>
        </is>
      </c>
      <c r="E381" s="3" t="inlineStr">
        <is>
          <t>BELÉM</t>
        </is>
      </c>
      <c r="F381" s="3" t="inlineStr">
        <is>
          <t xml:space="preserve">PQ VERDE </t>
        </is>
      </c>
      <c r="G381" s="3" t="inlineStr">
        <is>
          <t>66635110</t>
        </is>
      </c>
      <c r="H381" s="3" t="inlineStr">
        <is>
          <t>Rodrigo</t>
        </is>
      </c>
      <c r="I381" s="3" t="inlineStr">
        <is>
          <t>Estratégico</t>
        </is>
      </c>
      <c r="J381" s="2" t="n">
        <v>1673</v>
      </c>
      <c r="K381" s="3" t="inlineStr">
        <is>
          <t>Semana 1</t>
        </is>
      </c>
      <c r="L381" s="3" t="inlineStr">
        <is>
          <t>Alta</t>
        </is>
      </c>
      <c r="M381" s="3" t="inlineStr">
        <is>
          <t>chave 380</t>
        </is>
      </c>
    </row>
    <row r="382">
      <c r="A382" s="2" t="n">
        <v>381</v>
      </c>
      <c r="B382" s="3" t="inlineStr">
        <is>
          <t xml:space="preserve">W R DO R OLIVEIRA LTDA </t>
        </is>
      </c>
      <c r="C382" s="3" t="inlineStr">
        <is>
          <t>NORTE</t>
        </is>
      </c>
      <c r="D382" s="3" t="inlineStr">
        <is>
          <t>PA</t>
        </is>
      </c>
      <c r="E382" s="3" t="inlineStr">
        <is>
          <t>Augusto Corrêa</t>
        </is>
      </c>
      <c r="F382" s="3" t="inlineStr">
        <is>
          <t xml:space="preserve">NAZARE </t>
        </is>
      </c>
      <c r="G382" s="3" t="inlineStr">
        <is>
          <t>68610000</t>
        </is>
      </c>
      <c r="H382" s="3" t="inlineStr">
        <is>
          <t>Rodrigo</t>
        </is>
      </c>
      <c r="I382" s="3" t="inlineStr">
        <is>
          <t>Pontual</t>
        </is>
      </c>
      <c r="J382" s="2" t="n">
        <v>1673</v>
      </c>
      <c r="K382" s="3" t="inlineStr">
        <is>
          <t>Semana 2</t>
        </is>
      </c>
      <c r="L382" s="3" t="inlineStr">
        <is>
          <t>Normal</t>
        </is>
      </c>
      <c r="M382" s="3" t="inlineStr">
        <is>
          <t>chave 381</t>
        </is>
      </c>
    </row>
    <row r="383">
      <c r="A383" s="2" t="n">
        <v>382</v>
      </c>
      <c r="B383" s="3" t="inlineStr">
        <is>
          <t xml:space="preserve">MORAES &amp; NOGUEIRA LTDA </t>
        </is>
      </c>
      <c r="C383" s="3" t="inlineStr">
        <is>
          <t>NORTE</t>
        </is>
      </c>
      <c r="D383" s="3" t="inlineStr">
        <is>
          <t>PA</t>
        </is>
      </c>
      <c r="E383" s="3" t="inlineStr">
        <is>
          <t>ALTAMIRA</t>
        </is>
      </c>
      <c r="F383" s="3" t="inlineStr">
        <is>
          <t xml:space="preserve">UIRAPURU </t>
        </is>
      </c>
      <c r="G383" s="3" t="inlineStr">
        <is>
          <t>68372100</t>
        </is>
      </c>
      <c r="H383" s="3" t="inlineStr">
        <is>
          <t>Rodrigo</t>
        </is>
      </c>
      <c r="I383" s="3" t="inlineStr">
        <is>
          <t>Pontual</t>
        </is>
      </c>
      <c r="J383" s="2" t="n">
        <v>1673</v>
      </c>
      <c r="K383" s="3" t="inlineStr">
        <is>
          <t>Semana 2</t>
        </is>
      </c>
      <c r="L383" s="3" t="inlineStr">
        <is>
          <t>Normal</t>
        </is>
      </c>
      <c r="M383" s="3" t="inlineStr">
        <is>
          <t>chave 382</t>
        </is>
      </c>
    </row>
    <row r="384">
      <c r="A384" s="2" t="n">
        <v>383</v>
      </c>
      <c r="B384" s="3" t="inlineStr">
        <is>
          <t xml:space="preserve">LPD COMERCIO E DISTRIBUIDORA LTDA </t>
        </is>
      </c>
      <c r="C384" s="3" t="inlineStr">
        <is>
          <t>NORTE</t>
        </is>
      </c>
      <c r="D384" s="3" t="inlineStr">
        <is>
          <t>PA</t>
        </is>
      </c>
      <c r="E384" s="3" t="inlineStr">
        <is>
          <t>CURRALINHO</t>
        </is>
      </c>
      <c r="F384" s="3" t="inlineStr">
        <is>
          <t xml:space="preserve">MARAMBAIA </t>
        </is>
      </c>
      <c r="G384" s="3" t="inlineStr">
        <is>
          <t>68815000</t>
        </is>
      </c>
      <c r="H384" s="3" t="inlineStr">
        <is>
          <t>Rodrigo</t>
        </is>
      </c>
      <c r="I384" s="3" t="inlineStr">
        <is>
          <t>Pontual</t>
        </is>
      </c>
      <c r="J384" s="2" t="n">
        <v>1673</v>
      </c>
      <c r="K384" s="3" t="inlineStr">
        <is>
          <t>Semana 2</t>
        </is>
      </c>
      <c r="L384" s="3" t="inlineStr">
        <is>
          <t>Normal</t>
        </is>
      </c>
      <c r="M384" s="3" t="inlineStr">
        <is>
          <t>chave 383</t>
        </is>
      </c>
    </row>
    <row r="385">
      <c r="A385" s="2" t="n">
        <v>384</v>
      </c>
      <c r="B385" s="3" t="inlineStr">
        <is>
          <t xml:space="preserve">PAPELARIA PIRES CANTINHO DAS FESTAS LTDA </t>
        </is>
      </c>
      <c r="C385" s="3" t="inlineStr">
        <is>
          <t>NORTE</t>
        </is>
      </c>
      <c r="D385" s="3" t="inlineStr">
        <is>
          <t>PA</t>
        </is>
      </c>
      <c r="E385" s="3" t="inlineStr">
        <is>
          <t>XINGUARA</t>
        </is>
      </c>
      <c r="F385" s="3" t="inlineStr">
        <is>
          <t xml:space="preserve">CENTRO </t>
        </is>
      </c>
      <c r="G385" s="3" t="inlineStr">
        <is>
          <t>68555101</t>
        </is>
      </c>
      <c r="H385" s="3" t="inlineStr">
        <is>
          <t>Rodrigo</t>
        </is>
      </c>
      <c r="I385" s="3" t="inlineStr">
        <is>
          <t>Pontual</t>
        </is>
      </c>
      <c r="J385" s="2" t="n">
        <v>1673</v>
      </c>
      <c r="K385" s="3" t="inlineStr">
        <is>
          <t>Semana 3</t>
        </is>
      </c>
      <c r="L385" s="3" t="inlineStr">
        <is>
          <t>Normal</t>
        </is>
      </c>
      <c r="M385" s="3" t="inlineStr">
        <is>
          <t>chave 384</t>
        </is>
      </c>
    </row>
    <row r="386">
      <c r="A386" s="2" t="n">
        <v>385</v>
      </c>
      <c r="B386" s="3" t="inlineStr">
        <is>
          <t xml:space="preserve">ADRIANA SOUSA LIMA LTDA </t>
        </is>
      </c>
      <c r="C386" s="3" t="inlineStr">
        <is>
          <t>NORTE</t>
        </is>
      </c>
      <c r="D386" s="3" t="inlineStr">
        <is>
          <t>PA</t>
        </is>
      </c>
      <c r="E386" s="3" t="inlineStr">
        <is>
          <t>Santarém</t>
        </is>
      </c>
      <c r="F386" s="3" t="inlineStr">
        <is>
          <t xml:space="preserve">CENTRO </t>
        </is>
      </c>
      <c r="G386" s="3" t="inlineStr">
        <is>
          <t>68005040</t>
        </is>
      </c>
      <c r="H386" s="3" t="inlineStr">
        <is>
          <t>Rodrigo</t>
        </is>
      </c>
      <c r="I386" s="3" t="inlineStr">
        <is>
          <t>Pontual</t>
        </is>
      </c>
      <c r="J386" s="2" t="n">
        <v>1673</v>
      </c>
      <c r="K386" s="3" t="inlineStr">
        <is>
          <t>Semana 3</t>
        </is>
      </c>
      <c r="L386" s="3" t="inlineStr">
        <is>
          <t>Normal</t>
        </is>
      </c>
      <c r="M386" s="3" t="inlineStr">
        <is>
          <t>chave 385</t>
        </is>
      </c>
    </row>
    <row r="387">
      <c r="A387" s="2" t="n">
        <v>386</v>
      </c>
      <c r="B387" s="3" t="inlineStr">
        <is>
          <t xml:space="preserve">P T DE MORAIS </t>
        </is>
      </c>
      <c r="C387" s="3" t="inlineStr">
        <is>
          <t>NORTE</t>
        </is>
      </c>
      <c r="D387" s="3" t="inlineStr">
        <is>
          <t>PA</t>
        </is>
      </c>
      <c r="E387" s="3" t="inlineStr">
        <is>
          <t>Redenção</t>
        </is>
      </c>
      <c r="F387" s="3" t="inlineStr">
        <is>
          <t xml:space="preserve">JARDIM UMURAMA </t>
        </is>
      </c>
      <c r="G387" s="3" t="inlineStr">
        <is>
          <t>68552220</t>
        </is>
      </c>
      <c r="H387" s="3" t="inlineStr">
        <is>
          <t>Rodrigo</t>
        </is>
      </c>
      <c r="I387" s="3" t="inlineStr">
        <is>
          <t>Pontual</t>
        </is>
      </c>
      <c r="J387" s="2" t="n">
        <v>1673</v>
      </c>
      <c r="K387" s="3" t="inlineStr">
        <is>
          <t>Semana 3</t>
        </is>
      </c>
      <c r="L387" s="3" t="inlineStr">
        <is>
          <t>Normal</t>
        </is>
      </c>
      <c r="M387" s="3" t="inlineStr">
        <is>
          <t>chave 386</t>
        </is>
      </c>
    </row>
    <row r="388">
      <c r="A388" s="2" t="n">
        <v>387</v>
      </c>
      <c r="B388" s="3" t="inlineStr">
        <is>
          <t xml:space="preserve">S. RODRIGUES DA SILVA LTDA </t>
        </is>
      </c>
      <c r="C388" s="3" t="inlineStr">
        <is>
          <t>NORTE</t>
        </is>
      </c>
      <c r="D388" s="3" t="inlineStr">
        <is>
          <t>PA</t>
        </is>
      </c>
      <c r="E388" s="3" t="inlineStr">
        <is>
          <t>ALTAMIRA</t>
        </is>
      </c>
      <c r="F388" s="3" t="inlineStr">
        <is>
          <t xml:space="preserve">CENTRO </t>
        </is>
      </c>
      <c r="G388" s="3" t="inlineStr">
        <is>
          <t>68371060</t>
        </is>
      </c>
      <c r="H388" s="3" t="inlineStr">
        <is>
          <t>Rodrigo</t>
        </is>
      </c>
      <c r="I388" s="3" t="inlineStr">
        <is>
          <t>Pontual</t>
        </is>
      </c>
      <c r="J388" s="2" t="n">
        <v>1673</v>
      </c>
      <c r="K388" s="3" t="inlineStr">
        <is>
          <t>Semana 2</t>
        </is>
      </c>
      <c r="L388" s="3" t="inlineStr">
        <is>
          <t>Normal</t>
        </is>
      </c>
      <c r="M388" s="3" t="inlineStr">
        <is>
          <t>chave 387</t>
        </is>
      </c>
    </row>
    <row r="389">
      <c r="A389" s="2" t="n">
        <v>388</v>
      </c>
      <c r="B389" s="3" t="inlineStr">
        <is>
          <t xml:space="preserve">REP PAPELARIA LTDA </t>
        </is>
      </c>
      <c r="C389" s="3" t="inlineStr">
        <is>
          <t>NORTE</t>
        </is>
      </c>
      <c r="D389" s="3" t="inlineStr">
        <is>
          <t>PA</t>
        </is>
      </c>
      <c r="E389" s="3" t="inlineStr">
        <is>
          <t>Parauapebas</t>
        </is>
      </c>
      <c r="F389" s="3" t="inlineStr">
        <is>
          <t xml:space="preserve">CIDADE JARDIM </t>
        </is>
      </c>
      <c r="G389" s="3" t="inlineStr">
        <is>
          <t>68515000</t>
        </is>
      </c>
      <c r="H389" s="3" t="inlineStr">
        <is>
          <t>Rodrigo</t>
        </is>
      </c>
      <c r="I389" s="3" t="inlineStr">
        <is>
          <t>Pontual</t>
        </is>
      </c>
      <c r="J389" s="2" t="n">
        <v>1673</v>
      </c>
      <c r="K389" s="3" t="inlineStr">
        <is>
          <t>Semana 3</t>
        </is>
      </c>
      <c r="L389" s="3" t="inlineStr">
        <is>
          <t>Normal</t>
        </is>
      </c>
      <c r="M389" s="3" t="inlineStr">
        <is>
          <t>chave 388</t>
        </is>
      </c>
    </row>
    <row r="390">
      <c r="A390" s="2" t="n">
        <v>389</v>
      </c>
      <c r="B390" s="3" t="inlineStr">
        <is>
          <t xml:space="preserve">V N CUNHA COMERCIAL LTDA </t>
        </is>
      </c>
      <c r="C390" s="3" t="inlineStr">
        <is>
          <t>NORTE</t>
        </is>
      </c>
      <c r="D390" s="3" t="inlineStr">
        <is>
          <t>PA</t>
        </is>
      </c>
      <c r="E390" s="3" t="inlineStr">
        <is>
          <t>CASTANHAL</t>
        </is>
      </c>
      <c r="F390" s="3" t="inlineStr">
        <is>
          <t xml:space="preserve">CENTRO </t>
        </is>
      </c>
      <c r="G390" s="3" t="inlineStr">
        <is>
          <t>68743050</t>
        </is>
      </c>
      <c r="H390" s="3" t="inlineStr">
        <is>
          <t>Rodrigo</t>
        </is>
      </c>
      <c r="I390" s="3" t="inlineStr">
        <is>
          <t>Pontual</t>
        </is>
      </c>
      <c r="J390" s="2" t="n">
        <v>1673</v>
      </c>
      <c r="K390" s="3" t="inlineStr">
        <is>
          <t>Semana 2</t>
        </is>
      </c>
      <c r="L390" s="3" t="inlineStr">
        <is>
          <t>Normal</t>
        </is>
      </c>
      <c r="M390" s="3" t="inlineStr">
        <is>
          <t>chave 389</t>
        </is>
      </c>
    </row>
    <row r="391">
      <c r="A391" s="2" t="n">
        <v>390</v>
      </c>
      <c r="B391" s="3" t="inlineStr">
        <is>
          <t xml:space="preserve">SARRAFF UTILIDADES LTDA </t>
        </is>
      </c>
      <c r="C391" s="3" t="inlineStr">
        <is>
          <t>NORTE</t>
        </is>
      </c>
      <c r="D391" s="3" t="inlineStr">
        <is>
          <t>PA</t>
        </is>
      </c>
      <c r="E391" s="3" t="inlineStr">
        <is>
          <t>ALENQUER</t>
        </is>
      </c>
      <c r="F391" s="3" t="inlineStr">
        <is>
          <t xml:space="preserve">ANINGAL </t>
        </is>
      </c>
      <c r="G391" s="3" t="inlineStr">
        <is>
          <t>68200000</t>
        </is>
      </c>
      <c r="H391" s="3" t="inlineStr">
        <is>
          <t>Rodrigo</t>
        </is>
      </c>
      <c r="I391" s="3" t="inlineStr">
        <is>
          <t>Pontual</t>
        </is>
      </c>
      <c r="J391" s="2" t="n">
        <v>1673</v>
      </c>
      <c r="K391" s="3" t="inlineStr">
        <is>
          <t>Semana 2</t>
        </is>
      </c>
      <c r="L391" s="3" t="inlineStr">
        <is>
          <t>Normal</t>
        </is>
      </c>
      <c r="M391" s="3" t="inlineStr">
        <is>
          <t>chave 390</t>
        </is>
      </c>
    </row>
    <row r="392">
      <c r="A392" s="2" t="n">
        <v>391</v>
      </c>
      <c r="B392" s="3" t="inlineStr">
        <is>
          <t xml:space="preserve">J. DE P.RODRIGUES </t>
        </is>
      </c>
      <c r="C392" s="3" t="inlineStr">
        <is>
          <t>NORTE</t>
        </is>
      </c>
      <c r="D392" s="3" t="inlineStr">
        <is>
          <t>PA</t>
        </is>
      </c>
      <c r="E392" s="3" t="inlineStr">
        <is>
          <t>Igarapé-Miri</t>
        </is>
      </c>
      <c r="F392" s="3" t="inlineStr">
        <is>
          <t xml:space="preserve">CENTRO </t>
        </is>
      </c>
      <c r="G392" s="3" t="inlineStr">
        <is>
          <t>68430000</t>
        </is>
      </c>
      <c r="H392" s="3" t="inlineStr">
        <is>
          <t>Rodrigo</t>
        </is>
      </c>
      <c r="I392" s="3" t="inlineStr">
        <is>
          <t>Pontual</t>
        </is>
      </c>
      <c r="J392" s="2" t="n">
        <v>1673</v>
      </c>
      <c r="K392" s="3" t="inlineStr">
        <is>
          <t>Semana 3</t>
        </is>
      </c>
      <c r="L392" s="3" t="inlineStr">
        <is>
          <t>Normal</t>
        </is>
      </c>
      <c r="M392" s="3" t="inlineStr">
        <is>
          <t>chave 391</t>
        </is>
      </c>
    </row>
    <row r="393">
      <c r="A393" s="2" t="n">
        <v>392</v>
      </c>
      <c r="B393" s="3" t="inlineStr">
        <is>
          <t xml:space="preserve">D C M ROCHA SANTOS LTDA </t>
        </is>
      </c>
      <c r="C393" s="3" t="inlineStr">
        <is>
          <t>NORTE</t>
        </is>
      </c>
      <c r="D393" s="3" t="inlineStr">
        <is>
          <t>PA</t>
        </is>
      </c>
      <c r="E393" s="3" t="inlineStr">
        <is>
          <t>CAPANEMA</t>
        </is>
      </c>
      <c r="F393" s="3" t="inlineStr">
        <is>
          <t xml:space="preserve">CENTRO </t>
        </is>
      </c>
      <c r="G393" s="3" t="inlineStr">
        <is>
          <t>68700105</t>
        </is>
      </c>
      <c r="H393" s="3" t="inlineStr">
        <is>
          <t>Rodrigo</t>
        </is>
      </c>
      <c r="I393" s="3" t="inlineStr">
        <is>
          <t>Pontual</t>
        </is>
      </c>
      <c r="J393" s="2" t="n">
        <v>1673</v>
      </c>
      <c r="K393" s="3" t="inlineStr">
        <is>
          <t>Semana 2</t>
        </is>
      </c>
      <c r="L393" s="3" t="inlineStr">
        <is>
          <t>Normal</t>
        </is>
      </c>
      <c r="M393" s="3" t="inlineStr">
        <is>
          <t>chave 392</t>
        </is>
      </c>
    </row>
    <row r="394">
      <c r="A394" s="2" t="n">
        <v>393</v>
      </c>
      <c r="B394" s="3" t="inlineStr">
        <is>
          <t xml:space="preserve">MARTINS LOJA DE BRINQUEDOS LTDA </t>
        </is>
      </c>
      <c r="C394" s="3" t="inlineStr">
        <is>
          <t>NORTE</t>
        </is>
      </c>
      <c r="D394" s="3" t="inlineStr">
        <is>
          <t>PA</t>
        </is>
      </c>
      <c r="E394" s="3" t="inlineStr">
        <is>
          <t>Belém</t>
        </is>
      </c>
      <c r="F394" s="3" t="inlineStr">
        <is>
          <t xml:space="preserve">CAMPINA </t>
        </is>
      </c>
      <c r="G394" s="3" t="inlineStr">
        <is>
          <t>66010095</t>
        </is>
      </c>
      <c r="H394" s="3" t="inlineStr">
        <is>
          <t>Rodrigo</t>
        </is>
      </c>
      <c r="I394" s="3" t="inlineStr">
        <is>
          <t>Estratégico</t>
        </is>
      </c>
      <c r="J394" s="2" t="n">
        <v>1673</v>
      </c>
      <c r="K394" s="3" t="inlineStr">
        <is>
          <t>Semana 1</t>
        </is>
      </c>
      <c r="L394" s="3" t="inlineStr">
        <is>
          <t>Alta</t>
        </is>
      </c>
      <c r="M394" s="3" t="inlineStr">
        <is>
          <t>chave 393</t>
        </is>
      </c>
    </row>
    <row r="395">
      <c r="A395" s="2" t="n">
        <v>394</v>
      </c>
      <c r="B395" s="3" t="inlineStr">
        <is>
          <t xml:space="preserve">ELETRO MIX COMERCIO DE MATERIAIS PARA CONSTRUCAO LTDA </t>
        </is>
      </c>
      <c r="C395" s="3" t="inlineStr">
        <is>
          <t>NORTE</t>
        </is>
      </c>
      <c r="D395" s="3" t="inlineStr">
        <is>
          <t>PA</t>
        </is>
      </c>
      <c r="E395" s="3" t="inlineStr">
        <is>
          <t>TUCURUÍ</t>
        </is>
      </c>
      <c r="F395" s="3" t="inlineStr">
        <is>
          <t xml:space="preserve">CENTRO </t>
        </is>
      </c>
      <c r="G395" s="3" t="inlineStr">
        <is>
          <t>68464000</t>
        </is>
      </c>
      <c r="H395" s="3" t="inlineStr">
        <is>
          <t>Rodrigo</t>
        </is>
      </c>
      <c r="I395" s="3" t="inlineStr">
        <is>
          <t>Pontual</t>
        </is>
      </c>
      <c r="J395" s="2" t="n">
        <v>1673</v>
      </c>
      <c r="K395" s="3" t="inlineStr">
        <is>
          <t>Semana 3</t>
        </is>
      </c>
      <c r="L395" s="3" t="inlineStr">
        <is>
          <t>Normal</t>
        </is>
      </c>
      <c r="M395" s="3" t="inlineStr">
        <is>
          <t>chave 394</t>
        </is>
      </c>
    </row>
    <row r="396">
      <c r="A396" s="2" t="n">
        <v>395</v>
      </c>
      <c r="B396" s="3" t="inlineStr">
        <is>
          <t xml:space="preserve">SILVA COMERCIO DE ARTIGOS DE FESTA LTDA </t>
        </is>
      </c>
      <c r="C396" s="3" t="inlineStr">
        <is>
          <t>NORTE</t>
        </is>
      </c>
      <c r="D396" s="3" t="inlineStr">
        <is>
          <t>PA</t>
        </is>
      </c>
      <c r="E396" s="3" t="inlineStr">
        <is>
          <t>BREVES</t>
        </is>
      </c>
      <c r="F396" s="3" t="inlineStr">
        <is>
          <t xml:space="preserve">CENTRO </t>
        </is>
      </c>
      <c r="G396" s="3" t="inlineStr">
        <is>
          <t>68800000</t>
        </is>
      </c>
      <c r="H396" s="3" t="inlineStr">
        <is>
          <t>Rodrigo</t>
        </is>
      </c>
      <c r="I396" s="3" t="inlineStr">
        <is>
          <t>Pontual</t>
        </is>
      </c>
      <c r="J396" s="2" t="n">
        <v>1673</v>
      </c>
      <c r="K396" s="3" t="inlineStr">
        <is>
          <t>Semana 2</t>
        </is>
      </c>
      <c r="L396" s="3" t="inlineStr">
        <is>
          <t>Normal</t>
        </is>
      </c>
      <c r="M396" s="3" t="inlineStr">
        <is>
          <t>chave 395</t>
        </is>
      </c>
    </row>
    <row r="397">
      <c r="A397" s="2" t="n">
        <v>396</v>
      </c>
      <c r="B397" s="3" t="inlineStr">
        <is>
          <t xml:space="preserve">J F GOMES </t>
        </is>
      </c>
      <c r="C397" s="3" t="inlineStr">
        <is>
          <t>NORTE</t>
        </is>
      </c>
      <c r="D397" s="3" t="inlineStr">
        <is>
          <t>PA</t>
        </is>
      </c>
      <c r="E397" s="3" t="inlineStr">
        <is>
          <t>Oriximiná</t>
        </is>
      </c>
      <c r="F397" s="3" t="inlineStr">
        <is>
          <t xml:space="preserve">AREA PASTORAL </t>
        </is>
      </c>
      <c r="G397" s="3" t="inlineStr">
        <is>
          <t>68270000</t>
        </is>
      </c>
      <c r="H397" s="3" t="inlineStr">
        <is>
          <t>Rodrigo</t>
        </is>
      </c>
      <c r="I397" s="3" t="inlineStr">
        <is>
          <t>Pontual</t>
        </is>
      </c>
      <c r="J397" s="2" t="n">
        <v>1673</v>
      </c>
      <c r="K397" s="3" t="inlineStr">
        <is>
          <t>Semana 3</t>
        </is>
      </c>
      <c r="L397" s="3" t="inlineStr">
        <is>
          <t>Normal</t>
        </is>
      </c>
      <c r="M397" s="3" t="inlineStr">
        <is>
          <t>chave 396</t>
        </is>
      </c>
    </row>
    <row r="398">
      <c r="A398" s="2" t="n">
        <v>397</v>
      </c>
      <c r="B398" s="3" t="inlineStr">
        <is>
          <t xml:space="preserve">C E LIMA SOLUCOES E SERVICOS LTDA </t>
        </is>
      </c>
      <c r="C398" s="3" t="inlineStr">
        <is>
          <t>NORTE</t>
        </is>
      </c>
      <c r="D398" s="3" t="inlineStr">
        <is>
          <t>PA</t>
        </is>
      </c>
      <c r="E398" s="3" t="inlineStr">
        <is>
          <t>ITUPIRANGA</t>
        </is>
      </c>
      <c r="F398" s="3" t="inlineStr">
        <is>
          <t xml:space="preserve">VITORIA </t>
        </is>
      </c>
      <c r="G398" s="3" t="inlineStr">
        <is>
          <t>68580000</t>
        </is>
      </c>
      <c r="H398" s="3" t="inlineStr">
        <is>
          <t>Rodrigo</t>
        </is>
      </c>
      <c r="I398" s="3" t="inlineStr">
        <is>
          <t>Pontual</t>
        </is>
      </c>
      <c r="J398" s="2" t="n">
        <v>1673</v>
      </c>
      <c r="K398" s="3" t="inlineStr">
        <is>
          <t>Semana 3</t>
        </is>
      </c>
      <c r="L398" s="3" t="inlineStr">
        <is>
          <t>Normal</t>
        </is>
      </c>
      <c r="M398" s="3" t="inlineStr">
        <is>
          <t>chave 397</t>
        </is>
      </c>
    </row>
    <row r="399">
      <c r="A399" s="2" t="n">
        <v>398</v>
      </c>
      <c r="B399" s="3" t="inlineStr">
        <is>
          <t xml:space="preserve">M E F MAGALHAES &amp; CIA LTDA </t>
        </is>
      </c>
      <c r="C399" s="3" t="inlineStr">
        <is>
          <t>NORTE</t>
        </is>
      </c>
      <c r="D399" s="3" t="inlineStr">
        <is>
          <t>PA</t>
        </is>
      </c>
      <c r="E399" s="3" t="inlineStr">
        <is>
          <t>GARRAFÃO DO NORTE</t>
        </is>
      </c>
      <c r="F399" s="3" t="inlineStr">
        <is>
          <t xml:space="preserve">CENTRO </t>
        </is>
      </c>
      <c r="G399" s="3" t="inlineStr">
        <is>
          <t>68665000</t>
        </is>
      </c>
      <c r="H399" s="3" t="inlineStr">
        <is>
          <t>Rodrigo</t>
        </is>
      </c>
      <c r="I399" s="3" t="inlineStr">
        <is>
          <t>Pontual</t>
        </is>
      </c>
      <c r="J399" s="2" t="n">
        <v>1673</v>
      </c>
      <c r="K399" s="3" t="inlineStr">
        <is>
          <t>Semana 2</t>
        </is>
      </c>
      <c r="L399" s="3" t="inlineStr">
        <is>
          <t>Normal</t>
        </is>
      </c>
      <c r="M399" s="3" t="inlineStr">
        <is>
          <t>chave 398</t>
        </is>
      </c>
    </row>
    <row r="400">
      <c r="A400" s="2" t="n">
        <v>399</v>
      </c>
      <c r="B400" s="3" t="inlineStr">
        <is>
          <t xml:space="preserve">VS DELGADO COM. DE ART. DE ESCRITORIO LTDA </t>
        </is>
      </c>
      <c r="C400" s="3" t="inlineStr">
        <is>
          <t>NORTE</t>
        </is>
      </c>
      <c r="D400" s="3" t="inlineStr">
        <is>
          <t>PA</t>
        </is>
      </c>
      <c r="E400" s="3" t="inlineStr">
        <is>
          <t>ANANINDEUA</t>
        </is>
      </c>
      <c r="F400" s="3" t="inlineStr">
        <is>
          <t xml:space="preserve">GUANABARA </t>
        </is>
      </c>
      <c r="G400" s="3" t="inlineStr">
        <is>
          <t>67010270</t>
        </is>
      </c>
      <c r="H400" s="3" t="inlineStr">
        <is>
          <t>Rodrigo</t>
        </is>
      </c>
      <c r="I400" s="3" t="inlineStr">
        <is>
          <t>Pontual</t>
        </is>
      </c>
      <c r="J400" s="2" t="n">
        <v>1673</v>
      </c>
      <c r="K400" s="3" t="inlineStr">
        <is>
          <t>Semana 2</t>
        </is>
      </c>
      <c r="L400" s="3" t="inlineStr">
        <is>
          <t>Normal</t>
        </is>
      </c>
      <c r="M400" s="3" t="inlineStr">
        <is>
          <t>chave 399</t>
        </is>
      </c>
    </row>
    <row r="401">
      <c r="A401" s="2" t="n">
        <v>400</v>
      </c>
      <c r="B401" s="3" t="inlineStr">
        <is>
          <t xml:space="preserve">FLOR COMERCIO DE UTILIDADES DOMESTICAS LTDA </t>
        </is>
      </c>
      <c r="C401" s="3" t="inlineStr">
        <is>
          <t>NORTE</t>
        </is>
      </c>
      <c r="D401" s="3" t="inlineStr">
        <is>
          <t>PA</t>
        </is>
      </c>
      <c r="E401" s="3" t="inlineStr">
        <is>
          <t>BELÉM</t>
        </is>
      </c>
      <c r="F401" s="3" t="inlineStr">
        <is>
          <t xml:space="preserve">PEDREIRA </t>
        </is>
      </c>
      <c r="G401" s="3" t="inlineStr">
        <is>
          <t>66080650</t>
        </is>
      </c>
      <c r="H401" s="3" t="inlineStr">
        <is>
          <t>Rodrigo</t>
        </is>
      </c>
      <c r="I401" s="3" t="inlineStr">
        <is>
          <t>Estratégico</t>
        </is>
      </c>
      <c r="J401" s="2" t="n">
        <v>1673</v>
      </c>
      <c r="K401" s="3" t="inlineStr">
        <is>
          <t>Semana 1</t>
        </is>
      </c>
      <c r="L401" s="3" t="inlineStr">
        <is>
          <t>Alta</t>
        </is>
      </c>
      <c r="M401" s="3" t="inlineStr">
        <is>
          <t>chave 400</t>
        </is>
      </c>
    </row>
    <row r="402">
      <c r="A402" s="2" t="n">
        <v>401</v>
      </c>
      <c r="B402" s="3" t="inlineStr">
        <is>
          <t xml:space="preserve">ATACADO MULTIPLOX LTDA </t>
        </is>
      </c>
      <c r="C402" s="3" t="inlineStr">
        <is>
          <t>NORTE</t>
        </is>
      </c>
      <c r="D402" s="3" t="inlineStr">
        <is>
          <t>RO</t>
        </is>
      </c>
      <c r="E402" s="3" t="inlineStr">
        <is>
          <t>VILHENA</t>
        </is>
      </c>
      <c r="F402" s="3" t="inlineStr">
        <is>
          <t xml:space="preserve">CENTRO(S-01) </t>
        </is>
      </c>
      <c r="G402" s="3" t="inlineStr">
        <is>
          <t>76980002</t>
        </is>
      </c>
      <c r="H402" s="3" t="inlineStr">
        <is>
          <t>Rodrigo</t>
        </is>
      </c>
      <c r="I402" s="3" t="inlineStr">
        <is>
          <t>Pontual</t>
        </is>
      </c>
      <c r="J402" s="2" t="n">
        <v>3190</v>
      </c>
      <c r="K402" s="3" t="inlineStr">
        <is>
          <t>Semana 4</t>
        </is>
      </c>
      <c r="L402" s="3" t="inlineStr">
        <is>
          <t>Normal</t>
        </is>
      </c>
      <c r="M402" s="3" t="inlineStr">
        <is>
          <t>chave 401</t>
        </is>
      </c>
    </row>
    <row r="403">
      <c r="A403" s="2" t="n">
        <v>402</v>
      </c>
      <c r="B403" s="3" t="inlineStr">
        <is>
          <t xml:space="preserve">A R FARONI LTDA </t>
        </is>
      </c>
      <c r="C403" s="3" t="inlineStr">
        <is>
          <t>NORTE</t>
        </is>
      </c>
      <c r="D403" s="3" t="inlineStr">
        <is>
          <t>RO</t>
        </is>
      </c>
      <c r="E403" s="3" t="inlineStr">
        <is>
          <t>Guajará-Mirim</t>
        </is>
      </c>
      <c r="F403" s="3" t="inlineStr">
        <is>
          <t xml:space="preserve">CENTRO </t>
        </is>
      </c>
      <c r="G403" s="3" t="inlineStr">
        <is>
          <t>76850000</t>
        </is>
      </c>
      <c r="H403" s="3" t="inlineStr">
        <is>
          <t>Rodrigo</t>
        </is>
      </c>
      <c r="I403" s="3" t="inlineStr">
        <is>
          <t>Pontual</t>
        </is>
      </c>
      <c r="J403" s="2" t="n">
        <v>3190</v>
      </c>
      <c r="K403" s="3" t="inlineStr">
        <is>
          <t>Semana 4</t>
        </is>
      </c>
      <c r="L403" s="3" t="inlineStr">
        <is>
          <t>Normal</t>
        </is>
      </c>
      <c r="M403" s="3" t="inlineStr">
        <is>
          <t>chave 402</t>
        </is>
      </c>
    </row>
    <row r="404">
      <c r="A404" s="2" t="n">
        <v>403</v>
      </c>
      <c r="B404" s="3" t="inlineStr">
        <is>
          <t xml:space="preserve">DINAMICA COMERCIO DE ARTIGOS DE PAPELARIA LTDA </t>
        </is>
      </c>
      <c r="C404" s="3" t="inlineStr">
        <is>
          <t>NORTE</t>
        </is>
      </c>
      <c r="D404" s="3" t="inlineStr">
        <is>
          <t>RO</t>
        </is>
      </c>
      <c r="E404" s="3" t="inlineStr">
        <is>
          <t>PORTO VELHO</t>
        </is>
      </c>
      <c r="F404" s="3" t="inlineStr">
        <is>
          <t xml:space="preserve">NOVA FLORESTA </t>
        </is>
      </c>
      <c r="G404" s="3" t="inlineStr">
        <is>
          <t>76807441</t>
        </is>
      </c>
      <c r="H404" s="3" t="inlineStr">
        <is>
          <t>Rodrigo</t>
        </is>
      </c>
      <c r="I404" s="3" t="inlineStr">
        <is>
          <t>Pontual</t>
        </is>
      </c>
      <c r="J404" s="2" t="n">
        <v>3190</v>
      </c>
      <c r="K404" s="3" t="inlineStr">
        <is>
          <t>Semana 4</t>
        </is>
      </c>
      <c r="L404" s="3" t="inlineStr">
        <is>
          <t>Normal</t>
        </is>
      </c>
      <c r="M404" s="3" t="inlineStr">
        <is>
          <t>chave 403</t>
        </is>
      </c>
    </row>
    <row r="405">
      <c r="A405" s="2" t="n">
        <v>404</v>
      </c>
      <c r="B405" s="3" t="inlineStr">
        <is>
          <t xml:space="preserve">R T B COMERCIO E REPRESENTACOES LTDA </t>
        </is>
      </c>
      <c r="C405" s="3" t="inlineStr">
        <is>
          <t>NORTE</t>
        </is>
      </c>
      <c r="D405" s="3" t="inlineStr">
        <is>
          <t>RO</t>
        </is>
      </c>
      <c r="E405" s="3" t="inlineStr">
        <is>
          <t>CACOAL</t>
        </is>
      </c>
      <c r="F405" s="3" t="inlineStr">
        <is>
          <t xml:space="preserve">CENTRO </t>
        </is>
      </c>
      <c r="G405" s="3" t="inlineStr">
        <is>
          <t>76963893</t>
        </is>
      </c>
      <c r="H405" s="3" t="inlineStr">
        <is>
          <t>Rodrigo</t>
        </is>
      </c>
      <c r="I405" s="3" t="inlineStr">
        <is>
          <t>Pontual</t>
        </is>
      </c>
      <c r="J405" s="2" t="n">
        <v>3190</v>
      </c>
      <c r="K405" s="3" t="inlineStr">
        <is>
          <t>Semana 4</t>
        </is>
      </c>
      <c r="L405" s="3" t="inlineStr">
        <is>
          <t>Normal</t>
        </is>
      </c>
      <c r="M405" s="3" t="inlineStr">
        <is>
          <t>chave 404</t>
        </is>
      </c>
    </row>
    <row r="406">
      <c r="A406" s="2" t="n">
        <v>405</v>
      </c>
      <c r="B406" s="3" t="inlineStr">
        <is>
          <t xml:space="preserve">LIVRARIA TEIXEIRA LTDA </t>
        </is>
      </c>
      <c r="C406" s="3" t="inlineStr">
        <is>
          <t>NORTE</t>
        </is>
      </c>
      <c r="D406" s="3" t="inlineStr">
        <is>
          <t>RO</t>
        </is>
      </c>
      <c r="E406" s="3" t="inlineStr">
        <is>
          <t>ARIQUEMES</t>
        </is>
      </c>
      <c r="F406" s="3" t="inlineStr">
        <is>
          <t xml:space="preserve">SETOR 1 </t>
        </is>
      </c>
      <c r="G406" s="3" t="inlineStr">
        <is>
          <t>76870050</t>
        </is>
      </c>
      <c r="H406" s="3" t="inlineStr">
        <is>
          <t>Rodrigo</t>
        </is>
      </c>
      <c r="I406" s="3" t="inlineStr">
        <is>
          <t>Pontual</t>
        </is>
      </c>
      <c r="J406" s="2" t="n">
        <v>3190</v>
      </c>
      <c r="K406" s="3" t="inlineStr">
        <is>
          <t>Semana 4</t>
        </is>
      </c>
      <c r="L406" s="3" t="inlineStr">
        <is>
          <t>Normal</t>
        </is>
      </c>
      <c r="M406" s="3" t="inlineStr">
        <is>
          <t>chave 405</t>
        </is>
      </c>
    </row>
    <row r="407">
      <c r="A407" s="2" t="n">
        <v>406</v>
      </c>
      <c r="B407" s="3" t="inlineStr">
        <is>
          <t xml:space="preserve">J R MACHADO IMP. E EXP. LTDA </t>
        </is>
      </c>
      <c r="C407" s="3" t="inlineStr">
        <is>
          <t>NORTE</t>
        </is>
      </c>
      <c r="D407" s="3" t="inlineStr">
        <is>
          <t>RO</t>
        </is>
      </c>
      <c r="E407" s="3" t="inlineStr">
        <is>
          <t>Guajará-Mirim</t>
        </is>
      </c>
      <c r="F407" s="3" t="inlineStr">
        <is>
          <t xml:space="preserve">SANTA LUZIA </t>
        </is>
      </c>
      <c r="G407" s="3" t="inlineStr">
        <is>
          <t>76850000</t>
        </is>
      </c>
      <c r="H407" s="3" t="inlineStr">
        <is>
          <t>Rodrigo</t>
        </is>
      </c>
      <c r="I407" s="3" t="inlineStr">
        <is>
          <t>Pontual</t>
        </is>
      </c>
      <c r="J407" s="2" t="n">
        <v>3190</v>
      </c>
      <c r="K407" s="3" t="inlineStr">
        <is>
          <t>Semana 4</t>
        </is>
      </c>
      <c r="L407" s="3" t="inlineStr">
        <is>
          <t>Normal</t>
        </is>
      </c>
      <c r="M407" s="3" t="inlineStr">
        <is>
          <t>chave 406</t>
        </is>
      </c>
    </row>
    <row r="408">
      <c r="A408" s="2" t="n">
        <v>407</v>
      </c>
      <c r="B408" s="3" t="inlineStr">
        <is>
          <t xml:space="preserve">PAPELARIA CAPITAL COMERCIO DE PAPEIS E SERV LTDA </t>
        </is>
      </c>
      <c r="C408" s="3" t="inlineStr">
        <is>
          <t>NORTE</t>
        </is>
      </c>
      <c r="D408" s="3" t="inlineStr">
        <is>
          <t>RO</t>
        </is>
      </c>
      <c r="E408" s="3" t="inlineStr">
        <is>
          <t>PORTO VELHO</t>
        </is>
      </c>
      <c r="F408" s="3" t="inlineStr">
        <is>
          <t xml:space="preserve">LIBERDADE </t>
        </is>
      </c>
      <c r="G408" s="3" t="inlineStr">
        <is>
          <t>76803870</t>
        </is>
      </c>
      <c r="H408" s="3" t="inlineStr">
        <is>
          <t>Rodrigo</t>
        </is>
      </c>
      <c r="I408" s="3" t="inlineStr">
        <is>
          <t>Pontual</t>
        </is>
      </c>
      <c r="J408" s="2" t="n">
        <v>3190</v>
      </c>
      <c r="K408" s="3" t="inlineStr">
        <is>
          <t>Semana 4</t>
        </is>
      </c>
      <c r="L408" s="3" t="inlineStr">
        <is>
          <t>Normal</t>
        </is>
      </c>
      <c r="M408" s="3" t="inlineStr">
        <is>
          <t>chave 407</t>
        </is>
      </c>
    </row>
    <row r="409">
      <c r="A409" s="2" t="n">
        <v>408</v>
      </c>
      <c r="B409" s="3" t="inlineStr">
        <is>
          <t xml:space="preserve">PAPELARIA LIBERDADE LTDA </t>
        </is>
      </c>
      <c r="C409" s="3" t="inlineStr">
        <is>
          <t>NORTE</t>
        </is>
      </c>
      <c r="D409" s="3" t="inlineStr">
        <is>
          <t>RO</t>
        </is>
      </c>
      <c r="E409" s="3" t="inlineStr">
        <is>
          <t>PORTO VELHO</t>
        </is>
      </c>
      <c r="F409" s="3" t="inlineStr">
        <is>
          <t xml:space="preserve">CENTRO </t>
        </is>
      </c>
      <c r="G409" s="3" t="inlineStr">
        <is>
          <t>76801036</t>
        </is>
      </c>
      <c r="H409" s="3" t="inlineStr">
        <is>
          <t>Rodrigo</t>
        </is>
      </c>
      <c r="I409" s="3" t="inlineStr">
        <is>
          <t>Pontual</t>
        </is>
      </c>
      <c r="J409" s="2" t="n">
        <v>3190</v>
      </c>
      <c r="K409" s="3" t="inlineStr">
        <is>
          <t>Semana 4</t>
        </is>
      </c>
      <c r="L409" s="3" t="inlineStr">
        <is>
          <t>Normal</t>
        </is>
      </c>
      <c r="M409" s="3" t="inlineStr">
        <is>
          <t>chave 408</t>
        </is>
      </c>
    </row>
    <row r="410">
      <c r="A410" s="2" t="n">
        <v>409</v>
      </c>
      <c r="B410" s="3" t="inlineStr">
        <is>
          <t xml:space="preserve">VALTER DIAS DE OLIVEIRA LTDA </t>
        </is>
      </c>
      <c r="C410" s="3" t="inlineStr">
        <is>
          <t>NORTE</t>
        </is>
      </c>
      <c r="D410" s="3" t="inlineStr">
        <is>
          <t>RO</t>
        </is>
      </c>
      <c r="E410" s="3" t="inlineStr">
        <is>
          <t>MIRANTE DA SERRA</t>
        </is>
      </c>
      <c r="F410" s="3" t="inlineStr">
        <is>
          <t xml:space="preserve">CENTRO </t>
        </is>
      </c>
      <c r="G410" s="3" t="inlineStr">
        <is>
          <t>78949000</t>
        </is>
      </c>
      <c r="H410" s="3" t="inlineStr">
        <is>
          <t>Rodrigo</t>
        </is>
      </c>
      <c r="I410" s="3" t="inlineStr">
        <is>
          <t>Pontual</t>
        </is>
      </c>
      <c r="J410" s="2" t="n">
        <v>3190</v>
      </c>
      <c r="K410" s="3" t="inlineStr">
        <is>
          <t>Semana 4</t>
        </is>
      </c>
      <c r="L410" s="3" t="inlineStr">
        <is>
          <t>Normal</t>
        </is>
      </c>
      <c r="M410" s="3" t="inlineStr">
        <is>
          <t>chave 409</t>
        </is>
      </c>
    </row>
    <row r="411">
      <c r="A411" s="2" t="n">
        <v>410</v>
      </c>
      <c r="B411" s="3" t="inlineStr">
        <is>
          <t xml:space="preserve">A C DE ALBUQUERQUE IMPORTACAO E EXPORTACAO LTDA </t>
        </is>
      </c>
      <c r="C411" s="3" t="inlineStr">
        <is>
          <t>NORTE</t>
        </is>
      </c>
      <c r="D411" s="3" t="inlineStr">
        <is>
          <t>RO</t>
        </is>
      </c>
      <c r="E411" s="3" t="inlineStr">
        <is>
          <t>Guajará-Mirim</t>
        </is>
      </c>
      <c r="F411" s="3" t="inlineStr">
        <is>
          <t xml:space="preserve">SERRARIA </t>
        </is>
      </c>
      <c r="G411" s="3" t="inlineStr">
        <is>
          <t>76850000</t>
        </is>
      </c>
      <c r="H411" s="3" t="inlineStr">
        <is>
          <t>Rodrigo</t>
        </is>
      </c>
      <c r="I411" s="3" t="inlineStr">
        <is>
          <t>Pontual</t>
        </is>
      </c>
      <c r="J411" s="2" t="n">
        <v>3190</v>
      </c>
      <c r="K411" s="3" t="inlineStr">
        <is>
          <t>Semana 4</t>
        </is>
      </c>
      <c r="L411" s="3" t="inlineStr">
        <is>
          <t>Normal</t>
        </is>
      </c>
      <c r="M411" s="3" t="inlineStr">
        <is>
          <t>chave 410</t>
        </is>
      </c>
    </row>
    <row r="412">
      <c r="A412" s="2" t="n">
        <v>411</v>
      </c>
      <c r="B412" s="3" t="inlineStr">
        <is>
          <t xml:space="preserve">DE PAULA E DE PAULA PAPELARIA LTDA </t>
        </is>
      </c>
      <c r="C412" s="3" t="inlineStr">
        <is>
          <t>NORTE</t>
        </is>
      </c>
      <c r="D412" s="3" t="inlineStr">
        <is>
          <t>RR</t>
        </is>
      </c>
      <c r="E412" s="3" t="inlineStr">
        <is>
          <t>BOA VISTA</t>
        </is>
      </c>
      <c r="F412" s="3" t="inlineStr">
        <is>
          <t xml:space="preserve">NOVA CANAA </t>
        </is>
      </c>
      <c r="G412" s="3" t="inlineStr">
        <is>
          <t>69314382</t>
        </is>
      </c>
      <c r="H412" s="3" t="inlineStr">
        <is>
          <t>Rodrigo</t>
        </is>
      </c>
      <c r="I412" s="3" t="inlineStr">
        <is>
          <t>Pontual</t>
        </is>
      </c>
      <c r="J412" s="2" t="n">
        <v>3103</v>
      </c>
      <c r="K412" s="3" t="inlineStr">
        <is>
          <t>Semana 4</t>
        </is>
      </c>
      <c r="L412" s="3" t="inlineStr">
        <is>
          <t>Normal</t>
        </is>
      </c>
      <c r="M412" s="3" t="inlineStr">
        <is>
          <t>chave 411</t>
        </is>
      </c>
    </row>
    <row r="413">
      <c r="A413" s="2" t="n">
        <v>412</v>
      </c>
      <c r="B413" s="3" t="inlineStr">
        <is>
          <t xml:space="preserve">M L P COSTA </t>
        </is>
      </c>
      <c r="C413" s="3" t="inlineStr">
        <is>
          <t>NORTE</t>
        </is>
      </c>
      <c r="D413" s="3" t="inlineStr">
        <is>
          <t>RR</t>
        </is>
      </c>
      <c r="E413" s="3" t="inlineStr">
        <is>
          <t>BOA VISTA</t>
        </is>
      </c>
      <c r="F413" s="3" t="inlineStr">
        <is>
          <t xml:space="preserve">PRICUMA </t>
        </is>
      </c>
      <c r="G413" s="3" t="inlineStr">
        <is>
          <t>69309393</t>
        </is>
      </c>
      <c r="H413" s="3" t="inlineStr">
        <is>
          <t>Rodrigo</t>
        </is>
      </c>
      <c r="I413" s="3" t="inlineStr">
        <is>
          <t>Pontual</t>
        </is>
      </c>
      <c r="J413" s="2" t="n">
        <v>3103</v>
      </c>
      <c r="K413" s="3" t="inlineStr">
        <is>
          <t>Semana 4</t>
        </is>
      </c>
      <c r="L413" s="3" t="inlineStr">
        <is>
          <t>Normal</t>
        </is>
      </c>
      <c r="M413" s="3" t="inlineStr">
        <is>
          <t>chave 412</t>
        </is>
      </c>
    </row>
    <row r="414">
      <c r="A414" s="2" t="n">
        <v>413</v>
      </c>
      <c r="B414" s="3" t="inlineStr">
        <is>
          <t xml:space="preserve">QUASE TUDO COMERCIO IMP EXP LTDA </t>
        </is>
      </c>
      <c r="C414" s="3" t="inlineStr">
        <is>
          <t>NORTE</t>
        </is>
      </c>
      <c r="D414" s="3" t="inlineStr">
        <is>
          <t>RR</t>
        </is>
      </c>
      <c r="E414" s="3" t="inlineStr">
        <is>
          <t>BOA VISTA</t>
        </is>
      </c>
      <c r="F414" s="3" t="inlineStr">
        <is>
          <t xml:space="preserve">PINTOLANDIA </t>
        </is>
      </c>
      <c r="G414" s="3" t="inlineStr">
        <is>
          <t>69316738</t>
        </is>
      </c>
      <c r="H414" s="3" t="inlineStr">
        <is>
          <t>Rodrigo</t>
        </is>
      </c>
      <c r="I414" s="3" t="inlineStr">
        <is>
          <t>Pontual</t>
        </is>
      </c>
      <c r="J414" s="2" t="n">
        <v>3103</v>
      </c>
      <c r="K414" s="3" t="inlineStr">
        <is>
          <t>Semana 4</t>
        </is>
      </c>
      <c r="L414" s="3" t="inlineStr">
        <is>
          <t>Normal</t>
        </is>
      </c>
      <c r="M414" s="3" t="inlineStr">
        <is>
          <t>chave 413</t>
        </is>
      </c>
    </row>
    <row r="415">
      <c r="A415" s="2" t="n">
        <v>414</v>
      </c>
      <c r="B415" s="3" t="inlineStr">
        <is>
          <t xml:space="preserve">O DE MOURA ALMEIDA </t>
        </is>
      </c>
      <c r="C415" s="3" t="inlineStr">
        <is>
          <t>NORTE</t>
        </is>
      </c>
      <c r="D415" s="3" t="inlineStr">
        <is>
          <t>RR</t>
        </is>
      </c>
      <c r="E415" s="3" t="inlineStr">
        <is>
          <t>BOA VISTA</t>
        </is>
      </c>
      <c r="F415" s="3" t="inlineStr">
        <is>
          <t xml:space="preserve">SENADOR HELIO CAMPOS </t>
        </is>
      </c>
      <c r="G415" s="3" t="inlineStr">
        <is>
          <t>69316516</t>
        </is>
      </c>
      <c r="H415" s="3" t="inlineStr">
        <is>
          <t>Rodrigo</t>
        </is>
      </c>
      <c r="I415" s="3" t="inlineStr">
        <is>
          <t>Pontual</t>
        </is>
      </c>
      <c r="J415" s="2" t="n">
        <v>3103</v>
      </c>
      <c r="K415" s="3" t="inlineStr">
        <is>
          <t>Semana 4</t>
        </is>
      </c>
      <c r="L415" s="3" t="inlineStr">
        <is>
          <t>Normal</t>
        </is>
      </c>
      <c r="M415" s="3" t="inlineStr">
        <is>
          <t>chave 414</t>
        </is>
      </c>
    </row>
    <row r="416">
      <c r="A416" s="2" t="n">
        <v>415</v>
      </c>
      <c r="B416" s="3" t="inlineStr">
        <is>
          <t xml:space="preserve">PAPEL JORNAL PAPELARIA LTDA </t>
        </is>
      </c>
      <c r="C416" s="3" t="inlineStr">
        <is>
          <t>NORTE</t>
        </is>
      </c>
      <c r="D416" s="3" t="inlineStr">
        <is>
          <t>RR</t>
        </is>
      </c>
      <c r="E416" s="3" t="inlineStr">
        <is>
          <t>BOA VISTA</t>
        </is>
      </c>
      <c r="F416" s="3" t="inlineStr">
        <is>
          <t xml:space="preserve">SAO FRANCISCO </t>
        </is>
      </c>
      <c r="G416" s="3" t="inlineStr">
        <is>
          <t>69305105</t>
        </is>
      </c>
      <c r="H416" s="3" t="inlineStr">
        <is>
          <t>Rodrigo</t>
        </is>
      </c>
      <c r="I416" s="3" t="inlineStr">
        <is>
          <t>Pontual</t>
        </is>
      </c>
      <c r="J416" s="2" t="n">
        <v>3103</v>
      </c>
      <c r="K416" s="3" t="inlineStr">
        <is>
          <t>Semana 4</t>
        </is>
      </c>
      <c r="L416" s="3" t="inlineStr">
        <is>
          <t>Normal</t>
        </is>
      </c>
      <c r="M416" s="3" t="inlineStr">
        <is>
          <t>chave 415</t>
        </is>
      </c>
    </row>
    <row r="417">
      <c r="A417" s="2" t="n">
        <v>416</v>
      </c>
      <c r="B417" s="3" t="inlineStr">
        <is>
          <t xml:space="preserve">PRAPEL COMERCIO DE PAPEL LTDA </t>
        </is>
      </c>
      <c r="C417" s="3" t="inlineStr">
        <is>
          <t>NORTE</t>
        </is>
      </c>
      <c r="D417" s="3" t="inlineStr">
        <is>
          <t>TO</t>
        </is>
      </c>
      <c r="E417" s="3" t="inlineStr">
        <is>
          <t>PALMAS</t>
        </is>
      </c>
      <c r="F417" s="3" t="inlineStr">
        <is>
          <t xml:space="preserve">PLANALTO DIRETOR SUL </t>
        </is>
      </c>
      <c r="G417" s="3" t="inlineStr">
        <is>
          <t>77024452</t>
        </is>
      </c>
      <c r="H417" s="3" t="inlineStr">
        <is>
          <t>Rodrigo</t>
        </is>
      </c>
      <c r="I417" s="3" t="inlineStr">
        <is>
          <t>Pontual</t>
        </is>
      </c>
      <c r="J417" s="2" t="n">
        <v>1493</v>
      </c>
      <c r="K417" s="3" t="inlineStr">
        <is>
          <t>Semana 4</t>
        </is>
      </c>
      <c r="L417" s="3" t="inlineStr">
        <is>
          <t>Normal</t>
        </is>
      </c>
      <c r="M417" s="3" t="inlineStr">
        <is>
          <t>chave 416</t>
        </is>
      </c>
    </row>
    <row r="418">
      <c r="A418" s="2" t="n">
        <v>417</v>
      </c>
      <c r="B418" s="3" t="inlineStr">
        <is>
          <t xml:space="preserve">M. DA C. RIBEIRO </t>
        </is>
      </c>
      <c r="C418" s="3" t="inlineStr">
        <is>
          <t>NORTE</t>
        </is>
      </c>
      <c r="D418" s="3" t="inlineStr">
        <is>
          <t>TO</t>
        </is>
      </c>
      <c r="E418" s="3" t="inlineStr">
        <is>
          <t>Augustinópolis</t>
        </is>
      </c>
      <c r="F418" s="3" t="inlineStr">
        <is>
          <t xml:space="preserve">CENTRO </t>
        </is>
      </c>
      <c r="G418" s="3" t="inlineStr">
        <is>
          <t>77960000</t>
        </is>
      </c>
      <c r="H418" s="3" t="inlineStr">
        <is>
          <t>Rodrigo</t>
        </is>
      </c>
      <c r="I418" s="3" t="inlineStr">
        <is>
          <t>Pontual</t>
        </is>
      </c>
      <c r="J418" s="2" t="n">
        <v>1493</v>
      </c>
      <c r="K418" s="3" t="inlineStr">
        <is>
          <t>Semana 4</t>
        </is>
      </c>
      <c r="L418" s="3" t="inlineStr">
        <is>
          <t>Normal</t>
        </is>
      </c>
      <c r="M418" s="3" t="inlineStr">
        <is>
          <t>chave 417</t>
        </is>
      </c>
    </row>
    <row r="419">
      <c r="A419" s="2" t="n">
        <v>418</v>
      </c>
      <c r="B419" s="3" t="inlineStr">
        <is>
          <t xml:space="preserve">AL DISTRIBUIDORA LTDA </t>
        </is>
      </c>
      <c r="C419" s="3" t="inlineStr">
        <is>
          <t>NORTE</t>
        </is>
      </c>
      <c r="D419" s="3" t="inlineStr">
        <is>
          <t>TO</t>
        </is>
      </c>
      <c r="E419" s="3" t="inlineStr">
        <is>
          <t>PALMAS</t>
        </is>
      </c>
      <c r="F419" s="3" t="inlineStr">
        <is>
          <t xml:space="preserve">PALNO DIRETO SUL </t>
        </is>
      </c>
      <c r="G419" s="3" t="inlineStr">
        <is>
          <t>77020022</t>
        </is>
      </c>
      <c r="H419" s="3" t="inlineStr">
        <is>
          <t>Rodrigo</t>
        </is>
      </c>
      <c r="I419" s="3" t="inlineStr">
        <is>
          <t>Pontual</t>
        </is>
      </c>
      <c r="J419" s="2" t="n">
        <v>1493</v>
      </c>
      <c r="K419" s="3" t="inlineStr">
        <is>
          <t>Semana 4</t>
        </is>
      </c>
      <c r="L419" s="3" t="inlineStr">
        <is>
          <t>Normal</t>
        </is>
      </c>
      <c r="M419" s="3" t="inlineStr">
        <is>
          <t>chave 418</t>
        </is>
      </c>
    </row>
    <row r="420">
      <c r="A420" s="2" t="n">
        <v>419</v>
      </c>
      <c r="B420" s="3" t="inlineStr">
        <is>
          <t xml:space="preserve">58.974.263 JAQUELINE TAVARES DA CRUZ </t>
        </is>
      </c>
      <c r="C420" s="3" t="inlineStr">
        <is>
          <t>NORTE</t>
        </is>
      </c>
      <c r="D420" s="3" t="inlineStr">
        <is>
          <t>TO</t>
        </is>
      </c>
      <c r="E420" s="3" t="inlineStr">
        <is>
          <t>Xambioá</t>
        </is>
      </c>
      <c r="F420" s="3" t="inlineStr">
        <is>
          <t xml:space="preserve">CENTRO </t>
        </is>
      </c>
      <c r="G420" s="3" t="inlineStr">
        <is>
          <t>77880000</t>
        </is>
      </c>
      <c r="H420" s="3" t="inlineStr">
        <is>
          <t>Rodrigo</t>
        </is>
      </c>
      <c r="I420" s="3" t="inlineStr">
        <is>
          <t>Pontual</t>
        </is>
      </c>
      <c r="J420" s="2" t="n">
        <v>1493</v>
      </c>
      <c r="K420" s="3" t="inlineStr">
        <is>
          <t>Semana 4</t>
        </is>
      </c>
      <c r="L420" s="3" t="inlineStr">
        <is>
          <t>Normal</t>
        </is>
      </c>
      <c r="M420" s="3" t="inlineStr">
        <is>
          <t>chave 419</t>
        </is>
      </c>
    </row>
    <row r="421">
      <c r="A421" s="2" t="n">
        <v>420</v>
      </c>
      <c r="B421" s="3" t="inlineStr">
        <is>
          <t xml:space="preserve">SOUSA E SILVA ARTIGOS DE PAPELARIA LTDA </t>
        </is>
      </c>
      <c r="C421" s="3" t="inlineStr">
        <is>
          <t>NORTE</t>
        </is>
      </c>
      <c r="D421" s="3" t="inlineStr">
        <is>
          <t>TO</t>
        </is>
      </c>
      <c r="E421" s="3" t="inlineStr">
        <is>
          <t>Araguaína</t>
        </is>
      </c>
      <c r="F421" s="3" t="inlineStr">
        <is>
          <t xml:space="preserve">SAO JOAO </t>
        </is>
      </c>
      <c r="G421" s="3" t="inlineStr">
        <is>
          <t>77807160</t>
        </is>
      </c>
      <c r="H421" s="3" t="inlineStr">
        <is>
          <t>Rodrigo</t>
        </is>
      </c>
      <c r="I421" s="3" t="inlineStr">
        <is>
          <t>Pontual</t>
        </is>
      </c>
      <c r="J421" s="2" t="n">
        <v>1493</v>
      </c>
      <c r="K421" s="3" t="inlineStr">
        <is>
          <t>Semana 4</t>
        </is>
      </c>
      <c r="L421" s="3" t="inlineStr">
        <is>
          <t>Normal</t>
        </is>
      </c>
      <c r="M421" s="3" t="inlineStr">
        <is>
          <t>chave 420</t>
        </is>
      </c>
    </row>
    <row r="422">
      <c r="A422" s="2" t="n">
        <v>421</v>
      </c>
      <c r="B422" s="3" t="inlineStr">
        <is>
          <t xml:space="preserve">ARMARINHOS E PAPELARIA GLORIA LTDA </t>
        </is>
      </c>
      <c r="C422" s="3" t="inlineStr">
        <is>
          <t>NORTE</t>
        </is>
      </c>
      <c r="D422" s="3" t="inlineStr">
        <is>
          <t>TO</t>
        </is>
      </c>
      <c r="E422" s="3" t="inlineStr">
        <is>
          <t>Araguaína</t>
        </is>
      </c>
      <c r="F422" s="3" t="inlineStr">
        <is>
          <t xml:space="preserve">CENTRO </t>
        </is>
      </c>
      <c r="G422" s="3" t="inlineStr">
        <is>
          <t>77804010</t>
        </is>
      </c>
      <c r="H422" s="3" t="inlineStr">
        <is>
          <t>Rodrigo</t>
        </is>
      </c>
      <c r="I422" s="3" t="inlineStr">
        <is>
          <t>Pontual</t>
        </is>
      </c>
      <c r="J422" s="2" t="n">
        <v>1493</v>
      </c>
      <c r="K422" s="3" t="inlineStr">
        <is>
          <t>Semana 4</t>
        </is>
      </c>
      <c r="L422" s="3" t="inlineStr">
        <is>
          <t>Normal</t>
        </is>
      </c>
      <c r="M422" s="3" t="inlineStr">
        <is>
          <t>chave 421</t>
        </is>
      </c>
    </row>
    <row r="423">
      <c r="A423" s="2" t="n">
        <v>422</v>
      </c>
      <c r="B423" s="3" t="inlineStr">
        <is>
          <t xml:space="preserve">BEZERRA E LOPES LTDA </t>
        </is>
      </c>
      <c r="C423" s="3" t="inlineStr">
        <is>
          <t>NORTE</t>
        </is>
      </c>
      <c r="D423" s="3" t="inlineStr">
        <is>
          <t>TO</t>
        </is>
      </c>
      <c r="E423" s="3" t="inlineStr">
        <is>
          <t>PALMAS</t>
        </is>
      </c>
      <c r="F423" s="3" t="inlineStr">
        <is>
          <t xml:space="preserve">PLANO DIRETOR SUL </t>
        </is>
      </c>
      <c r="G423" s="3" t="inlineStr">
        <is>
          <t>77022368</t>
        </is>
      </c>
      <c r="H423" s="3" t="inlineStr">
        <is>
          <t>Rodrigo</t>
        </is>
      </c>
      <c r="I423" s="3" t="inlineStr">
        <is>
          <t>Pontual</t>
        </is>
      </c>
      <c r="J423" s="2" t="n">
        <v>1493</v>
      </c>
      <c r="K423" s="3" t="inlineStr">
        <is>
          <t>Semana 4</t>
        </is>
      </c>
      <c r="L423" s="3" t="inlineStr">
        <is>
          <t>Normal</t>
        </is>
      </c>
      <c r="M423" s="3" t="inlineStr">
        <is>
          <t>chave 422</t>
        </is>
      </c>
    </row>
    <row r="424">
      <c r="A424" s="2" t="n">
        <v>423</v>
      </c>
      <c r="B424" s="3" t="inlineStr">
        <is>
          <t xml:space="preserve">F A DOS SANTOS </t>
        </is>
      </c>
      <c r="C424" s="3" t="inlineStr">
        <is>
          <t>NORTE</t>
        </is>
      </c>
      <c r="D424" s="3" t="inlineStr">
        <is>
          <t>TO</t>
        </is>
      </c>
      <c r="E424" s="3" t="inlineStr">
        <is>
          <t>PALMAS</t>
        </is>
      </c>
      <c r="F424" s="3" t="inlineStr">
        <is>
          <t xml:space="preserve">JARDIM AURENY III </t>
        </is>
      </c>
      <c r="G424" s="3" t="inlineStr">
        <is>
          <t>77062020</t>
        </is>
      </c>
      <c r="H424" s="3" t="inlineStr">
        <is>
          <t>Rodrigo</t>
        </is>
      </c>
      <c r="I424" s="3" t="inlineStr">
        <is>
          <t>Pontual</t>
        </is>
      </c>
      <c r="J424" s="2" t="n">
        <v>1493</v>
      </c>
      <c r="K424" s="3" t="inlineStr">
        <is>
          <t>Semana 4</t>
        </is>
      </c>
      <c r="L424" s="3" t="inlineStr">
        <is>
          <t>Normal</t>
        </is>
      </c>
      <c r="M424" s="3" t="inlineStr">
        <is>
          <t>chave 423</t>
        </is>
      </c>
    </row>
    <row r="425">
      <c r="A425" s="2" t="n">
        <v>424</v>
      </c>
      <c r="B425" s="3" t="inlineStr">
        <is>
          <t xml:space="preserve">DISTRIBUIDORA LAVOR DE UTIL DOMESTICA LTDA </t>
        </is>
      </c>
      <c r="C425" s="3" t="inlineStr">
        <is>
          <t>NORTE</t>
        </is>
      </c>
      <c r="D425" s="3" t="inlineStr">
        <is>
          <t>TO</t>
        </is>
      </c>
      <c r="E425" s="3" t="inlineStr">
        <is>
          <t>COLINAS DO TOCANTINS</t>
        </is>
      </c>
      <c r="F425" s="3" t="inlineStr">
        <is>
          <t xml:space="preserve">CAMPINAS </t>
        </is>
      </c>
      <c r="G425" s="3" t="inlineStr">
        <is>
          <t>77760000</t>
        </is>
      </c>
      <c r="H425" s="3" t="inlineStr">
        <is>
          <t>Rodrigo</t>
        </is>
      </c>
      <c r="I425" s="3" t="inlineStr">
        <is>
          <t>Pontual</t>
        </is>
      </c>
      <c r="J425" s="2" t="n">
        <v>1493</v>
      </c>
      <c r="K425" s="3" t="inlineStr">
        <is>
          <t>Semana 4</t>
        </is>
      </c>
      <c r="L425" s="3" t="inlineStr">
        <is>
          <t>Normal</t>
        </is>
      </c>
      <c r="M425" s="3" t="inlineStr">
        <is>
          <t>chave 424</t>
        </is>
      </c>
    </row>
    <row r="426">
      <c r="A426" s="2" t="n">
        <v>425</v>
      </c>
      <c r="B426" s="3" t="inlineStr">
        <is>
          <t xml:space="preserve">COPIADORA COPYSERVICE LTDA </t>
        </is>
      </c>
      <c r="C426" s="3" t="inlineStr">
        <is>
          <t>NORTE</t>
        </is>
      </c>
      <c r="D426" s="3" t="inlineStr">
        <is>
          <t>TO</t>
        </is>
      </c>
      <c r="E426" s="3" t="inlineStr">
        <is>
          <t>Araguaína</t>
        </is>
      </c>
      <c r="F426" s="3" t="inlineStr">
        <is>
          <t xml:space="preserve">CENTRO </t>
        </is>
      </c>
      <c r="G426" s="3" t="inlineStr">
        <is>
          <t>77804110</t>
        </is>
      </c>
      <c r="H426" s="3" t="inlineStr">
        <is>
          <t>Rodrigo</t>
        </is>
      </c>
      <c r="I426" s="3" t="inlineStr">
        <is>
          <t>Pontual</t>
        </is>
      </c>
      <c r="J426" s="2" t="n">
        <v>1493</v>
      </c>
      <c r="K426" s="3" t="inlineStr">
        <is>
          <t>Semana 4</t>
        </is>
      </c>
      <c r="L426" s="3" t="inlineStr">
        <is>
          <t>Normal</t>
        </is>
      </c>
      <c r="M426" s="3" t="inlineStr">
        <is>
          <t>chave 425</t>
        </is>
      </c>
    </row>
    <row r="427">
      <c r="A427" s="2" t="n">
        <v>426</v>
      </c>
      <c r="B427" s="3" t="inlineStr">
        <is>
          <t xml:space="preserve">R C DA SILVA AGUIAR </t>
        </is>
      </c>
      <c r="C427" s="3" t="inlineStr">
        <is>
          <t>NORTE</t>
        </is>
      </c>
      <c r="D427" s="3" t="inlineStr">
        <is>
          <t>TO</t>
        </is>
      </c>
      <c r="E427" s="3" t="inlineStr">
        <is>
          <t>Guaraí</t>
        </is>
      </c>
      <c r="F427" s="3" t="inlineStr">
        <is>
          <t xml:space="preserve">CENTRO </t>
        </is>
      </c>
      <c r="G427" s="3" t="inlineStr">
        <is>
          <t>77700000</t>
        </is>
      </c>
      <c r="H427" s="3" t="inlineStr">
        <is>
          <t>Rodrigo</t>
        </is>
      </c>
      <c r="I427" s="3" t="inlineStr">
        <is>
          <t>Pontual</t>
        </is>
      </c>
      <c r="J427" s="2" t="n">
        <v>1493</v>
      </c>
      <c r="K427" s="3" t="inlineStr">
        <is>
          <t>Semana 4</t>
        </is>
      </c>
      <c r="L427" s="3" t="inlineStr">
        <is>
          <t>Normal</t>
        </is>
      </c>
      <c r="M427" s="3" t="inlineStr">
        <is>
          <t>chave 426</t>
        </is>
      </c>
    </row>
    <row r="428">
      <c r="A428" s="2" t="n">
        <v>427</v>
      </c>
      <c r="B428" s="3" t="inlineStr">
        <is>
          <t xml:space="preserve">TOCANTINS COM VAR DE ART DE PAPELARIA LTDA </t>
        </is>
      </c>
      <c r="C428" s="3" t="inlineStr">
        <is>
          <t>NORTE</t>
        </is>
      </c>
      <c r="D428" s="3" t="inlineStr">
        <is>
          <t>TO</t>
        </is>
      </c>
      <c r="E428" s="3" t="inlineStr">
        <is>
          <t>Araguaína</t>
        </is>
      </c>
      <c r="F428" s="3" t="inlineStr">
        <is>
          <t xml:space="preserve">CENTRO </t>
        </is>
      </c>
      <c r="G428" s="3" t="inlineStr">
        <is>
          <t>77804970</t>
        </is>
      </c>
      <c r="H428" s="3" t="inlineStr">
        <is>
          <t>Rodrigo</t>
        </is>
      </c>
      <c r="I428" s="3" t="inlineStr">
        <is>
          <t>Pontual</t>
        </is>
      </c>
      <c r="J428" s="2" t="n">
        <v>1493</v>
      </c>
      <c r="K428" s="3" t="inlineStr">
        <is>
          <t>Semana 4</t>
        </is>
      </c>
      <c r="L428" s="3" t="inlineStr">
        <is>
          <t>Normal</t>
        </is>
      </c>
      <c r="M428" s="3" t="inlineStr">
        <is>
          <t>chave 427</t>
        </is>
      </c>
    </row>
    <row r="429">
      <c r="A429" s="2" t="n">
        <v>428</v>
      </c>
      <c r="B429" s="3" t="inlineStr">
        <is>
          <t xml:space="preserve">A B C COMERCIAL DE PAPEIS LTDA </t>
        </is>
      </c>
      <c r="C429" s="3" t="inlineStr">
        <is>
          <t>NORTE</t>
        </is>
      </c>
      <c r="D429" s="3" t="inlineStr">
        <is>
          <t>TO</t>
        </is>
      </c>
      <c r="E429" s="3" t="inlineStr">
        <is>
          <t>Araguaína</t>
        </is>
      </c>
      <c r="F429" s="3" t="inlineStr">
        <is>
          <t xml:space="preserve">CENTRO </t>
        </is>
      </c>
      <c r="G429" s="3" t="inlineStr">
        <is>
          <t>77804010</t>
        </is>
      </c>
      <c r="H429" s="3" t="inlineStr">
        <is>
          <t>Rodrigo</t>
        </is>
      </c>
      <c r="I429" s="3" t="inlineStr">
        <is>
          <t>Pontual</t>
        </is>
      </c>
      <c r="J429" s="2" t="n">
        <v>1493</v>
      </c>
      <c r="K429" s="3" t="inlineStr">
        <is>
          <t>Semana 4</t>
        </is>
      </c>
      <c r="L429" s="3" t="inlineStr">
        <is>
          <t>Normal</t>
        </is>
      </c>
      <c r="M429" s="3" t="inlineStr">
        <is>
          <t>chave 428</t>
        </is>
      </c>
    </row>
    <row r="430">
      <c r="A430" s="2" t="n">
        <v>429</v>
      </c>
      <c r="B430" s="3" t="inlineStr">
        <is>
          <t xml:space="preserve">PAPELARIA E LIVRARIA AVENIDA LTDA </t>
        </is>
      </c>
      <c r="C430" s="3" t="inlineStr">
        <is>
          <t>NORTE</t>
        </is>
      </c>
      <c r="D430" s="3" t="inlineStr">
        <is>
          <t>TO</t>
        </is>
      </c>
      <c r="E430" s="3" t="inlineStr">
        <is>
          <t>GURUPI</t>
        </is>
      </c>
      <c r="F430" s="3" t="inlineStr">
        <is>
          <t xml:space="preserve">CENTRO </t>
        </is>
      </c>
      <c r="G430" s="3" t="inlineStr">
        <is>
          <t>77410010</t>
        </is>
      </c>
      <c r="H430" s="3" t="inlineStr">
        <is>
          <t>Rodrigo</t>
        </is>
      </c>
      <c r="I430" s="3" t="inlineStr">
        <is>
          <t>Pontual</t>
        </is>
      </c>
      <c r="J430" s="2" t="n">
        <v>1493</v>
      </c>
      <c r="K430" s="3" t="inlineStr">
        <is>
          <t>Semana 4</t>
        </is>
      </c>
      <c r="L430" s="3" t="inlineStr">
        <is>
          <t>Normal</t>
        </is>
      </c>
      <c r="M430" s="3" t="inlineStr">
        <is>
          <t>chave 429</t>
        </is>
      </c>
    </row>
    <row r="431">
      <c r="A431" s="2" t="n">
        <v>430</v>
      </c>
      <c r="B431" s="3" t="inlineStr">
        <is>
          <t xml:space="preserve">CASTORINO SANTANA E FILHOS LTDA. </t>
        </is>
      </c>
      <c r="C431" s="3" t="inlineStr">
        <is>
          <t>SUDESTE</t>
        </is>
      </c>
      <c r="D431" s="3" t="inlineStr">
        <is>
          <t>ES</t>
        </is>
      </c>
      <c r="E431" s="3" t="inlineStr">
        <is>
          <t>Vitória</t>
        </is>
      </c>
      <c r="F431" s="3" t="inlineStr">
        <is>
          <t xml:space="preserve">SANTA LUCIA </t>
        </is>
      </c>
      <c r="G431" s="3" t="inlineStr">
        <is>
          <t>29056184</t>
        </is>
      </c>
      <c r="H431" s="3" t="inlineStr">
        <is>
          <t>Bernard</t>
        </is>
      </c>
      <c r="I431" s="3" t="inlineStr">
        <is>
          <t>Estratégico</t>
        </is>
      </c>
      <c r="J431" s="2" t="n">
        <v>7</v>
      </c>
      <c r="K431" s="3" t="inlineStr">
        <is>
          <t>Semana 1</t>
        </is>
      </c>
      <c r="L431" s="3" t="inlineStr">
        <is>
          <t>Alta</t>
        </is>
      </c>
      <c r="M431" s="3" t="inlineStr">
        <is>
          <t>chave 430</t>
        </is>
      </c>
    </row>
    <row r="432">
      <c r="A432" s="2" t="n">
        <v>431</v>
      </c>
      <c r="B432" s="3" t="inlineStr">
        <is>
          <t xml:space="preserve">PETROFLOW OFFSHORE COMERCIO E SERVICO LTDA </t>
        </is>
      </c>
      <c r="C432" s="3" t="inlineStr">
        <is>
          <t>SUDESTE</t>
        </is>
      </c>
      <c r="D432" s="3" t="inlineStr">
        <is>
          <t>ES</t>
        </is>
      </c>
      <c r="E432" s="3" t="inlineStr">
        <is>
          <t>VILA VELHA</t>
        </is>
      </c>
      <c r="F432" s="3" t="inlineStr">
        <is>
          <t xml:space="preserve">GLORIA </t>
        </is>
      </c>
      <c r="G432" s="3" t="inlineStr">
        <is>
          <t>29122030</t>
        </is>
      </c>
      <c r="H432" s="3" t="inlineStr">
        <is>
          <t>Bernard</t>
        </is>
      </c>
      <c r="I432" s="3" t="inlineStr">
        <is>
          <t>Pontual</t>
        </is>
      </c>
      <c r="J432" s="2" t="n">
        <v>7</v>
      </c>
      <c r="K432" s="3" t="inlineStr">
        <is>
          <t>Semana 4</t>
        </is>
      </c>
      <c r="L432" s="3" t="inlineStr">
        <is>
          <t>Normal</t>
        </is>
      </c>
      <c r="M432" s="3" t="inlineStr">
        <is>
          <t>chave 431</t>
        </is>
      </c>
    </row>
    <row r="433">
      <c r="A433" s="2" t="n">
        <v>432</v>
      </c>
      <c r="B433" s="3" t="inlineStr">
        <is>
          <t xml:space="preserve">AGNES COMERCIAL LTDA </t>
        </is>
      </c>
      <c r="C433" s="3" t="inlineStr">
        <is>
          <t>SUDESTE</t>
        </is>
      </c>
      <c r="D433" s="3" t="inlineStr">
        <is>
          <t>ES</t>
        </is>
      </c>
      <c r="E433" s="3" t="inlineStr">
        <is>
          <t>Vitória</t>
        </is>
      </c>
      <c r="F433" s="3" t="inlineStr">
        <is>
          <t xml:space="preserve">JUCUTUQUARA </t>
        </is>
      </c>
      <c r="G433" s="3" t="inlineStr">
        <is>
          <t>29040715</t>
        </is>
      </c>
      <c r="H433" s="3" t="inlineStr">
        <is>
          <t>Bernard</t>
        </is>
      </c>
      <c r="I433" s="3" t="inlineStr">
        <is>
          <t>Estratégico</t>
        </is>
      </c>
      <c r="J433" s="2" t="n">
        <v>7</v>
      </c>
      <c r="K433" s="3" t="inlineStr">
        <is>
          <t>Semana 1</t>
        </is>
      </c>
      <c r="L433" s="3" t="inlineStr">
        <is>
          <t>Alta</t>
        </is>
      </c>
      <c r="M433" s="3" t="inlineStr">
        <is>
          <t>chave 432</t>
        </is>
      </c>
    </row>
    <row r="434">
      <c r="A434" s="2" t="n">
        <v>433</v>
      </c>
      <c r="B434" s="3" t="inlineStr">
        <is>
          <t xml:space="preserve">SUPERMERCADOS CASAGRANDE LTDA </t>
        </is>
      </c>
      <c r="C434" s="3" t="inlineStr">
        <is>
          <t>SUDESTE</t>
        </is>
      </c>
      <c r="D434" s="3" t="inlineStr">
        <is>
          <t>ES</t>
        </is>
      </c>
      <c r="E434" s="3" t="inlineStr">
        <is>
          <t>CACHOEIRO DE ITAPEMIRIM</t>
        </is>
      </c>
      <c r="F434" s="3" t="inlineStr">
        <is>
          <t xml:space="preserve">GUANDU </t>
        </is>
      </c>
      <c r="G434" s="3" t="inlineStr">
        <is>
          <t>29300795</t>
        </is>
      </c>
      <c r="H434" s="3" t="inlineStr">
        <is>
          <t>Bernard</t>
        </is>
      </c>
      <c r="I434" s="3" t="inlineStr">
        <is>
          <t>Pontual</t>
        </is>
      </c>
      <c r="J434" s="2" t="n">
        <v>7</v>
      </c>
      <c r="K434" s="3" t="inlineStr">
        <is>
          <t>Semana 1</t>
        </is>
      </c>
      <c r="L434" s="3" t="inlineStr">
        <is>
          <t>Normal</t>
        </is>
      </c>
      <c r="M434" s="3" t="inlineStr">
        <is>
          <t>chave 433</t>
        </is>
      </c>
    </row>
    <row r="435">
      <c r="A435" s="2" t="n">
        <v>434</v>
      </c>
      <c r="B435" s="3" t="inlineStr">
        <is>
          <t xml:space="preserve">N NUNES COMERCIO E DISTRIBUIDOR LTDA </t>
        </is>
      </c>
      <c r="C435" s="3" t="inlineStr">
        <is>
          <t>SUDESTE</t>
        </is>
      </c>
      <c r="D435" s="3" t="inlineStr">
        <is>
          <t>ES</t>
        </is>
      </c>
      <c r="E435" s="3" t="inlineStr">
        <is>
          <t>LINHARES</t>
        </is>
      </c>
      <c r="F435" s="3" t="inlineStr">
        <is>
          <t xml:space="preserve">NOSSA SENHORA DA CONCEICAO </t>
        </is>
      </c>
      <c r="G435" s="3" t="inlineStr">
        <is>
          <t>29900505</t>
        </is>
      </c>
      <c r="H435" s="3" t="inlineStr">
        <is>
          <t>Bernard</t>
        </is>
      </c>
      <c r="I435" s="3" t="inlineStr">
        <is>
          <t>Pontual</t>
        </is>
      </c>
      <c r="J435" s="2" t="n">
        <v>7</v>
      </c>
      <c r="K435" s="3" t="inlineStr">
        <is>
          <t>Semana 3</t>
        </is>
      </c>
      <c r="L435" s="3" t="inlineStr">
        <is>
          <t>Normal</t>
        </is>
      </c>
      <c r="M435" s="3" t="inlineStr">
        <is>
          <t>chave 434</t>
        </is>
      </c>
    </row>
    <row r="436">
      <c r="A436" s="2" t="n">
        <v>435</v>
      </c>
      <c r="B436" s="3" t="inlineStr">
        <is>
          <t xml:space="preserve">PAPELARIA E LIV. CARTAM LTDA </t>
        </is>
      </c>
      <c r="C436" s="3" t="inlineStr">
        <is>
          <t>SUDESTE</t>
        </is>
      </c>
      <c r="D436" s="3" t="inlineStr">
        <is>
          <t>ES</t>
        </is>
      </c>
      <c r="E436" s="3" t="inlineStr">
        <is>
          <t>COLATINA</t>
        </is>
      </c>
      <c r="F436" s="3" t="inlineStr">
        <is>
          <t xml:space="preserve">SAO SILVANO </t>
        </is>
      </c>
      <c r="G436" s="3" t="inlineStr">
        <is>
          <t>29703132</t>
        </is>
      </c>
      <c r="H436" s="3" t="inlineStr">
        <is>
          <t>Bernard</t>
        </is>
      </c>
      <c r="I436" s="3" t="inlineStr">
        <is>
          <t>Pontual</t>
        </is>
      </c>
      <c r="J436" s="2" t="n">
        <v>7</v>
      </c>
      <c r="K436" s="3" t="inlineStr">
        <is>
          <t>Semana 2</t>
        </is>
      </c>
      <c r="L436" s="3" t="inlineStr">
        <is>
          <t>Normal</t>
        </is>
      </c>
      <c r="M436" s="3" t="inlineStr">
        <is>
          <t>chave 435</t>
        </is>
      </c>
    </row>
    <row r="437">
      <c r="A437" s="2" t="n">
        <v>436</v>
      </c>
      <c r="B437" s="3" t="inlineStr">
        <is>
          <t xml:space="preserve">ARGUS ATACADISTA LTDA </t>
        </is>
      </c>
      <c r="C437" s="3" t="inlineStr">
        <is>
          <t>SUDESTE</t>
        </is>
      </c>
      <c r="D437" s="3" t="inlineStr">
        <is>
          <t>ES</t>
        </is>
      </c>
      <c r="E437" s="3" t="inlineStr">
        <is>
          <t>LINHARES</t>
        </is>
      </c>
      <c r="F437" s="3" t="inlineStr">
        <is>
          <t xml:space="preserve">NSA DA CONCEICAO </t>
        </is>
      </c>
      <c r="G437" s="3" t="inlineStr">
        <is>
          <t>29900471</t>
        </is>
      </c>
      <c r="H437" s="3" t="inlineStr">
        <is>
          <t>Bernard</t>
        </is>
      </c>
      <c r="I437" s="3" t="inlineStr">
        <is>
          <t>Pontual</t>
        </is>
      </c>
      <c r="J437" s="2" t="n">
        <v>7</v>
      </c>
      <c r="K437" s="3" t="inlineStr">
        <is>
          <t>Semana 3</t>
        </is>
      </c>
      <c r="L437" s="3" t="inlineStr">
        <is>
          <t>Normal</t>
        </is>
      </c>
      <c r="M437" s="3" t="inlineStr">
        <is>
          <t>chave 436</t>
        </is>
      </c>
    </row>
    <row r="438">
      <c r="A438" s="2" t="n">
        <v>437</v>
      </c>
      <c r="B438" s="3" t="inlineStr">
        <is>
          <t xml:space="preserve">57.620.311 CARLOS MAGNO DRESCH </t>
        </is>
      </c>
      <c r="C438" s="3" t="inlineStr">
        <is>
          <t>SUDESTE</t>
        </is>
      </c>
      <c r="D438" s="3" t="inlineStr">
        <is>
          <t>ES</t>
        </is>
      </c>
      <c r="E438" s="3" t="inlineStr">
        <is>
          <t>SERRA</t>
        </is>
      </c>
      <c r="F438" s="3" t="inlineStr">
        <is>
          <t xml:space="preserve">MORADA DE LARANJEIRAS </t>
        </is>
      </c>
      <c r="G438" s="3" t="inlineStr">
        <is>
          <t>29166736</t>
        </is>
      </c>
      <c r="H438" s="3" t="inlineStr">
        <is>
          <t>Bernard</t>
        </is>
      </c>
      <c r="I438" s="3" t="inlineStr">
        <is>
          <t>Pontual</t>
        </is>
      </c>
      <c r="J438" s="2" t="n">
        <v>7</v>
      </c>
      <c r="K438" s="3" t="inlineStr">
        <is>
          <t>Semana 4</t>
        </is>
      </c>
      <c r="L438" s="3" t="inlineStr">
        <is>
          <t>Normal</t>
        </is>
      </c>
      <c r="M438" s="3" t="inlineStr">
        <is>
          <t>chave 437</t>
        </is>
      </c>
    </row>
    <row r="439">
      <c r="A439" s="2" t="n">
        <v>438</v>
      </c>
      <c r="B439" s="3" t="inlineStr">
        <is>
          <t xml:space="preserve">LOJAS JAJA COMERCIO DE MOVEIS LTDA </t>
        </is>
      </c>
      <c r="C439" s="3" t="inlineStr">
        <is>
          <t>SUDESTE</t>
        </is>
      </c>
      <c r="D439" s="3" t="inlineStr">
        <is>
          <t>ES</t>
        </is>
      </c>
      <c r="E439" s="3" t="inlineStr">
        <is>
          <t>Bom Jesus do Norte</t>
        </is>
      </c>
      <c r="F439" s="3" t="inlineStr">
        <is>
          <t xml:space="preserve">SAO SEBASTIAO </t>
        </is>
      </c>
      <c r="G439" s="3" t="inlineStr">
        <is>
          <t>29460000</t>
        </is>
      </c>
      <c r="H439" s="3" t="inlineStr">
        <is>
          <t>Bernard</t>
        </is>
      </c>
      <c r="I439" s="3" t="inlineStr">
        <is>
          <t>Pontual</t>
        </is>
      </c>
      <c r="J439" s="2" t="n">
        <v>7</v>
      </c>
      <c r="K439" s="3" t="inlineStr">
        <is>
          <t>Semana 1</t>
        </is>
      </c>
      <c r="L439" s="3" t="inlineStr">
        <is>
          <t>Normal</t>
        </is>
      </c>
      <c r="M439" s="3" t="inlineStr">
        <is>
          <t>chave 438</t>
        </is>
      </c>
    </row>
    <row r="440">
      <c r="A440" s="2" t="n">
        <v>439</v>
      </c>
      <c r="B440" s="3" t="inlineStr">
        <is>
          <t xml:space="preserve">PAPER KIDS PAPELARIA LTDA </t>
        </is>
      </c>
      <c r="C440" s="3" t="inlineStr">
        <is>
          <t>SUDESTE</t>
        </is>
      </c>
      <c r="D440" s="3" t="inlineStr">
        <is>
          <t>ES</t>
        </is>
      </c>
      <c r="E440" s="3" t="inlineStr">
        <is>
          <t>LINHARES</t>
        </is>
      </c>
      <c r="F440" s="3" t="inlineStr">
        <is>
          <t xml:space="preserve">CENTRO </t>
        </is>
      </c>
      <c r="G440" s="3" t="inlineStr">
        <is>
          <t>29900158</t>
        </is>
      </c>
      <c r="H440" s="3" t="inlineStr">
        <is>
          <t>Bernard</t>
        </is>
      </c>
      <c r="I440" s="3" t="inlineStr">
        <is>
          <t>Pontual</t>
        </is>
      </c>
      <c r="J440" s="2" t="n">
        <v>7</v>
      </c>
      <c r="K440" s="3" t="inlineStr">
        <is>
          <t>Semana 3</t>
        </is>
      </c>
      <c r="L440" s="3" t="inlineStr">
        <is>
          <t>Normal</t>
        </is>
      </c>
      <c r="M440" s="3" t="inlineStr">
        <is>
          <t>chave 439</t>
        </is>
      </c>
    </row>
    <row r="441">
      <c r="A441" s="2" t="n">
        <v>440</v>
      </c>
      <c r="B441" s="3" t="inlineStr">
        <is>
          <t xml:space="preserve">AQUI TEM COMERCIO DE BAZAR LTDA </t>
        </is>
      </c>
      <c r="C441" s="3" t="inlineStr">
        <is>
          <t>SUDESTE</t>
        </is>
      </c>
      <c r="D441" s="3" t="inlineStr">
        <is>
          <t>ES</t>
        </is>
      </c>
      <c r="E441" s="3" t="inlineStr">
        <is>
          <t>ITAPEMIRIM</t>
        </is>
      </c>
      <c r="F441" s="3" t="inlineStr">
        <is>
          <t xml:space="preserve">ITAOCA </t>
        </is>
      </c>
      <c r="G441" s="3" t="inlineStr">
        <is>
          <t>29338000</t>
        </is>
      </c>
      <c r="H441" s="3" t="inlineStr">
        <is>
          <t>Bernard</t>
        </is>
      </c>
      <c r="I441" s="3" t="inlineStr">
        <is>
          <t>Pontual</t>
        </is>
      </c>
      <c r="J441" s="2" t="n">
        <v>7</v>
      </c>
      <c r="K441" s="3" t="inlineStr">
        <is>
          <t>Semana 2</t>
        </is>
      </c>
      <c r="L441" s="3" t="inlineStr">
        <is>
          <t>Normal</t>
        </is>
      </c>
      <c r="M441" s="3" t="inlineStr">
        <is>
          <t>chave 440</t>
        </is>
      </c>
    </row>
    <row r="442">
      <c r="A442" s="2" t="n">
        <v>441</v>
      </c>
      <c r="B442" s="3" t="inlineStr">
        <is>
          <t xml:space="preserve">V B MACABU ONLINE LTDA </t>
        </is>
      </c>
      <c r="C442" s="3" t="inlineStr">
        <is>
          <t>SUDESTE</t>
        </is>
      </c>
      <c r="D442" s="3" t="inlineStr">
        <is>
          <t>ES</t>
        </is>
      </c>
      <c r="E442" s="3" t="inlineStr">
        <is>
          <t>MIMOSO DO SUL</t>
        </is>
      </c>
      <c r="F442" s="3" t="inlineStr">
        <is>
          <t xml:space="preserve">CENTRO </t>
        </is>
      </c>
      <c r="G442" s="3" t="inlineStr">
        <is>
          <t>29400000</t>
        </is>
      </c>
      <c r="H442" s="3" t="inlineStr">
        <is>
          <t>Bernard</t>
        </is>
      </c>
      <c r="I442" s="3" t="inlineStr">
        <is>
          <t>Pontual</t>
        </is>
      </c>
      <c r="J442" s="2" t="n">
        <v>7</v>
      </c>
      <c r="K442" s="3" t="inlineStr">
        <is>
          <t>Semana 3</t>
        </is>
      </c>
      <c r="L442" s="3" t="inlineStr">
        <is>
          <t>Normal</t>
        </is>
      </c>
      <c r="M442" s="3" t="inlineStr">
        <is>
          <t>chave 441</t>
        </is>
      </c>
    </row>
    <row r="443">
      <c r="A443" s="2" t="n">
        <v>442</v>
      </c>
      <c r="B443" s="3" t="inlineStr">
        <is>
          <t xml:space="preserve">N T N CARRANI </t>
        </is>
      </c>
      <c r="C443" s="3" t="inlineStr">
        <is>
          <t>SUDESTE</t>
        </is>
      </c>
      <c r="D443" s="3" t="inlineStr">
        <is>
          <t>ES</t>
        </is>
      </c>
      <c r="E443" s="3" t="inlineStr">
        <is>
          <t>Guarapari</t>
        </is>
      </c>
      <c r="F443" s="3" t="inlineStr">
        <is>
          <t xml:space="preserve">AEROPORTO </t>
        </is>
      </c>
      <c r="G443" s="3" t="inlineStr">
        <is>
          <t>29216705</t>
        </is>
      </c>
      <c r="H443" s="3" t="inlineStr">
        <is>
          <t>Bernard</t>
        </is>
      </c>
      <c r="I443" s="3" t="inlineStr">
        <is>
          <t>Pontual</t>
        </is>
      </c>
      <c r="J443" s="2" t="n">
        <v>7</v>
      </c>
      <c r="K443" s="3" t="inlineStr">
        <is>
          <t>Semana 2</t>
        </is>
      </c>
      <c r="L443" s="3" t="inlineStr">
        <is>
          <t>Normal</t>
        </is>
      </c>
      <c r="M443" s="3" t="inlineStr">
        <is>
          <t>chave 442</t>
        </is>
      </c>
    </row>
    <row r="444">
      <c r="A444" s="2" t="n">
        <v>443</v>
      </c>
      <c r="B444" s="3" t="inlineStr">
        <is>
          <t xml:space="preserve">PAPELARIA FELICIDADE SMJ LTDA </t>
        </is>
      </c>
      <c r="C444" s="3" t="inlineStr">
        <is>
          <t>SUDESTE</t>
        </is>
      </c>
      <c r="D444" s="3" t="inlineStr">
        <is>
          <t>ES</t>
        </is>
      </c>
      <c r="E444" s="3" t="inlineStr">
        <is>
          <t>Santa Maria de Jetibá</t>
        </is>
      </c>
      <c r="F444" s="3" t="inlineStr">
        <is>
          <t xml:space="preserve">CENTRO </t>
        </is>
      </c>
      <c r="G444" s="3" t="inlineStr">
        <is>
          <t>29645000</t>
        </is>
      </c>
      <c r="H444" s="3" t="inlineStr">
        <is>
          <t>Bernard</t>
        </is>
      </c>
      <c r="I444" s="3" t="inlineStr">
        <is>
          <t>Pontual</t>
        </is>
      </c>
      <c r="J444" s="2" t="n">
        <v>7</v>
      </c>
      <c r="K444" s="3" t="inlineStr">
        <is>
          <t>Semana 4</t>
        </is>
      </c>
      <c r="L444" s="3" t="inlineStr">
        <is>
          <t>Normal</t>
        </is>
      </c>
      <c r="M444" s="3" t="inlineStr">
        <is>
          <t>chave 443</t>
        </is>
      </c>
    </row>
    <row r="445">
      <c r="A445" s="2" t="n">
        <v>444</v>
      </c>
      <c r="B445" s="3" t="inlineStr">
        <is>
          <t xml:space="preserve">COMERCIAL TODALINHA LTDA </t>
        </is>
      </c>
      <c r="C445" s="3" t="inlineStr">
        <is>
          <t>SUDESTE</t>
        </is>
      </c>
      <c r="D445" s="3" t="inlineStr">
        <is>
          <t>ES</t>
        </is>
      </c>
      <c r="E445" s="3" t="inlineStr">
        <is>
          <t>VILA VELHA</t>
        </is>
      </c>
      <c r="F445" s="3" t="inlineStr">
        <is>
          <t xml:space="preserve">NOVO MEXICO </t>
        </is>
      </c>
      <c r="G445" s="3" t="inlineStr">
        <is>
          <t>29104070</t>
        </is>
      </c>
      <c r="H445" s="3" t="inlineStr">
        <is>
          <t>Bernard</t>
        </is>
      </c>
      <c r="I445" s="3" t="inlineStr">
        <is>
          <t>Pontual</t>
        </is>
      </c>
      <c r="J445" s="2" t="n">
        <v>7</v>
      </c>
      <c r="K445" s="3" t="inlineStr">
        <is>
          <t>Semana 4</t>
        </is>
      </c>
      <c r="L445" s="3" t="inlineStr">
        <is>
          <t>Normal</t>
        </is>
      </c>
      <c r="M445" s="3" t="inlineStr">
        <is>
          <t>chave 444</t>
        </is>
      </c>
    </row>
    <row r="446">
      <c r="A446" s="2" t="n">
        <v>445</v>
      </c>
      <c r="B446" s="3" t="inlineStr">
        <is>
          <t xml:space="preserve">MELO DISTRIBUIDORA DE MATERIAIS LTDA </t>
        </is>
      </c>
      <c r="C446" s="3" t="inlineStr">
        <is>
          <t>SUDESTE</t>
        </is>
      </c>
      <c r="D446" s="3" t="inlineStr">
        <is>
          <t>ES</t>
        </is>
      </c>
      <c r="E446" s="3" t="inlineStr">
        <is>
          <t>Iúna</t>
        </is>
      </c>
      <c r="F446" s="3" t="inlineStr">
        <is>
          <t xml:space="preserve">PEQUIA </t>
        </is>
      </c>
      <c r="G446" s="3" t="inlineStr">
        <is>
          <t>29390000</t>
        </is>
      </c>
      <c r="H446" s="3" t="inlineStr">
        <is>
          <t>Bernard</t>
        </is>
      </c>
      <c r="I446" s="3" t="inlineStr">
        <is>
          <t>Pontual</t>
        </is>
      </c>
      <c r="J446" s="2" t="n">
        <v>7</v>
      </c>
      <c r="K446" s="3" t="inlineStr">
        <is>
          <t>Semana 3</t>
        </is>
      </c>
      <c r="L446" s="3" t="inlineStr">
        <is>
          <t>Normal</t>
        </is>
      </c>
      <c r="M446" s="3" t="inlineStr">
        <is>
          <t>chave 445</t>
        </is>
      </c>
    </row>
    <row r="447">
      <c r="A447" s="2" t="n">
        <v>446</v>
      </c>
      <c r="B447" s="3" t="inlineStr">
        <is>
          <t xml:space="preserve">61.432.912 FERNANDA CORREA BATISTA </t>
        </is>
      </c>
      <c r="C447" s="3" t="inlineStr">
        <is>
          <t>SUDESTE</t>
        </is>
      </c>
      <c r="D447" s="3" t="inlineStr">
        <is>
          <t>ES</t>
        </is>
      </c>
      <c r="E447" s="3" t="inlineStr">
        <is>
          <t>VITÓRIA</t>
        </is>
      </c>
      <c r="F447" s="3" t="inlineStr">
        <is>
          <t xml:space="preserve">PARQUE MOSCOSO </t>
        </is>
      </c>
      <c r="G447" s="3" t="inlineStr">
        <is>
          <t>29018200</t>
        </is>
      </c>
      <c r="H447" s="3" t="inlineStr">
        <is>
          <t>Bernard</t>
        </is>
      </c>
      <c r="I447" s="3" t="inlineStr">
        <is>
          <t>Estratégico</t>
        </is>
      </c>
      <c r="J447" s="2" t="n">
        <v>7</v>
      </c>
      <c r="K447" s="3" t="inlineStr">
        <is>
          <t>Semana 1</t>
        </is>
      </c>
      <c r="L447" s="3" t="inlineStr">
        <is>
          <t>Alta</t>
        </is>
      </c>
      <c r="M447" s="3" t="inlineStr">
        <is>
          <t>chave 446</t>
        </is>
      </c>
    </row>
    <row r="448">
      <c r="A448" s="2" t="n">
        <v>447</v>
      </c>
      <c r="B448" s="3" t="inlineStr">
        <is>
          <t xml:space="preserve">SANTA FE PAPELARIA LTDA </t>
        </is>
      </c>
      <c r="C448" s="3" t="inlineStr">
        <is>
          <t>SUDESTE</t>
        </is>
      </c>
      <c r="D448" s="3" t="inlineStr">
        <is>
          <t>ES</t>
        </is>
      </c>
      <c r="E448" s="3" t="inlineStr">
        <is>
          <t>Barra de São Francisco</t>
        </is>
      </c>
      <c r="F448" s="3" t="inlineStr">
        <is>
          <t xml:space="preserve">CENTRO </t>
        </is>
      </c>
      <c r="G448" s="3" t="inlineStr">
        <is>
          <t>29800000</t>
        </is>
      </c>
      <c r="H448" s="3" t="inlineStr">
        <is>
          <t>Bernard</t>
        </is>
      </c>
      <c r="I448" s="3" t="inlineStr">
        <is>
          <t>Pontual</t>
        </is>
      </c>
      <c r="J448" s="2" t="n">
        <v>7</v>
      </c>
      <c r="K448" s="3" t="inlineStr">
        <is>
          <t>Semana 1</t>
        </is>
      </c>
      <c r="L448" s="3" t="inlineStr">
        <is>
          <t>Normal</t>
        </is>
      </c>
      <c r="M448" s="3" t="inlineStr">
        <is>
          <t>chave 447</t>
        </is>
      </c>
    </row>
    <row r="449">
      <c r="A449" s="2" t="n">
        <v>448</v>
      </c>
      <c r="B449" s="3" t="inlineStr">
        <is>
          <t xml:space="preserve">COMERCIAL LUF LTDA </t>
        </is>
      </c>
      <c r="C449" s="3" t="inlineStr">
        <is>
          <t>SUDESTE</t>
        </is>
      </c>
      <c r="D449" s="3" t="inlineStr">
        <is>
          <t>ES</t>
        </is>
      </c>
      <c r="E449" s="3" t="inlineStr">
        <is>
          <t>SERRA</t>
        </is>
      </c>
      <c r="F449" s="3" t="inlineStr">
        <is>
          <t xml:space="preserve">PARQUE RESIDENCIAL LARANJEIRAS </t>
        </is>
      </c>
      <c r="G449" s="3" t="inlineStr">
        <is>
          <t>29165130</t>
        </is>
      </c>
      <c r="H449" s="3" t="inlineStr">
        <is>
          <t>Bernard</t>
        </is>
      </c>
      <c r="I449" s="3" t="inlineStr">
        <is>
          <t>Pontual</t>
        </is>
      </c>
      <c r="J449" s="2" t="n">
        <v>7</v>
      </c>
      <c r="K449" s="3" t="inlineStr">
        <is>
          <t>Semana 4</t>
        </is>
      </c>
      <c r="L449" s="3" t="inlineStr">
        <is>
          <t>Normal</t>
        </is>
      </c>
      <c r="M449" s="3" t="inlineStr">
        <is>
          <t>chave 448</t>
        </is>
      </c>
    </row>
    <row r="450">
      <c r="A450" s="2" t="n">
        <v>449</v>
      </c>
      <c r="B450" s="3" t="inlineStr">
        <is>
          <t xml:space="preserve">DATA MIX INFORMATICA E PAPELARIA LTDA </t>
        </is>
      </c>
      <c r="C450" s="3" t="inlineStr">
        <is>
          <t>SUDESTE</t>
        </is>
      </c>
      <c r="D450" s="3" t="inlineStr">
        <is>
          <t>ES</t>
        </is>
      </c>
      <c r="E450" s="3" t="inlineStr">
        <is>
          <t>Vitória</t>
        </is>
      </c>
      <c r="F450" s="3" t="inlineStr">
        <is>
          <t xml:space="preserve">JARDIM  CAMBURI </t>
        </is>
      </c>
      <c r="G450" s="3" t="inlineStr">
        <is>
          <t>29090120</t>
        </is>
      </c>
      <c r="H450" s="3" t="inlineStr">
        <is>
          <t>Bernard</t>
        </is>
      </c>
      <c r="I450" s="3" t="inlineStr">
        <is>
          <t>Estratégico</t>
        </is>
      </c>
      <c r="J450" s="2" t="n">
        <v>7</v>
      </c>
      <c r="K450" s="3" t="inlineStr">
        <is>
          <t>Semana 1</t>
        </is>
      </c>
      <c r="L450" s="3" t="inlineStr">
        <is>
          <t>Alta</t>
        </is>
      </c>
      <c r="M450" s="3" t="inlineStr">
        <is>
          <t>chave 449</t>
        </is>
      </c>
    </row>
    <row r="451">
      <c r="A451" s="2" t="n">
        <v>450</v>
      </c>
      <c r="B451" s="3" t="inlineStr">
        <is>
          <t xml:space="preserve">GV PAPELARIA LTDA </t>
        </is>
      </c>
      <c r="C451" s="3" t="inlineStr">
        <is>
          <t>SUDESTE</t>
        </is>
      </c>
      <c r="D451" s="3" t="inlineStr">
        <is>
          <t>ES</t>
        </is>
      </c>
      <c r="E451" s="3" t="inlineStr">
        <is>
          <t>Piúma</t>
        </is>
      </c>
      <c r="F451" s="3" t="inlineStr">
        <is>
          <t xml:space="preserve">CENTRO </t>
        </is>
      </c>
      <c r="G451" s="3" t="inlineStr">
        <is>
          <t>29285000</t>
        </is>
      </c>
      <c r="H451" s="3" t="inlineStr">
        <is>
          <t>Bernard</t>
        </is>
      </c>
      <c r="I451" s="3" t="inlineStr">
        <is>
          <t>Pontual</t>
        </is>
      </c>
      <c r="J451" s="2" t="n">
        <v>7</v>
      </c>
      <c r="K451" s="3" t="inlineStr">
        <is>
          <t>Semana 4</t>
        </is>
      </c>
      <c r="L451" s="3" t="inlineStr">
        <is>
          <t>Normal</t>
        </is>
      </c>
      <c r="M451" s="3" t="inlineStr">
        <is>
          <t>chave 450</t>
        </is>
      </c>
    </row>
    <row r="452">
      <c r="A452" s="2" t="n">
        <v>451</v>
      </c>
      <c r="B452" s="3" t="inlineStr">
        <is>
          <t xml:space="preserve">BENAYR BOZZI LTDA </t>
        </is>
      </c>
      <c r="C452" s="3" t="inlineStr">
        <is>
          <t>SUDESTE</t>
        </is>
      </c>
      <c r="D452" s="3" t="inlineStr">
        <is>
          <t>ES</t>
        </is>
      </c>
      <c r="E452" s="3" t="inlineStr">
        <is>
          <t>PINHEIROS</t>
        </is>
      </c>
      <c r="F452" s="3" t="inlineStr">
        <is>
          <t xml:space="preserve">CENTRO </t>
        </is>
      </c>
      <c r="G452" s="3" t="inlineStr">
        <is>
          <t>29980000</t>
        </is>
      </c>
      <c r="H452" s="3" t="inlineStr">
        <is>
          <t>Bernard</t>
        </is>
      </c>
      <c r="I452" s="3" t="inlineStr">
        <is>
          <t>Pontual</t>
        </is>
      </c>
      <c r="J452" s="2" t="n">
        <v>7</v>
      </c>
      <c r="K452" s="3" t="inlineStr">
        <is>
          <t>Semana 4</t>
        </is>
      </c>
      <c r="L452" s="3" t="inlineStr">
        <is>
          <t>Normal</t>
        </is>
      </c>
      <c r="M452" s="3" t="inlineStr">
        <is>
          <t>chave 451</t>
        </is>
      </c>
    </row>
    <row r="453">
      <c r="A453" s="2" t="n">
        <v>452</v>
      </c>
      <c r="B453" s="3" t="inlineStr">
        <is>
          <t xml:space="preserve">DIGITAL DISTRIBUIDORA OFFICE SCHOLL LTDA </t>
        </is>
      </c>
      <c r="C453" s="3" t="inlineStr">
        <is>
          <t>SUDESTE</t>
        </is>
      </c>
      <c r="D453" s="3" t="inlineStr">
        <is>
          <t>ES</t>
        </is>
      </c>
      <c r="E453" s="3" t="inlineStr">
        <is>
          <t>LINHARES</t>
        </is>
      </c>
      <c r="F453" s="3" t="inlineStr">
        <is>
          <t xml:space="preserve">TRES BARRAS </t>
        </is>
      </c>
      <c r="G453" s="3" t="inlineStr">
        <is>
          <t>29907050</t>
        </is>
      </c>
      <c r="H453" s="3" t="inlineStr">
        <is>
          <t>Bernard</t>
        </is>
      </c>
      <c r="I453" s="3" t="inlineStr">
        <is>
          <t>Pontual</t>
        </is>
      </c>
      <c r="J453" s="2" t="n">
        <v>7</v>
      </c>
      <c r="K453" s="3" t="inlineStr">
        <is>
          <t>Semana 3</t>
        </is>
      </c>
      <c r="L453" s="3" t="inlineStr">
        <is>
          <t>Normal</t>
        </is>
      </c>
      <c r="M453" s="3" t="inlineStr">
        <is>
          <t>chave 452</t>
        </is>
      </c>
    </row>
    <row r="454">
      <c r="A454" s="2" t="n">
        <v>453</v>
      </c>
      <c r="B454" s="3" t="inlineStr">
        <is>
          <t xml:space="preserve">JET DISTRIBUIDORA LTDA </t>
        </is>
      </c>
      <c r="C454" s="3" t="inlineStr">
        <is>
          <t>SUDESTE</t>
        </is>
      </c>
      <c r="D454" s="3" t="inlineStr">
        <is>
          <t>ES</t>
        </is>
      </c>
      <c r="E454" s="3" t="inlineStr">
        <is>
          <t>SERRA</t>
        </is>
      </c>
      <c r="F454" s="3" t="inlineStr">
        <is>
          <t xml:space="preserve">ANDRE CARLONI </t>
        </is>
      </c>
      <c r="G454" s="3" t="inlineStr">
        <is>
          <t>29161813</t>
        </is>
      </c>
      <c r="H454" s="3" t="inlineStr">
        <is>
          <t>Bernard</t>
        </is>
      </c>
      <c r="I454" s="3" t="inlineStr">
        <is>
          <t>Pontual</t>
        </is>
      </c>
      <c r="J454" s="2" t="n">
        <v>7</v>
      </c>
      <c r="K454" s="3" t="inlineStr">
        <is>
          <t>Semana 4</t>
        </is>
      </c>
      <c r="L454" s="3" t="inlineStr">
        <is>
          <t>Normal</t>
        </is>
      </c>
      <c r="M454" s="3" t="inlineStr">
        <is>
          <t>chave 453</t>
        </is>
      </c>
    </row>
    <row r="455">
      <c r="A455" s="2" t="n">
        <v>454</v>
      </c>
      <c r="B455" s="3" t="inlineStr">
        <is>
          <t xml:space="preserve">GECORE COMERCIAL DISTRIBUIDORA LTDA </t>
        </is>
      </c>
      <c r="C455" s="3" t="inlineStr">
        <is>
          <t>SUDESTE</t>
        </is>
      </c>
      <c r="D455" s="3" t="inlineStr">
        <is>
          <t>ES</t>
        </is>
      </c>
      <c r="E455" s="3" t="inlineStr">
        <is>
          <t>Vitória</t>
        </is>
      </c>
      <c r="F455" s="3" t="inlineStr">
        <is>
          <t xml:space="preserve">SANTA LUCIA </t>
        </is>
      </c>
      <c r="G455" s="3" t="inlineStr">
        <is>
          <t>29056190</t>
        </is>
      </c>
      <c r="H455" s="3" t="inlineStr">
        <is>
          <t>Bernard</t>
        </is>
      </c>
      <c r="I455" s="3" t="inlineStr">
        <is>
          <t>Estratégico</t>
        </is>
      </c>
      <c r="J455" s="2" t="n">
        <v>7</v>
      </c>
      <c r="K455" s="3" t="inlineStr">
        <is>
          <t>Semana 1</t>
        </is>
      </c>
      <c r="L455" s="3" t="inlineStr">
        <is>
          <t>Alta</t>
        </is>
      </c>
      <c r="M455" s="3" t="inlineStr">
        <is>
          <t>chave 454</t>
        </is>
      </c>
    </row>
    <row r="456">
      <c r="A456" s="2" t="n">
        <v>455</v>
      </c>
      <c r="B456" s="3" t="inlineStr">
        <is>
          <t xml:space="preserve">D &amp; L PAPELARIA E XEROX LTDA </t>
        </is>
      </c>
      <c r="C456" s="3" t="inlineStr">
        <is>
          <t>SUDESTE</t>
        </is>
      </c>
      <c r="D456" s="3" t="inlineStr">
        <is>
          <t>ES</t>
        </is>
      </c>
      <c r="E456" s="3" t="inlineStr">
        <is>
          <t>CACHOEIRO DE ITAPEMIRIM</t>
        </is>
      </c>
      <c r="F456" s="3" t="inlineStr">
        <is>
          <t xml:space="preserve">OTTON MARINS </t>
        </is>
      </c>
      <c r="G456" s="3" t="inlineStr">
        <is>
          <t>29301809</t>
        </is>
      </c>
      <c r="H456" s="3" t="inlineStr">
        <is>
          <t>Bernard</t>
        </is>
      </c>
      <c r="I456" s="3" t="inlineStr">
        <is>
          <t>Pontual</t>
        </is>
      </c>
      <c r="J456" s="2" t="n">
        <v>7</v>
      </c>
      <c r="K456" s="3" t="inlineStr">
        <is>
          <t>Semana 2</t>
        </is>
      </c>
      <c r="L456" s="3" t="inlineStr">
        <is>
          <t>Normal</t>
        </is>
      </c>
      <c r="M456" s="3" t="inlineStr">
        <is>
          <t>chave 455</t>
        </is>
      </c>
    </row>
    <row r="457">
      <c r="A457" s="2" t="n">
        <v>456</v>
      </c>
      <c r="B457" s="3" t="inlineStr">
        <is>
          <t xml:space="preserve">MAGAZINE MIX COMERCIO LTDA </t>
        </is>
      </c>
      <c r="C457" s="3" t="inlineStr">
        <is>
          <t>SUDESTE</t>
        </is>
      </c>
      <c r="D457" s="3" t="inlineStr">
        <is>
          <t>ES</t>
        </is>
      </c>
      <c r="E457" s="3" t="inlineStr">
        <is>
          <t>LINHARES</t>
        </is>
      </c>
      <c r="F457" s="3" t="inlineStr">
        <is>
          <t xml:space="preserve">CENTRO </t>
        </is>
      </c>
      <c r="G457" s="3" t="inlineStr">
        <is>
          <t>29900320</t>
        </is>
      </c>
      <c r="H457" s="3" t="inlineStr">
        <is>
          <t>Bernard</t>
        </is>
      </c>
      <c r="I457" s="3" t="inlineStr">
        <is>
          <t>Pontual</t>
        </is>
      </c>
      <c r="J457" s="2" t="n">
        <v>7</v>
      </c>
      <c r="K457" s="3" t="inlineStr">
        <is>
          <t>Semana 3</t>
        </is>
      </c>
      <c r="L457" s="3" t="inlineStr">
        <is>
          <t>Normal</t>
        </is>
      </c>
      <c r="M457" s="3" t="inlineStr">
        <is>
          <t>chave 456</t>
        </is>
      </c>
    </row>
    <row r="458">
      <c r="A458" s="2" t="n">
        <v>457</v>
      </c>
      <c r="B458" s="3" t="inlineStr">
        <is>
          <t xml:space="preserve">SOLUCAO EM NEGOCIOS LTDA </t>
        </is>
      </c>
      <c r="C458" s="3" t="inlineStr">
        <is>
          <t>SUDESTE</t>
        </is>
      </c>
      <c r="D458" s="3" t="inlineStr">
        <is>
          <t>ES</t>
        </is>
      </c>
      <c r="E458" s="3" t="inlineStr">
        <is>
          <t>SERRA</t>
        </is>
      </c>
      <c r="F458" s="3" t="inlineStr">
        <is>
          <t xml:space="preserve">ANDRE CARLONI </t>
        </is>
      </c>
      <c r="G458" s="3" t="inlineStr">
        <is>
          <t>29161813</t>
        </is>
      </c>
      <c r="H458" s="3" t="inlineStr">
        <is>
          <t>Bernard</t>
        </is>
      </c>
      <c r="I458" s="3" t="inlineStr">
        <is>
          <t>Pontual</t>
        </is>
      </c>
      <c r="J458" s="2" t="n">
        <v>7</v>
      </c>
      <c r="K458" s="3" t="inlineStr">
        <is>
          <t>Semana 4</t>
        </is>
      </c>
      <c r="L458" s="3" t="inlineStr">
        <is>
          <t>Normal</t>
        </is>
      </c>
      <c r="M458" s="3" t="inlineStr">
        <is>
          <t>chave 457</t>
        </is>
      </c>
    </row>
    <row r="459">
      <c r="A459" s="2" t="n">
        <v>458</v>
      </c>
      <c r="B459" s="3" t="inlineStr">
        <is>
          <t xml:space="preserve">G MAIS EMPREENDIMENTOS LTDA </t>
        </is>
      </c>
      <c r="C459" s="3" t="inlineStr">
        <is>
          <t>SUDESTE</t>
        </is>
      </c>
      <c r="D459" s="3" t="inlineStr">
        <is>
          <t>ES</t>
        </is>
      </c>
      <c r="E459" s="3" t="inlineStr">
        <is>
          <t>Barra de São Francisco</t>
        </is>
      </c>
      <c r="F459" s="3" t="inlineStr">
        <is>
          <t xml:space="preserve">CENTRO </t>
        </is>
      </c>
      <c r="G459" s="3" t="inlineStr">
        <is>
          <t>29800000</t>
        </is>
      </c>
      <c r="H459" s="3" t="inlineStr">
        <is>
          <t>Bernard</t>
        </is>
      </c>
      <c r="I459" s="3" t="inlineStr">
        <is>
          <t>Pontual</t>
        </is>
      </c>
      <c r="J459" s="2" t="n">
        <v>7</v>
      </c>
      <c r="K459" s="3" t="inlineStr">
        <is>
          <t>Semana 1</t>
        </is>
      </c>
      <c r="L459" s="3" t="inlineStr">
        <is>
          <t>Normal</t>
        </is>
      </c>
      <c r="M459" s="3" t="inlineStr">
        <is>
          <t>chave 458</t>
        </is>
      </c>
    </row>
    <row r="460">
      <c r="A460" s="2" t="n">
        <v>459</v>
      </c>
      <c r="B460" s="3" t="inlineStr">
        <is>
          <t xml:space="preserve">J L DE ANDRADE MOSCHEN </t>
        </is>
      </c>
      <c r="C460" s="3" t="inlineStr">
        <is>
          <t>SUDESTE</t>
        </is>
      </c>
      <c r="D460" s="3" t="inlineStr">
        <is>
          <t>ES</t>
        </is>
      </c>
      <c r="E460" s="3" t="inlineStr">
        <is>
          <t>São Gabriel da Palha</t>
        </is>
      </c>
      <c r="F460" s="3" t="inlineStr">
        <is>
          <t xml:space="preserve">CENTRO </t>
        </is>
      </c>
      <c r="G460" s="3" t="inlineStr">
        <is>
          <t>29780000</t>
        </is>
      </c>
      <c r="H460" s="3" t="inlineStr">
        <is>
          <t>Bernard</t>
        </is>
      </c>
      <c r="I460" s="3" t="inlineStr">
        <is>
          <t>Pontual</t>
        </is>
      </c>
      <c r="J460" s="2" t="n">
        <v>7</v>
      </c>
      <c r="K460" s="3" t="inlineStr">
        <is>
          <t>Semana 4</t>
        </is>
      </c>
      <c r="L460" s="3" t="inlineStr">
        <is>
          <t>Normal</t>
        </is>
      </c>
      <c r="M460" s="3" t="inlineStr">
        <is>
          <t>chave 459</t>
        </is>
      </c>
    </row>
    <row r="461">
      <c r="A461" s="2" t="n">
        <v>460</v>
      </c>
      <c r="B461" s="3" t="inlineStr">
        <is>
          <t xml:space="preserve">JGS COMERCIO DE ATACADO E VAREJO LTDA </t>
        </is>
      </c>
      <c r="C461" s="3" t="inlineStr">
        <is>
          <t>SUDESTE</t>
        </is>
      </c>
      <c r="D461" s="3" t="inlineStr">
        <is>
          <t>ES</t>
        </is>
      </c>
      <c r="E461" s="3" t="inlineStr">
        <is>
          <t>VITÓRIA</t>
        </is>
      </c>
      <c r="F461" s="3" t="inlineStr">
        <is>
          <t xml:space="preserve">SANTA LUIZA </t>
        </is>
      </c>
      <c r="G461" s="3" t="inlineStr">
        <is>
          <t>29045403</t>
        </is>
      </c>
      <c r="H461" s="3" t="inlineStr">
        <is>
          <t>Bernard</t>
        </is>
      </c>
      <c r="I461" s="3" t="inlineStr">
        <is>
          <t>Estratégico</t>
        </is>
      </c>
      <c r="J461" s="2" t="n">
        <v>7</v>
      </c>
      <c r="K461" s="3" t="inlineStr">
        <is>
          <t>Semana 1</t>
        </is>
      </c>
      <c r="L461" s="3" t="inlineStr">
        <is>
          <t>Alta</t>
        </is>
      </c>
      <c r="M461" s="3" t="inlineStr">
        <is>
          <t>chave 460</t>
        </is>
      </c>
    </row>
    <row r="462">
      <c r="A462" s="2" t="n">
        <v>461</v>
      </c>
      <c r="B462" s="3" t="inlineStr">
        <is>
          <t xml:space="preserve">COMERCIAL BELLO LTDA </t>
        </is>
      </c>
      <c r="C462" s="3" t="inlineStr">
        <is>
          <t>SUDESTE</t>
        </is>
      </c>
      <c r="D462" s="3" t="inlineStr">
        <is>
          <t>ES</t>
        </is>
      </c>
      <c r="E462" s="3" t="inlineStr">
        <is>
          <t>CARIACICA</t>
        </is>
      </c>
      <c r="F462" s="3" t="inlineStr">
        <is>
          <t xml:space="preserve">VILA PALESTINA </t>
        </is>
      </c>
      <c r="G462" s="3" t="inlineStr">
        <is>
          <t>29145790</t>
        </is>
      </c>
      <c r="H462" s="3" t="inlineStr">
        <is>
          <t>Bernard</t>
        </is>
      </c>
      <c r="I462" s="3" t="inlineStr">
        <is>
          <t>Pontual</t>
        </is>
      </c>
      <c r="J462" s="2" t="n">
        <v>7</v>
      </c>
      <c r="K462" s="3" t="inlineStr">
        <is>
          <t>Semana 2</t>
        </is>
      </c>
      <c r="L462" s="3" t="inlineStr">
        <is>
          <t>Normal</t>
        </is>
      </c>
      <c r="M462" s="3" t="inlineStr">
        <is>
          <t>chave 461</t>
        </is>
      </c>
    </row>
    <row r="463">
      <c r="A463" s="2" t="n">
        <v>462</v>
      </c>
      <c r="B463" s="3" t="inlineStr">
        <is>
          <t xml:space="preserve">ROMEDAL COMERCIO E IMPORTACAO LTDA </t>
        </is>
      </c>
      <c r="C463" s="3" t="inlineStr">
        <is>
          <t>SUDESTE</t>
        </is>
      </c>
      <c r="D463" s="3" t="inlineStr">
        <is>
          <t>ES</t>
        </is>
      </c>
      <c r="E463" s="3" t="inlineStr">
        <is>
          <t>CARIACICA</t>
        </is>
      </c>
      <c r="F463" s="3" t="inlineStr">
        <is>
          <t xml:space="preserve">PADRE MATHIAS </t>
        </is>
      </c>
      <c r="G463" s="3" t="inlineStr">
        <is>
          <t>29157100</t>
        </is>
      </c>
      <c r="H463" s="3" t="inlineStr">
        <is>
          <t>Bernard</t>
        </is>
      </c>
      <c r="I463" s="3" t="inlineStr">
        <is>
          <t>Pontual</t>
        </is>
      </c>
      <c r="J463" s="2" t="n">
        <v>7</v>
      </c>
      <c r="K463" s="3" t="inlineStr">
        <is>
          <t>Semana 2</t>
        </is>
      </c>
      <c r="L463" s="3" t="inlineStr">
        <is>
          <t>Normal</t>
        </is>
      </c>
      <c r="M463" s="3" t="inlineStr">
        <is>
          <t>chave 462</t>
        </is>
      </c>
    </row>
    <row r="464">
      <c r="A464" s="2" t="n">
        <v>463</v>
      </c>
      <c r="B464" s="3" t="inlineStr">
        <is>
          <t xml:space="preserve">ATLAS PAPELARIA LTDA </t>
        </is>
      </c>
      <c r="C464" s="3" t="inlineStr">
        <is>
          <t>SUDESTE</t>
        </is>
      </c>
      <c r="D464" s="3" t="inlineStr">
        <is>
          <t>ES</t>
        </is>
      </c>
      <c r="E464" s="3" t="inlineStr">
        <is>
          <t>COLATINA</t>
        </is>
      </c>
      <c r="F464" s="3" t="inlineStr">
        <is>
          <t xml:space="preserve">CENTRO </t>
        </is>
      </c>
      <c r="G464" s="3" t="inlineStr">
        <is>
          <t>29700040</t>
        </is>
      </c>
      <c r="H464" s="3" t="inlineStr">
        <is>
          <t>Bernard</t>
        </is>
      </c>
      <c r="I464" s="3" t="inlineStr">
        <is>
          <t>Pontual</t>
        </is>
      </c>
      <c r="J464" s="2" t="n">
        <v>7</v>
      </c>
      <c r="K464" s="3" t="inlineStr">
        <is>
          <t>Semana 2</t>
        </is>
      </c>
      <c r="L464" s="3" t="inlineStr">
        <is>
          <t>Normal</t>
        </is>
      </c>
      <c r="M464" s="3" t="inlineStr">
        <is>
          <t>chave 463</t>
        </is>
      </c>
    </row>
    <row r="465">
      <c r="A465" s="2" t="n">
        <v>464</v>
      </c>
      <c r="B465" s="3" t="inlineStr">
        <is>
          <t xml:space="preserve">ARCO IRIS DE PAPEL LTDA </t>
        </is>
      </c>
      <c r="C465" s="3" t="inlineStr">
        <is>
          <t>SUDESTE</t>
        </is>
      </c>
      <c r="D465" s="3" t="inlineStr">
        <is>
          <t>ES</t>
        </is>
      </c>
      <c r="E465" s="3" t="inlineStr">
        <is>
          <t>São Gabriel da Palha</t>
        </is>
      </c>
      <c r="F465" s="3" t="inlineStr">
        <is>
          <t xml:space="preserve">NOSSA SENHORA APARECIDA </t>
        </is>
      </c>
      <c r="G465" s="3" t="inlineStr">
        <is>
          <t>29780000</t>
        </is>
      </c>
      <c r="H465" s="3" t="inlineStr">
        <is>
          <t>Bernard</t>
        </is>
      </c>
      <c r="I465" s="3" t="inlineStr">
        <is>
          <t>Pontual</t>
        </is>
      </c>
      <c r="J465" s="2" t="n">
        <v>7</v>
      </c>
      <c r="K465" s="3" t="inlineStr">
        <is>
          <t>Semana 4</t>
        </is>
      </c>
      <c r="L465" s="3" t="inlineStr">
        <is>
          <t>Normal</t>
        </is>
      </c>
      <c r="M465" s="3" t="inlineStr">
        <is>
          <t>chave 464</t>
        </is>
      </c>
    </row>
    <row r="466">
      <c r="A466" s="2" t="n">
        <v>465</v>
      </c>
      <c r="B466" s="3" t="inlineStr">
        <is>
          <t xml:space="preserve">SE7E ATACADO DISTRIBUIDOR E LOGISTICA LTDA </t>
        </is>
      </c>
      <c r="C466" s="3" t="inlineStr">
        <is>
          <t>SUDESTE</t>
        </is>
      </c>
      <c r="D466" s="3" t="inlineStr">
        <is>
          <t>ES</t>
        </is>
      </c>
      <c r="E466" s="3" t="inlineStr">
        <is>
          <t>IÚNA</t>
        </is>
      </c>
      <c r="F466" s="3" t="inlineStr">
        <is>
          <t xml:space="preserve">VILA NOVA </t>
        </is>
      </c>
      <c r="G466" s="3" t="inlineStr">
        <is>
          <t>29390000</t>
        </is>
      </c>
      <c r="H466" s="3" t="inlineStr">
        <is>
          <t>Bernard</t>
        </is>
      </c>
      <c r="I466" s="3" t="inlineStr">
        <is>
          <t>Pontual</t>
        </is>
      </c>
      <c r="J466" s="2" t="n">
        <v>7</v>
      </c>
      <c r="K466" s="3" t="inlineStr">
        <is>
          <t>Semana 3</t>
        </is>
      </c>
      <c r="L466" s="3" t="inlineStr">
        <is>
          <t>Normal</t>
        </is>
      </c>
      <c r="M466" s="3" t="inlineStr">
        <is>
          <t>chave 465</t>
        </is>
      </c>
    </row>
    <row r="467">
      <c r="A467" s="2" t="n">
        <v>466</v>
      </c>
      <c r="B467" s="3" t="inlineStr">
        <is>
          <t xml:space="preserve">JOCINEIA GRIFO MOTA GERHARDT </t>
        </is>
      </c>
      <c r="C467" s="3" t="inlineStr">
        <is>
          <t>SUDESTE</t>
        </is>
      </c>
      <c r="D467" s="3" t="inlineStr">
        <is>
          <t>ES</t>
        </is>
      </c>
      <c r="E467" s="3" t="inlineStr">
        <is>
          <t>LINHARES</t>
        </is>
      </c>
      <c r="F467" s="3" t="inlineStr">
        <is>
          <t xml:space="preserve">NOVO HORIZONTE </t>
        </is>
      </c>
      <c r="G467" s="3" t="inlineStr">
        <is>
          <t>29902280</t>
        </is>
      </c>
      <c r="H467" s="3" t="inlineStr">
        <is>
          <t>Bernard</t>
        </is>
      </c>
      <c r="I467" s="3" t="inlineStr">
        <is>
          <t>Pontual</t>
        </is>
      </c>
      <c r="J467" s="2" t="n">
        <v>7</v>
      </c>
      <c r="K467" s="3" t="inlineStr">
        <is>
          <t>Semana 3</t>
        </is>
      </c>
      <c r="L467" s="3" t="inlineStr">
        <is>
          <t>Normal</t>
        </is>
      </c>
      <c r="M467" s="3" t="inlineStr">
        <is>
          <t>chave 466</t>
        </is>
      </c>
    </row>
    <row r="468">
      <c r="A468" s="2" t="n">
        <v>467</v>
      </c>
      <c r="B468" s="3" t="inlineStr">
        <is>
          <t xml:space="preserve">PROJEHAB PROJETOS E SERVICOS LTDA </t>
        </is>
      </c>
      <c r="C468" s="3" t="inlineStr">
        <is>
          <t>SUDESTE</t>
        </is>
      </c>
      <c r="D468" s="3" t="inlineStr">
        <is>
          <t>ES</t>
        </is>
      </c>
      <c r="E468" s="3" t="inlineStr">
        <is>
          <t>BAIXO GUANDU</t>
        </is>
      </c>
      <c r="F468" s="3" t="inlineStr">
        <is>
          <t xml:space="preserve">CENTRO </t>
        </is>
      </c>
      <c r="G468" s="3" t="inlineStr">
        <is>
          <t>29730000</t>
        </is>
      </c>
      <c r="H468" s="3" t="inlineStr">
        <is>
          <t>Bernard</t>
        </is>
      </c>
      <c r="I468" s="3" t="inlineStr">
        <is>
          <t>Pontual</t>
        </is>
      </c>
      <c r="J468" s="2" t="n">
        <v>7</v>
      </c>
      <c r="K468" s="3" t="inlineStr">
        <is>
          <t>Semana 1</t>
        </is>
      </c>
      <c r="L468" s="3" t="inlineStr">
        <is>
          <t>Normal</t>
        </is>
      </c>
      <c r="M468" s="3" t="inlineStr">
        <is>
          <t>chave 467</t>
        </is>
      </c>
    </row>
    <row r="469">
      <c r="A469" s="2" t="n">
        <v>468</v>
      </c>
      <c r="B469" s="3" t="inlineStr">
        <is>
          <t xml:space="preserve">VERDINS PAPELARIA E VARIEDADES LTDA </t>
        </is>
      </c>
      <c r="C469" s="3" t="inlineStr">
        <is>
          <t>SUDESTE</t>
        </is>
      </c>
      <c r="D469" s="3" t="inlineStr">
        <is>
          <t>ES</t>
        </is>
      </c>
      <c r="E469" s="3" t="inlineStr">
        <is>
          <t>COLATINA</t>
        </is>
      </c>
      <c r="F469" s="3" t="inlineStr">
        <is>
          <t xml:space="preserve">HONORIO FRAGA </t>
        </is>
      </c>
      <c r="G469" s="3" t="inlineStr">
        <is>
          <t>29704670</t>
        </is>
      </c>
      <c r="H469" s="3" t="inlineStr">
        <is>
          <t>Bernard</t>
        </is>
      </c>
      <c r="I469" s="3" t="inlineStr">
        <is>
          <t>Pontual</t>
        </is>
      </c>
      <c r="J469" s="2" t="n">
        <v>7</v>
      </c>
      <c r="K469" s="3" t="inlineStr">
        <is>
          <t>Semana 2</t>
        </is>
      </c>
      <c r="L469" s="3" t="inlineStr">
        <is>
          <t>Normal</t>
        </is>
      </c>
      <c r="M469" s="3" t="inlineStr">
        <is>
          <t>chave 468</t>
        </is>
      </c>
    </row>
    <row r="470">
      <c r="A470" s="2" t="n">
        <v>469</v>
      </c>
      <c r="B470" s="3" t="inlineStr">
        <is>
          <t xml:space="preserve">OSTILIO JOSE DA ROCHA </t>
        </is>
      </c>
      <c r="C470" s="3" t="inlineStr">
        <is>
          <t>SUDESTE</t>
        </is>
      </c>
      <c r="D470" s="3" t="inlineStr">
        <is>
          <t>ES</t>
        </is>
      </c>
      <c r="E470" s="3" t="inlineStr">
        <is>
          <t>PANCAS</t>
        </is>
      </c>
      <c r="F470" s="3" t="inlineStr">
        <is>
          <t xml:space="preserve">CENTRO </t>
        </is>
      </c>
      <c r="G470" s="3" t="inlineStr">
        <is>
          <t>29750000</t>
        </is>
      </c>
      <c r="H470" s="3" t="inlineStr">
        <is>
          <t>Bernard</t>
        </is>
      </c>
      <c r="I470" s="3" t="inlineStr">
        <is>
          <t>Pontual</t>
        </is>
      </c>
      <c r="J470" s="2" t="n">
        <v>7</v>
      </c>
      <c r="K470" s="3" t="inlineStr">
        <is>
          <t>Semana 3</t>
        </is>
      </c>
      <c r="L470" s="3" t="inlineStr">
        <is>
          <t>Normal</t>
        </is>
      </c>
      <c r="M470" s="3" t="inlineStr">
        <is>
          <t>chave 469</t>
        </is>
      </c>
    </row>
    <row r="471">
      <c r="A471" s="2" t="n">
        <v>470</v>
      </c>
      <c r="B471" s="3" t="inlineStr">
        <is>
          <t xml:space="preserve">LOJAS JULIANA COMERCIO DE ARTIGOS DE PAPELARIA LTDA </t>
        </is>
      </c>
      <c r="C471" s="3" t="inlineStr">
        <is>
          <t>SUDESTE</t>
        </is>
      </c>
      <c r="D471" s="3" t="inlineStr">
        <is>
          <t>ES</t>
        </is>
      </c>
      <c r="E471" s="3" t="inlineStr">
        <is>
          <t>Marataízes</t>
        </is>
      </c>
      <c r="F471" s="3" t="inlineStr">
        <is>
          <t xml:space="preserve">BARRA DO ITAPEMIRIM </t>
        </is>
      </c>
      <c r="G471" s="3" t="inlineStr">
        <is>
          <t>29345000</t>
        </is>
      </c>
      <c r="H471" s="3" t="inlineStr">
        <is>
          <t>Bernard</t>
        </is>
      </c>
      <c r="I471" s="3" t="inlineStr">
        <is>
          <t>Pontual</t>
        </is>
      </c>
      <c r="J471" s="2" t="n">
        <v>7</v>
      </c>
      <c r="K471" s="3" t="inlineStr">
        <is>
          <t>Semana 3</t>
        </is>
      </c>
      <c r="L471" s="3" t="inlineStr">
        <is>
          <t>Normal</t>
        </is>
      </c>
      <c r="M471" s="3" t="inlineStr">
        <is>
          <t>chave 470</t>
        </is>
      </c>
    </row>
    <row r="472">
      <c r="A472" s="2" t="n">
        <v>471</v>
      </c>
      <c r="B472" s="3" t="inlineStr">
        <is>
          <t xml:space="preserve">BEE STORE PAPELARIA E PRESENTES LTDA </t>
        </is>
      </c>
      <c r="C472" s="3" t="inlineStr">
        <is>
          <t>SUDESTE</t>
        </is>
      </c>
      <c r="D472" s="3" t="inlineStr">
        <is>
          <t>ES</t>
        </is>
      </c>
      <c r="E472" s="3" t="inlineStr">
        <is>
          <t>LINHARES</t>
        </is>
      </c>
      <c r="F472" s="3" t="inlineStr">
        <is>
          <t xml:space="preserve">CENTRO </t>
        </is>
      </c>
      <c r="G472" s="3" t="inlineStr">
        <is>
          <t>29900043</t>
        </is>
      </c>
      <c r="H472" s="3" t="inlineStr">
        <is>
          <t>Bernard</t>
        </is>
      </c>
      <c r="I472" s="3" t="inlineStr">
        <is>
          <t>Pontual</t>
        </is>
      </c>
      <c r="J472" s="2" t="n">
        <v>7</v>
      </c>
      <c r="K472" s="3" t="inlineStr">
        <is>
          <t>Semana 3</t>
        </is>
      </c>
      <c r="L472" s="3" t="inlineStr">
        <is>
          <t>Normal</t>
        </is>
      </c>
      <c r="M472" s="3" t="inlineStr">
        <is>
          <t>chave 471</t>
        </is>
      </c>
    </row>
    <row r="473">
      <c r="A473" s="2" t="n">
        <v>472</v>
      </c>
      <c r="B473" s="3" t="inlineStr">
        <is>
          <t xml:space="preserve">NEW LIFE COMERCIO DE UTILIDADES E SOLUCOES LTDA </t>
        </is>
      </c>
      <c r="C473" s="3" t="inlineStr">
        <is>
          <t>SUDESTE</t>
        </is>
      </c>
      <c r="D473" s="3" t="inlineStr">
        <is>
          <t>ES</t>
        </is>
      </c>
      <c r="E473" s="3" t="inlineStr">
        <is>
          <t>VITÓRIA</t>
        </is>
      </c>
      <c r="F473" s="3" t="inlineStr">
        <is>
          <t xml:space="preserve">JARDIM CAMBURI </t>
        </is>
      </c>
      <c r="G473" s="3" t="inlineStr">
        <is>
          <t>29090060</t>
        </is>
      </c>
      <c r="H473" s="3" t="inlineStr">
        <is>
          <t>Bernard</t>
        </is>
      </c>
      <c r="I473" s="3" t="inlineStr">
        <is>
          <t>Estratégico</t>
        </is>
      </c>
      <c r="J473" s="2" t="n">
        <v>7</v>
      </c>
      <c r="K473" s="3" t="inlineStr">
        <is>
          <t>Semana 1</t>
        </is>
      </c>
      <c r="L473" s="3" t="inlineStr">
        <is>
          <t>Alta</t>
        </is>
      </c>
      <c r="M473" s="3" t="inlineStr">
        <is>
          <t>chave 472</t>
        </is>
      </c>
    </row>
    <row r="474">
      <c r="A474" s="2" t="n">
        <v>473</v>
      </c>
      <c r="B474" s="3" t="inlineStr">
        <is>
          <t xml:space="preserve">PAPELARIA ITABAPOANA 795 LTDA </t>
        </is>
      </c>
      <c r="C474" s="3" t="inlineStr">
        <is>
          <t>SUDESTE</t>
        </is>
      </c>
      <c r="D474" s="3" t="inlineStr">
        <is>
          <t>ES</t>
        </is>
      </c>
      <c r="E474" s="3" t="inlineStr">
        <is>
          <t>BOM JESUS DO NORTE</t>
        </is>
      </c>
      <c r="F474" s="3" t="inlineStr">
        <is>
          <t xml:space="preserve">CENTRO </t>
        </is>
      </c>
      <c r="G474" s="3" t="inlineStr">
        <is>
          <t>29460000</t>
        </is>
      </c>
      <c r="H474" s="3" t="inlineStr">
        <is>
          <t>Bernard</t>
        </is>
      </c>
      <c r="I474" s="3" t="inlineStr">
        <is>
          <t>Pontual</t>
        </is>
      </c>
      <c r="J474" s="2" t="n">
        <v>7</v>
      </c>
      <c r="K474" s="3" t="inlineStr">
        <is>
          <t>Semana 1</t>
        </is>
      </c>
      <c r="L474" s="3" t="inlineStr">
        <is>
          <t>Normal</t>
        </is>
      </c>
      <c r="M474" s="3" t="inlineStr">
        <is>
          <t>chave 473</t>
        </is>
      </c>
    </row>
    <row r="475">
      <c r="A475" s="2" t="n">
        <v>474</v>
      </c>
      <c r="B475" s="3" t="inlineStr">
        <is>
          <t xml:space="preserve">IRMAOS GOBBO LTDA </t>
        </is>
      </c>
      <c r="C475" s="3" t="inlineStr">
        <is>
          <t>SUDESTE</t>
        </is>
      </c>
      <c r="D475" s="3" t="inlineStr">
        <is>
          <t>ES</t>
        </is>
      </c>
      <c r="E475" s="3" t="inlineStr">
        <is>
          <t>BAIXO GUANDU</t>
        </is>
      </c>
      <c r="F475" s="3" t="inlineStr">
        <is>
          <t xml:space="preserve">CENTRO </t>
        </is>
      </c>
      <c r="G475" s="3" t="inlineStr">
        <is>
          <t>29730000</t>
        </is>
      </c>
      <c r="H475" s="3" t="inlineStr">
        <is>
          <t>Bernard</t>
        </is>
      </c>
      <c r="I475" s="3" t="inlineStr">
        <is>
          <t>Pontual</t>
        </is>
      </c>
      <c r="J475" s="2" t="n">
        <v>7</v>
      </c>
      <c r="K475" s="3" t="inlineStr">
        <is>
          <t>Semana 1</t>
        </is>
      </c>
      <c r="L475" s="3" t="inlineStr">
        <is>
          <t>Normal</t>
        </is>
      </c>
      <c r="M475" s="3" t="inlineStr">
        <is>
          <t>chave 474</t>
        </is>
      </c>
    </row>
    <row r="476">
      <c r="A476" s="2" t="n">
        <v>475</v>
      </c>
      <c r="B476" s="3" t="inlineStr">
        <is>
          <t xml:space="preserve">REBONATOS PAPELARIA CAPRICHO LTDA </t>
        </is>
      </c>
      <c r="C476" s="3" t="inlineStr">
        <is>
          <t>SUDESTE</t>
        </is>
      </c>
      <c r="D476" s="3" t="inlineStr">
        <is>
          <t>ES</t>
        </is>
      </c>
      <c r="E476" s="3" t="inlineStr">
        <is>
          <t>São Gabriel da Palha</t>
        </is>
      </c>
      <c r="F476" s="3" t="inlineStr">
        <is>
          <t xml:space="preserve">CENTRO </t>
        </is>
      </c>
      <c r="G476" s="3" t="inlineStr">
        <is>
          <t>29780000</t>
        </is>
      </c>
      <c r="H476" s="3" t="inlineStr">
        <is>
          <t>Bernard</t>
        </is>
      </c>
      <c r="I476" s="3" t="inlineStr">
        <is>
          <t>Pontual</t>
        </is>
      </c>
      <c r="J476" s="2" t="n">
        <v>7</v>
      </c>
      <c r="K476" s="3" t="inlineStr">
        <is>
          <t>Semana 4</t>
        </is>
      </c>
      <c r="L476" s="3" t="inlineStr">
        <is>
          <t>Normal</t>
        </is>
      </c>
      <c r="M476" s="3" t="inlineStr">
        <is>
          <t>chave 475</t>
        </is>
      </c>
    </row>
    <row r="477">
      <c r="A477" s="2" t="n">
        <v>476</v>
      </c>
      <c r="B477" s="3" t="inlineStr">
        <is>
          <t xml:space="preserve">PAPELARIA E PERFUMARIA KIKA-PEL LTDA </t>
        </is>
      </c>
      <c r="C477" s="3" t="inlineStr">
        <is>
          <t>SUDESTE</t>
        </is>
      </c>
      <c r="D477" s="3" t="inlineStr">
        <is>
          <t>ES</t>
        </is>
      </c>
      <c r="E477" s="3" t="inlineStr">
        <is>
          <t>Jaguaré</t>
        </is>
      </c>
      <c r="F477" s="3" t="inlineStr">
        <is>
          <t xml:space="preserve">CENTRO </t>
        </is>
      </c>
      <c r="G477" s="3" t="inlineStr">
        <is>
          <t>29950000</t>
        </is>
      </c>
      <c r="H477" s="3" t="inlineStr">
        <is>
          <t>Bernard</t>
        </is>
      </c>
      <c r="I477" s="3" t="inlineStr">
        <is>
          <t>Pontual</t>
        </is>
      </c>
      <c r="J477" s="2" t="n">
        <v>7</v>
      </c>
      <c r="K477" s="3" t="inlineStr">
        <is>
          <t>Semana 3</t>
        </is>
      </c>
      <c r="L477" s="3" t="inlineStr">
        <is>
          <t>Normal</t>
        </is>
      </c>
      <c r="M477" s="3" t="inlineStr">
        <is>
          <t>chave 476</t>
        </is>
      </c>
    </row>
    <row r="478">
      <c r="A478" s="2" t="n">
        <v>477</v>
      </c>
      <c r="B478" s="3" t="inlineStr">
        <is>
          <t xml:space="preserve">CB BICALHO COMERCIO ATACADISTA E EMPREENDIMENTOS LTDA </t>
        </is>
      </c>
      <c r="C478" s="3" t="inlineStr">
        <is>
          <t>SUDESTE</t>
        </is>
      </c>
      <c r="D478" s="3" t="inlineStr">
        <is>
          <t>ES</t>
        </is>
      </c>
      <c r="E478" s="3" t="inlineStr">
        <is>
          <t>PRESIDENTE KENNEDY</t>
        </is>
      </c>
      <c r="F478" s="3" t="inlineStr">
        <is>
          <t xml:space="preserve">CENTRO </t>
        </is>
      </c>
      <c r="G478" s="3" t="inlineStr">
        <is>
          <t>29350000</t>
        </is>
      </c>
      <c r="H478" s="3" t="inlineStr">
        <is>
          <t>Bernard</t>
        </is>
      </c>
      <c r="I478" s="3" t="inlineStr">
        <is>
          <t>Pontual</t>
        </is>
      </c>
      <c r="J478" s="2" t="n">
        <v>7</v>
      </c>
      <c r="K478" s="3" t="inlineStr">
        <is>
          <t>Semana 4</t>
        </is>
      </c>
      <c r="L478" s="3" t="inlineStr">
        <is>
          <t>Normal</t>
        </is>
      </c>
      <c r="M478" s="3" t="inlineStr">
        <is>
          <t>chave 477</t>
        </is>
      </c>
    </row>
    <row r="479">
      <c r="A479" s="2" t="n">
        <v>478</v>
      </c>
      <c r="B479" s="3" t="inlineStr">
        <is>
          <t xml:space="preserve">SUPER ATACADO UTILIDADES DO LAR LTDA </t>
        </is>
      </c>
      <c r="C479" s="3" t="inlineStr">
        <is>
          <t>SUDESTE</t>
        </is>
      </c>
      <c r="D479" s="3" t="inlineStr">
        <is>
          <t>ES</t>
        </is>
      </c>
      <c r="E479" s="3" t="inlineStr">
        <is>
          <t>CARIACICA</t>
        </is>
      </c>
      <c r="F479" s="3" t="inlineStr">
        <is>
          <t xml:space="preserve">CAMPO GRANDE </t>
        </is>
      </c>
      <c r="G479" s="3" t="inlineStr">
        <is>
          <t>29146201</t>
        </is>
      </c>
      <c r="H479" s="3" t="inlineStr">
        <is>
          <t>Bernard</t>
        </is>
      </c>
      <c r="I479" s="3" t="inlineStr">
        <is>
          <t>Pontual</t>
        </is>
      </c>
      <c r="J479" s="2" t="n">
        <v>7</v>
      </c>
      <c r="K479" s="3" t="inlineStr">
        <is>
          <t>Semana 2</t>
        </is>
      </c>
      <c r="L479" s="3" t="inlineStr">
        <is>
          <t>Normal</t>
        </is>
      </c>
      <c r="M479" s="3" t="inlineStr">
        <is>
          <t>chave 478</t>
        </is>
      </c>
    </row>
    <row r="480">
      <c r="A480" s="2" t="n">
        <v>479</v>
      </c>
      <c r="B480" s="3" t="inlineStr">
        <is>
          <t xml:space="preserve">SR COMERCIO E SERVICOS LTDA </t>
        </is>
      </c>
      <c r="C480" s="3" t="inlineStr">
        <is>
          <t>SUDESTE</t>
        </is>
      </c>
      <c r="D480" s="3" t="inlineStr">
        <is>
          <t>ES</t>
        </is>
      </c>
      <c r="E480" s="3" t="inlineStr">
        <is>
          <t>São Roque do Canaã</t>
        </is>
      </c>
      <c r="F480" s="3" t="inlineStr">
        <is>
          <t xml:space="preserve">SAO ROQUINHO </t>
        </is>
      </c>
      <c r="G480" s="3" t="inlineStr">
        <is>
          <t>29665000</t>
        </is>
      </c>
      <c r="H480" s="3" t="inlineStr">
        <is>
          <t>Bernard</t>
        </is>
      </c>
      <c r="I480" s="3" t="inlineStr">
        <is>
          <t>Pontual</t>
        </is>
      </c>
      <c r="J480" s="2" t="n">
        <v>7</v>
      </c>
      <c r="K480" s="3" t="inlineStr">
        <is>
          <t>Semana 4</t>
        </is>
      </c>
      <c r="L480" s="3" t="inlineStr">
        <is>
          <t>Normal</t>
        </is>
      </c>
      <c r="M480" s="3" t="inlineStr">
        <is>
          <t>chave 479</t>
        </is>
      </c>
    </row>
    <row r="481">
      <c r="A481" s="2" t="n">
        <v>480</v>
      </c>
      <c r="B481" s="3" t="inlineStr">
        <is>
          <t xml:space="preserve">MIL FOLHAS INFORM. ESCR. LTDA </t>
        </is>
      </c>
      <c r="C481" s="3" t="inlineStr">
        <is>
          <t>SUDESTE</t>
        </is>
      </c>
      <c r="D481" s="3" t="inlineStr">
        <is>
          <t>ES</t>
        </is>
      </c>
      <c r="E481" s="3" t="inlineStr">
        <is>
          <t>GUARAPARI</t>
        </is>
      </c>
      <c r="F481" s="3" t="inlineStr">
        <is>
          <t xml:space="preserve">MUQUICABA </t>
        </is>
      </c>
      <c r="G481" s="3" t="inlineStr">
        <is>
          <t>29215440</t>
        </is>
      </c>
      <c r="H481" s="3" t="inlineStr">
        <is>
          <t>Bernard</t>
        </is>
      </c>
      <c r="I481" s="3" t="inlineStr">
        <is>
          <t>Pontual</t>
        </is>
      </c>
      <c r="J481" s="2" t="n">
        <v>7</v>
      </c>
      <c r="K481" s="3" t="inlineStr">
        <is>
          <t>Semana 2</t>
        </is>
      </c>
      <c r="L481" s="3" t="inlineStr">
        <is>
          <t>Normal</t>
        </is>
      </c>
      <c r="M481" s="3" t="inlineStr">
        <is>
          <t>chave 480</t>
        </is>
      </c>
    </row>
    <row r="482">
      <c r="A482" s="2" t="n">
        <v>481</v>
      </c>
      <c r="B482" s="3" t="inlineStr">
        <is>
          <t xml:space="preserve">DS DISTRIBUIDORA COMERCIAL LTDA </t>
        </is>
      </c>
      <c r="C482" s="3" t="inlineStr">
        <is>
          <t>SUDESTE</t>
        </is>
      </c>
      <c r="D482" s="3" t="inlineStr">
        <is>
          <t>ES</t>
        </is>
      </c>
      <c r="E482" s="3" t="inlineStr">
        <is>
          <t>VILA VELHA</t>
        </is>
      </c>
      <c r="F482" s="3" t="inlineStr">
        <is>
          <t xml:space="preserve">DARLU SANTOS </t>
        </is>
      </c>
      <c r="G482" s="3" t="inlineStr">
        <is>
          <t>29103311</t>
        </is>
      </c>
      <c r="H482" s="3" t="inlineStr">
        <is>
          <t>Bernard</t>
        </is>
      </c>
      <c r="I482" s="3" t="inlineStr">
        <is>
          <t>Pontual</t>
        </is>
      </c>
      <c r="J482" s="2" t="n">
        <v>7</v>
      </c>
      <c r="K482" s="3" t="inlineStr">
        <is>
          <t>Semana 4</t>
        </is>
      </c>
      <c r="L482" s="3" t="inlineStr">
        <is>
          <t>Normal</t>
        </is>
      </c>
      <c r="M482" s="3" t="inlineStr">
        <is>
          <t>chave 481</t>
        </is>
      </c>
    </row>
    <row r="483">
      <c r="A483" s="2" t="n">
        <v>482</v>
      </c>
      <c r="B483" s="3" t="inlineStr">
        <is>
          <t xml:space="preserve">MAGAZINE MIL PAPEIS LTDA </t>
        </is>
      </c>
      <c r="C483" s="3" t="inlineStr">
        <is>
          <t>SUDESTE</t>
        </is>
      </c>
      <c r="D483" s="3" t="inlineStr">
        <is>
          <t>ES</t>
        </is>
      </c>
      <c r="E483" s="3" t="inlineStr">
        <is>
          <t>Conceição da Barra</t>
        </is>
      </c>
      <c r="F483" s="3" t="inlineStr">
        <is>
          <t xml:space="preserve">SANTO AMARO </t>
        </is>
      </c>
      <c r="G483" s="3" t="inlineStr">
        <is>
          <t>29960000</t>
        </is>
      </c>
      <c r="H483" s="3" t="inlineStr">
        <is>
          <t>Bernard</t>
        </is>
      </c>
      <c r="I483" s="3" t="inlineStr">
        <is>
          <t>Pontual</t>
        </is>
      </c>
      <c r="J483" s="2" t="n">
        <v>7</v>
      </c>
      <c r="K483" s="3" t="inlineStr">
        <is>
          <t>Semana 2</t>
        </is>
      </c>
      <c r="L483" s="3" t="inlineStr">
        <is>
          <t>Normal</t>
        </is>
      </c>
      <c r="M483" s="3" t="inlineStr">
        <is>
          <t>chave 482</t>
        </is>
      </c>
    </row>
    <row r="484">
      <c r="A484" s="2" t="n">
        <v>483</v>
      </c>
      <c r="B484" s="3" t="inlineStr">
        <is>
          <t xml:space="preserve">GROUP PONTO CERTO COM &amp; DISTRIB.DE PAPEIS E UTILIDADES LTDA </t>
        </is>
      </c>
      <c r="C484" s="3" t="inlineStr">
        <is>
          <t>SUDESTE</t>
        </is>
      </c>
      <c r="D484" s="3" t="inlineStr">
        <is>
          <t>ES</t>
        </is>
      </c>
      <c r="E484" s="3" t="inlineStr">
        <is>
          <t>MONTANHA</t>
        </is>
      </c>
      <c r="F484" s="3" t="inlineStr">
        <is>
          <t xml:space="preserve">BRASILIA </t>
        </is>
      </c>
      <c r="G484" s="3" t="inlineStr">
        <is>
          <t>29890000</t>
        </is>
      </c>
      <c r="H484" s="3" t="inlineStr">
        <is>
          <t>Bernard</t>
        </is>
      </c>
      <c r="I484" s="3" t="inlineStr">
        <is>
          <t>Pontual</t>
        </is>
      </c>
      <c r="J484" s="2" t="n">
        <v>7</v>
      </c>
      <c r="K484" s="3" t="inlineStr">
        <is>
          <t>Semana 3</t>
        </is>
      </c>
      <c r="L484" s="3" t="inlineStr">
        <is>
          <t>Normal</t>
        </is>
      </c>
      <c r="M484" s="3" t="inlineStr">
        <is>
          <t>chave 483</t>
        </is>
      </c>
    </row>
    <row r="485">
      <c r="A485" s="2" t="n">
        <v>484</v>
      </c>
      <c r="B485" s="3" t="inlineStr">
        <is>
          <t xml:space="preserve">BERGER PAPELARIA LTDA </t>
        </is>
      </c>
      <c r="C485" s="3" t="inlineStr">
        <is>
          <t>SUDESTE</t>
        </is>
      </c>
      <c r="D485" s="3" t="inlineStr">
        <is>
          <t>ES</t>
        </is>
      </c>
      <c r="E485" s="3" t="inlineStr">
        <is>
          <t>VIANA</t>
        </is>
      </c>
      <c r="F485" s="3" t="inlineStr">
        <is>
          <t xml:space="preserve">MARCILIO DE NORONHA </t>
        </is>
      </c>
      <c r="G485" s="3" t="inlineStr">
        <is>
          <t>29135368</t>
        </is>
      </c>
      <c r="H485" s="3" t="inlineStr">
        <is>
          <t>Bernard</t>
        </is>
      </c>
      <c r="I485" s="3" t="inlineStr">
        <is>
          <t>Pontual</t>
        </is>
      </c>
      <c r="J485" s="2" t="n">
        <v>7</v>
      </c>
      <c r="K485" s="3" t="inlineStr">
        <is>
          <t>Semana 4</t>
        </is>
      </c>
      <c r="L485" s="3" t="inlineStr">
        <is>
          <t>Normal</t>
        </is>
      </c>
      <c r="M485" s="3" t="inlineStr">
        <is>
          <t>chave 484</t>
        </is>
      </c>
    </row>
    <row r="486">
      <c r="A486" s="2" t="n">
        <v>485</v>
      </c>
      <c r="B486" s="3" t="inlineStr">
        <is>
          <t xml:space="preserve">D &amp; C PAPELARIA E LIVRARIA LTDA </t>
        </is>
      </c>
      <c r="C486" s="3" t="inlineStr">
        <is>
          <t>SUDESTE</t>
        </is>
      </c>
      <c r="D486" s="3" t="inlineStr">
        <is>
          <t>ES</t>
        </is>
      </c>
      <c r="E486" s="3" t="inlineStr">
        <is>
          <t>GUARAPARI</t>
        </is>
      </c>
      <c r="F486" s="3" t="inlineStr">
        <is>
          <t xml:space="preserve">CENTRO </t>
        </is>
      </c>
      <c r="G486" s="3" t="inlineStr">
        <is>
          <t>29200420</t>
        </is>
      </c>
      <c r="H486" s="3" t="inlineStr">
        <is>
          <t>Bernard</t>
        </is>
      </c>
      <c r="I486" s="3" t="inlineStr">
        <is>
          <t>Pontual</t>
        </is>
      </c>
      <c r="J486" s="2" t="n">
        <v>7</v>
      </c>
      <c r="K486" s="3" t="inlineStr">
        <is>
          <t>Semana 2</t>
        </is>
      </c>
      <c r="L486" s="3" t="inlineStr">
        <is>
          <t>Normal</t>
        </is>
      </c>
      <c r="M486" s="3" t="inlineStr">
        <is>
          <t>chave 485</t>
        </is>
      </c>
    </row>
    <row r="487">
      <c r="A487" s="2" t="n">
        <v>486</v>
      </c>
      <c r="B487" s="3" t="inlineStr">
        <is>
          <t xml:space="preserve">CACHOEIRO COMERCIO DE UTILIDADES LTDA </t>
        </is>
      </c>
      <c r="C487" s="3" t="inlineStr">
        <is>
          <t>SUDESTE</t>
        </is>
      </c>
      <c r="D487" s="3" t="inlineStr">
        <is>
          <t>ES</t>
        </is>
      </c>
      <c r="E487" s="3" t="inlineStr">
        <is>
          <t>CACHOEIRO DE ITAPEMIRIM</t>
        </is>
      </c>
      <c r="F487" s="3" t="inlineStr">
        <is>
          <t xml:space="preserve">GUANDÚ </t>
        </is>
      </c>
      <c r="G487" s="3" t="inlineStr">
        <is>
          <t>29300797</t>
        </is>
      </c>
      <c r="H487" s="3" t="inlineStr">
        <is>
          <t>Bernard</t>
        </is>
      </c>
      <c r="I487" s="3" t="inlineStr">
        <is>
          <t>Pontual</t>
        </is>
      </c>
      <c r="J487" s="2" t="n">
        <v>7</v>
      </c>
      <c r="K487" s="3" t="inlineStr">
        <is>
          <t>Semana 2</t>
        </is>
      </c>
      <c r="L487" s="3" t="inlineStr">
        <is>
          <t>Normal</t>
        </is>
      </c>
      <c r="M487" s="3" t="inlineStr">
        <is>
          <t>chave 486</t>
        </is>
      </c>
    </row>
    <row r="488">
      <c r="A488" s="2" t="n">
        <v>487</v>
      </c>
      <c r="B488" s="3" t="inlineStr">
        <is>
          <t xml:space="preserve">WALDIR TIETZ </t>
        </is>
      </c>
      <c r="C488" s="3" t="inlineStr">
        <is>
          <t>SUDESTE</t>
        </is>
      </c>
      <c r="D488" s="3" t="inlineStr">
        <is>
          <t>ES</t>
        </is>
      </c>
      <c r="E488" s="3" t="inlineStr">
        <is>
          <t>Itaguaçu</t>
        </is>
      </c>
      <c r="F488" s="3" t="inlineStr">
        <is>
          <t xml:space="preserve">CENTRO </t>
        </is>
      </c>
      <c r="G488" s="3" t="inlineStr">
        <is>
          <t>29690000</t>
        </is>
      </c>
      <c r="H488" s="3" t="inlineStr">
        <is>
          <t>Bernard</t>
        </is>
      </c>
      <c r="I488" s="3" t="inlineStr">
        <is>
          <t>Pontual</t>
        </is>
      </c>
      <c r="J488" s="2" t="n">
        <v>7</v>
      </c>
      <c r="K488" s="3" t="inlineStr">
        <is>
          <t>Semana 2</t>
        </is>
      </c>
      <c r="L488" s="3" t="inlineStr">
        <is>
          <t>Normal</t>
        </is>
      </c>
      <c r="M488" s="3" t="inlineStr">
        <is>
          <t>chave 487</t>
        </is>
      </c>
    </row>
    <row r="489">
      <c r="A489" s="2" t="n">
        <v>488</v>
      </c>
      <c r="B489" s="3" t="inlineStr">
        <is>
          <t xml:space="preserve">ATACADO NOSSA LTDA </t>
        </is>
      </c>
      <c r="C489" s="3" t="inlineStr">
        <is>
          <t>SUDESTE</t>
        </is>
      </c>
      <c r="D489" s="3" t="inlineStr">
        <is>
          <t>ES</t>
        </is>
      </c>
      <c r="E489" s="3" t="inlineStr">
        <is>
          <t>LINHARES</t>
        </is>
      </c>
      <c r="F489" s="3" t="inlineStr">
        <is>
          <t xml:space="preserve">LINHARES V </t>
        </is>
      </c>
      <c r="G489" s="3" t="inlineStr">
        <is>
          <t>29905190</t>
        </is>
      </c>
      <c r="H489" s="3" t="inlineStr">
        <is>
          <t>Bernard</t>
        </is>
      </c>
      <c r="I489" s="3" t="inlineStr">
        <is>
          <t>Pontual</t>
        </is>
      </c>
      <c r="J489" s="2" t="n">
        <v>7</v>
      </c>
      <c r="K489" s="3" t="inlineStr">
        <is>
          <t>Semana 3</t>
        </is>
      </c>
      <c r="L489" s="3" t="inlineStr">
        <is>
          <t>Normal</t>
        </is>
      </c>
      <c r="M489" s="3" t="inlineStr">
        <is>
          <t>chave 488</t>
        </is>
      </c>
    </row>
    <row r="490">
      <c r="A490" s="2" t="n">
        <v>489</v>
      </c>
      <c r="B490" s="3" t="inlineStr">
        <is>
          <t xml:space="preserve">LUIZA M. RIZ DE OLIVERA </t>
        </is>
      </c>
      <c r="C490" s="3" t="inlineStr">
        <is>
          <t>SUDESTE</t>
        </is>
      </c>
      <c r="D490" s="3" t="inlineStr">
        <is>
          <t>ES</t>
        </is>
      </c>
      <c r="E490" s="3" t="inlineStr">
        <is>
          <t>IRUPI</t>
        </is>
      </c>
      <c r="F490" s="3" t="inlineStr">
        <is>
          <t xml:space="preserve">CENTRO </t>
        </is>
      </c>
      <c r="G490" s="3" t="inlineStr">
        <is>
          <t>29398000</t>
        </is>
      </c>
      <c r="H490" s="3" t="inlineStr">
        <is>
          <t>Bernard</t>
        </is>
      </c>
      <c r="I490" s="3" t="inlineStr">
        <is>
          <t>Pontual</t>
        </is>
      </c>
      <c r="J490" s="2" t="n">
        <v>7</v>
      </c>
      <c r="K490" s="3" t="inlineStr">
        <is>
          <t>Semana 2</t>
        </is>
      </c>
      <c r="L490" s="3" t="inlineStr">
        <is>
          <t>Normal</t>
        </is>
      </c>
      <c r="M490" s="3" t="inlineStr">
        <is>
          <t>chave 489</t>
        </is>
      </c>
    </row>
    <row r="491">
      <c r="A491" s="2" t="n">
        <v>490</v>
      </c>
      <c r="B491" s="3" t="inlineStr">
        <is>
          <t xml:space="preserve">GR PAPELARIA LTDA </t>
        </is>
      </c>
      <c r="C491" s="3" t="inlineStr">
        <is>
          <t>SUDESTE</t>
        </is>
      </c>
      <c r="D491" s="3" t="inlineStr">
        <is>
          <t>ES</t>
        </is>
      </c>
      <c r="E491" s="3" t="inlineStr">
        <is>
          <t>Barra de São Francisco</t>
        </is>
      </c>
      <c r="F491" s="3" t="inlineStr">
        <is>
          <t xml:space="preserve">CENTRO </t>
        </is>
      </c>
      <c r="G491" s="3" t="inlineStr">
        <is>
          <t>29800000</t>
        </is>
      </c>
      <c r="H491" s="3" t="inlineStr">
        <is>
          <t>Bernard</t>
        </is>
      </c>
      <c r="I491" s="3" t="inlineStr">
        <is>
          <t>Pontual</t>
        </is>
      </c>
      <c r="J491" s="2" t="n">
        <v>7</v>
      </c>
      <c r="K491" s="3" t="inlineStr">
        <is>
          <t>Semana 1</t>
        </is>
      </c>
      <c r="L491" s="3" t="inlineStr">
        <is>
          <t>Normal</t>
        </is>
      </c>
      <c r="M491" s="3" t="inlineStr">
        <is>
          <t>chave 490</t>
        </is>
      </c>
    </row>
    <row r="492">
      <c r="A492" s="2" t="n">
        <v>491</v>
      </c>
      <c r="B492" s="3" t="inlineStr">
        <is>
          <t xml:space="preserve">ATACADAO MULTIMARCAS LTDA </t>
        </is>
      </c>
      <c r="C492" s="3" t="inlineStr">
        <is>
          <t>SUDESTE</t>
        </is>
      </c>
      <c r="D492" s="3" t="inlineStr">
        <is>
          <t>MG</t>
        </is>
      </c>
      <c r="E492" s="3" t="inlineStr">
        <is>
          <t>BELO HORIZONTE</t>
        </is>
      </c>
      <c r="F492" s="3" t="inlineStr">
        <is>
          <t xml:space="preserve">BONFIM </t>
        </is>
      </c>
      <c r="G492" s="3" t="inlineStr">
        <is>
          <t>31210160</t>
        </is>
      </c>
      <c r="H492" s="3" t="inlineStr">
        <is>
          <t>Andressa</t>
        </is>
      </c>
      <c r="I492" s="3" t="inlineStr">
        <is>
          <t>Estratégico</t>
        </is>
      </c>
      <c r="J492" s="2" t="n">
        <v>380</v>
      </c>
      <c r="K492" s="3" t="inlineStr">
        <is>
          <t>Semana 1</t>
        </is>
      </c>
      <c r="L492" s="3" t="inlineStr">
        <is>
          <t>Alta</t>
        </is>
      </c>
      <c r="M492" s="3" t="inlineStr">
        <is>
          <t>chave 491</t>
        </is>
      </c>
    </row>
    <row r="493">
      <c r="A493" s="2" t="n">
        <v>492</v>
      </c>
      <c r="B493" s="3" t="inlineStr">
        <is>
          <t xml:space="preserve">PAPELARIA CANDIDES LTDA </t>
        </is>
      </c>
      <c r="C493" s="3" t="inlineStr">
        <is>
          <t>SUDESTE</t>
        </is>
      </c>
      <c r="D493" s="3" t="inlineStr">
        <is>
          <t>MG</t>
        </is>
      </c>
      <c r="E493" s="3" t="inlineStr">
        <is>
          <t>Divinópolis</t>
        </is>
      </c>
      <c r="F493" s="3" t="inlineStr">
        <is>
          <t xml:space="preserve">CENTRO </t>
        </is>
      </c>
      <c r="G493" s="3" t="inlineStr">
        <is>
          <t>35500002</t>
        </is>
      </c>
      <c r="H493" s="3" t="inlineStr">
        <is>
          <t>Andressa</t>
        </is>
      </c>
      <c r="I493" s="3" t="inlineStr">
        <is>
          <t>Médio</t>
        </is>
      </c>
      <c r="J493" s="2" t="n">
        <v>380</v>
      </c>
      <c r="K493" s="3" t="inlineStr">
        <is>
          <t>Semana 2</t>
        </is>
      </c>
      <c r="L493" s="3" t="inlineStr">
        <is>
          <t>Normal</t>
        </is>
      </c>
      <c r="M493" s="3" t="inlineStr">
        <is>
          <t>chave 492</t>
        </is>
      </c>
    </row>
    <row r="494">
      <c r="A494" s="2" t="n">
        <v>493</v>
      </c>
      <c r="B494" s="3" t="inlineStr">
        <is>
          <t xml:space="preserve">ZACHEU &amp; ZACHEU EMBALAGENS LTDA </t>
        </is>
      </c>
      <c r="C494" s="3" t="inlineStr">
        <is>
          <t>SUDESTE</t>
        </is>
      </c>
      <c r="D494" s="3" t="inlineStr">
        <is>
          <t>MG</t>
        </is>
      </c>
      <c r="E494" s="3" t="inlineStr">
        <is>
          <t>POUSO ALEGRE</t>
        </is>
      </c>
      <c r="F494" s="3" t="inlineStr">
        <is>
          <t xml:space="preserve">CENTRO </t>
        </is>
      </c>
      <c r="G494" s="3" t="inlineStr">
        <is>
          <t>37550000</t>
        </is>
      </c>
      <c r="H494" s="3" t="inlineStr">
        <is>
          <t>Andressa</t>
        </is>
      </c>
      <c r="I494" s="3" t="inlineStr">
        <is>
          <t>Médio</t>
        </is>
      </c>
      <c r="J494" s="2" t="n">
        <v>380</v>
      </c>
      <c r="K494" s="3" t="inlineStr">
        <is>
          <t>Semana 3</t>
        </is>
      </c>
      <c r="L494" s="3" t="inlineStr">
        <is>
          <t>Normal</t>
        </is>
      </c>
      <c r="M494" s="3" t="inlineStr">
        <is>
          <t>chave 493</t>
        </is>
      </c>
    </row>
    <row r="495">
      <c r="A495" s="2" t="n">
        <v>494</v>
      </c>
      <c r="B495" s="3" t="inlineStr">
        <is>
          <t xml:space="preserve">FOCO COMERCIO DE UTILIDADES DOMESTICAS LTDA </t>
        </is>
      </c>
      <c r="C495" s="3" t="inlineStr">
        <is>
          <t>SUDESTE</t>
        </is>
      </c>
      <c r="D495" s="3" t="inlineStr">
        <is>
          <t>MG</t>
        </is>
      </c>
      <c r="E495" s="3" t="inlineStr">
        <is>
          <t>BELO HORIZONTE</t>
        </is>
      </c>
      <c r="F495" s="3" t="inlineStr">
        <is>
          <t xml:space="preserve">CAMARGOS </t>
        </is>
      </c>
      <c r="G495" s="3" t="inlineStr">
        <is>
          <t>30520380</t>
        </is>
      </c>
      <c r="H495" s="3" t="inlineStr">
        <is>
          <t>Andressa</t>
        </is>
      </c>
      <c r="I495" s="3" t="inlineStr">
        <is>
          <t>Estratégico</t>
        </is>
      </c>
      <c r="J495" s="2" t="n">
        <v>380</v>
      </c>
      <c r="K495" s="3" t="inlineStr">
        <is>
          <t>Semana 1</t>
        </is>
      </c>
      <c r="L495" s="3" t="inlineStr">
        <is>
          <t>Alta</t>
        </is>
      </c>
      <c r="M495" s="3" t="inlineStr">
        <is>
          <t>chave 494</t>
        </is>
      </c>
    </row>
    <row r="496">
      <c r="A496" s="2" t="n">
        <v>495</v>
      </c>
      <c r="B496" s="3" t="inlineStr">
        <is>
          <t xml:space="preserve">FORTIL LIMITADA </t>
        </is>
      </c>
      <c r="C496" s="3" t="inlineStr">
        <is>
          <t>SUDESTE</t>
        </is>
      </c>
      <c r="D496" s="3" t="inlineStr">
        <is>
          <t>MG</t>
        </is>
      </c>
      <c r="E496" s="3" t="inlineStr">
        <is>
          <t>Divinópolis</t>
        </is>
      </c>
      <c r="F496" s="3" t="inlineStr">
        <is>
          <t xml:space="preserve">CENTRO </t>
        </is>
      </c>
      <c r="G496" s="3" t="inlineStr">
        <is>
          <t>35500007</t>
        </is>
      </c>
      <c r="H496" s="3" t="inlineStr">
        <is>
          <t>Andressa</t>
        </is>
      </c>
      <c r="I496" s="3" t="inlineStr">
        <is>
          <t>Médio</t>
        </is>
      </c>
      <c r="J496" s="2" t="n">
        <v>380</v>
      </c>
      <c r="K496" s="3" t="inlineStr">
        <is>
          <t>Semana 2</t>
        </is>
      </c>
      <c r="L496" s="3" t="inlineStr">
        <is>
          <t>Normal</t>
        </is>
      </c>
      <c r="M496" s="3" t="inlineStr">
        <is>
          <t>chave 495</t>
        </is>
      </c>
    </row>
    <row r="497">
      <c r="A497" s="2" t="n">
        <v>496</v>
      </c>
      <c r="B497" s="3" t="inlineStr">
        <is>
          <t xml:space="preserve">MECPEL PAPELARIA E LIVRARIA LTDA </t>
        </is>
      </c>
      <c r="C497" s="3" t="inlineStr">
        <is>
          <t>SUDESTE</t>
        </is>
      </c>
      <c r="D497" s="3" t="inlineStr">
        <is>
          <t>MG</t>
        </is>
      </c>
      <c r="E497" s="3" t="inlineStr">
        <is>
          <t>JUIZ DE FORA</t>
        </is>
      </c>
      <c r="F497" s="3" t="inlineStr">
        <is>
          <t xml:space="preserve">CENTRO </t>
        </is>
      </c>
      <c r="G497" s="3" t="inlineStr">
        <is>
          <t>36013010</t>
        </is>
      </c>
      <c r="H497" s="3" t="inlineStr">
        <is>
          <t>Andressa</t>
        </is>
      </c>
      <c r="I497" s="3" t="inlineStr">
        <is>
          <t>Forte</t>
        </is>
      </c>
      <c r="J497" s="2" t="n">
        <v>380</v>
      </c>
      <c r="K497" s="3" t="inlineStr">
        <is>
          <t>Semana 2</t>
        </is>
      </c>
      <c r="L497" s="3" t="inlineStr">
        <is>
          <t>Média</t>
        </is>
      </c>
      <c r="M497" s="3" t="inlineStr">
        <is>
          <t>chave 496</t>
        </is>
      </c>
    </row>
    <row r="498">
      <c r="A498" s="2" t="n">
        <v>497</v>
      </c>
      <c r="B498" s="3" t="inlineStr">
        <is>
          <t xml:space="preserve">ARMARINHO MARINHO LTDA </t>
        </is>
      </c>
      <c r="C498" s="3" t="inlineStr">
        <is>
          <t>SUDESTE</t>
        </is>
      </c>
      <c r="D498" s="3" t="inlineStr">
        <is>
          <t>MG</t>
        </is>
      </c>
      <c r="E498" s="3" t="inlineStr">
        <is>
          <t>Pará de Minas</t>
        </is>
      </c>
      <c r="F498" s="3" t="inlineStr">
        <is>
          <t xml:space="preserve">N.S.DAS GRACAS </t>
        </is>
      </c>
      <c r="G498" s="3" t="inlineStr">
        <is>
          <t>35660970</t>
        </is>
      </c>
      <c r="H498" s="3" t="inlineStr">
        <is>
          <t>Andressa</t>
        </is>
      </c>
      <c r="I498" s="3" t="inlineStr">
        <is>
          <t>Médio</t>
        </is>
      </c>
      <c r="J498" s="2" t="n">
        <v>380</v>
      </c>
      <c r="K498" s="3" t="inlineStr">
        <is>
          <t>Semana 3</t>
        </is>
      </c>
      <c r="L498" s="3" t="inlineStr">
        <is>
          <t>Normal</t>
        </is>
      </c>
      <c r="M498" s="3" t="inlineStr">
        <is>
          <t>chave 497</t>
        </is>
      </c>
    </row>
    <row r="499">
      <c r="A499" s="2" t="n">
        <v>498</v>
      </c>
      <c r="B499" s="3" t="inlineStr">
        <is>
          <t xml:space="preserve">ALIANCA COMERCIO E DISTRIBUICAO DE PAPELARIA LTDA </t>
        </is>
      </c>
      <c r="C499" s="3" t="inlineStr">
        <is>
          <t>SUDESTE</t>
        </is>
      </c>
      <c r="D499" s="3" t="inlineStr">
        <is>
          <t>MG</t>
        </is>
      </c>
      <c r="E499" s="3" t="inlineStr">
        <is>
          <t>Pará de Minas</t>
        </is>
      </c>
      <c r="F499" s="3" t="inlineStr">
        <is>
          <t xml:space="preserve">DA PROVIDENCIA </t>
        </is>
      </c>
      <c r="G499" s="3" t="inlineStr">
        <is>
          <t>35660970</t>
        </is>
      </c>
      <c r="H499" s="3" t="inlineStr">
        <is>
          <t>Andressa</t>
        </is>
      </c>
      <c r="I499" s="3" t="inlineStr">
        <is>
          <t>Médio</t>
        </is>
      </c>
      <c r="J499" s="2" t="n">
        <v>380</v>
      </c>
      <c r="K499" s="3" t="inlineStr">
        <is>
          <t>Semana 3</t>
        </is>
      </c>
      <c r="L499" s="3" t="inlineStr">
        <is>
          <t>Normal</t>
        </is>
      </c>
      <c r="M499" s="3" t="inlineStr">
        <is>
          <t>chave 498</t>
        </is>
      </c>
    </row>
    <row r="500">
      <c r="A500" s="2" t="n">
        <v>499</v>
      </c>
      <c r="B500" s="3" t="inlineStr">
        <is>
          <t xml:space="preserve">CENTRAL SERVICOS E PAPELARIA LTDA </t>
        </is>
      </c>
      <c r="C500" s="3" t="inlineStr">
        <is>
          <t>SUDESTE</t>
        </is>
      </c>
      <c r="D500" s="3" t="inlineStr">
        <is>
          <t>MG</t>
        </is>
      </c>
      <c r="E500" s="3" t="inlineStr">
        <is>
          <t>Araçuaí</t>
        </is>
      </c>
      <c r="F500" s="3" t="inlineStr">
        <is>
          <t xml:space="preserve">CENTRO </t>
        </is>
      </c>
      <c r="G500" s="3" t="inlineStr">
        <is>
          <t>39600000</t>
        </is>
      </c>
      <c r="H500" s="3" t="inlineStr">
        <is>
          <t>Andressa</t>
        </is>
      </c>
      <c r="I500" s="3" t="inlineStr">
        <is>
          <t>Médio</t>
        </is>
      </c>
      <c r="J500" s="2" t="n">
        <v>380</v>
      </c>
      <c r="K500" s="3" t="inlineStr">
        <is>
          <t>Semana 2</t>
        </is>
      </c>
      <c r="L500" s="3" t="inlineStr">
        <is>
          <t>Normal</t>
        </is>
      </c>
      <c r="M500" s="3" t="inlineStr">
        <is>
          <t>chave 499</t>
        </is>
      </c>
    </row>
    <row r="501">
      <c r="A501" s="2" t="n">
        <v>500</v>
      </c>
      <c r="B501" s="3" t="inlineStr">
        <is>
          <t xml:space="preserve">PAPELARIA FAZZA LTDA </t>
        </is>
      </c>
      <c r="C501" s="3" t="inlineStr">
        <is>
          <t>SUDESTE</t>
        </is>
      </c>
      <c r="D501" s="3" t="inlineStr">
        <is>
          <t>MG</t>
        </is>
      </c>
      <c r="E501" s="3" t="inlineStr">
        <is>
          <t>JUIZ DE FORA</t>
        </is>
      </c>
      <c r="F501" s="3" t="inlineStr">
        <is>
          <t xml:space="preserve">CENTRO </t>
        </is>
      </c>
      <c r="G501" s="3" t="inlineStr">
        <is>
          <t>36013000</t>
        </is>
      </c>
      <c r="H501" s="3" t="inlineStr">
        <is>
          <t>Andressa</t>
        </is>
      </c>
      <c r="I501" s="3" t="inlineStr">
        <is>
          <t>Forte</t>
        </is>
      </c>
      <c r="J501" s="2" t="n">
        <v>380</v>
      </c>
      <c r="K501" s="3" t="inlineStr">
        <is>
          <t>Semana 2</t>
        </is>
      </c>
      <c r="L501" s="3" t="inlineStr">
        <is>
          <t>Média</t>
        </is>
      </c>
      <c r="M501" s="3" t="inlineStr">
        <is>
          <t>chave 500</t>
        </is>
      </c>
    </row>
    <row r="502">
      <c r="A502" s="2" t="n">
        <v>501</v>
      </c>
      <c r="B502" s="3" t="inlineStr">
        <is>
          <t xml:space="preserve">ZILIX DISTRIBUIDORA DE PAPEIS LTDA </t>
        </is>
      </c>
      <c r="C502" s="3" t="inlineStr">
        <is>
          <t>SUDESTE</t>
        </is>
      </c>
      <c r="D502" s="3" t="inlineStr">
        <is>
          <t>MG</t>
        </is>
      </c>
      <c r="E502" s="3" t="inlineStr">
        <is>
          <t>Pará de Minas</t>
        </is>
      </c>
      <c r="F502" s="3" t="inlineStr">
        <is>
          <t xml:space="preserve">SAO JOSE </t>
        </is>
      </c>
      <c r="G502" s="3" t="inlineStr">
        <is>
          <t>35660149</t>
        </is>
      </c>
      <c r="H502" s="3" t="inlineStr">
        <is>
          <t>Andressa</t>
        </is>
      </c>
      <c r="I502" s="3" t="inlineStr">
        <is>
          <t>Médio</t>
        </is>
      </c>
      <c r="J502" s="2" t="n">
        <v>380</v>
      </c>
      <c r="K502" s="3" t="inlineStr">
        <is>
          <t>Semana 3</t>
        </is>
      </c>
      <c r="L502" s="3" t="inlineStr">
        <is>
          <t>Normal</t>
        </is>
      </c>
      <c r="M502" s="3" t="inlineStr">
        <is>
          <t>chave 501</t>
        </is>
      </c>
    </row>
    <row r="503">
      <c r="A503" s="2" t="n">
        <v>502</v>
      </c>
      <c r="B503" s="3" t="inlineStr">
        <is>
          <t xml:space="preserve">POINT - COMERCIO DE PRESENTES E UTILIDADES DOMESTICAS LTDA </t>
        </is>
      </c>
      <c r="C503" s="3" t="inlineStr">
        <is>
          <t>SUDESTE</t>
        </is>
      </c>
      <c r="D503" s="3" t="inlineStr">
        <is>
          <t>MG</t>
        </is>
      </c>
      <c r="E503" s="3" t="inlineStr">
        <is>
          <t>BELO HORIZONTE</t>
        </is>
      </c>
      <c r="F503" s="3" t="inlineStr">
        <is>
          <t xml:space="preserve">VENDA NOVA </t>
        </is>
      </c>
      <c r="G503" s="3" t="inlineStr">
        <is>
          <t>31615310</t>
        </is>
      </c>
      <c r="H503" s="3" t="inlineStr">
        <is>
          <t>Andressa</t>
        </is>
      </c>
      <c r="I503" s="3" t="inlineStr">
        <is>
          <t>Estratégico</t>
        </is>
      </c>
      <c r="J503" s="2" t="n">
        <v>380</v>
      </c>
      <c r="K503" s="3" t="inlineStr">
        <is>
          <t>Semana 1</t>
        </is>
      </c>
      <c r="L503" s="3" t="inlineStr">
        <is>
          <t>Alta</t>
        </is>
      </c>
      <c r="M503" s="3" t="inlineStr">
        <is>
          <t>chave 502</t>
        </is>
      </c>
    </row>
    <row r="504">
      <c r="A504" s="2" t="n">
        <v>503</v>
      </c>
      <c r="B504" s="3" t="inlineStr">
        <is>
          <t xml:space="preserve">LFC DOMITH LTDA </t>
        </is>
      </c>
      <c r="C504" s="3" t="inlineStr">
        <is>
          <t>SUDESTE</t>
        </is>
      </c>
      <c r="D504" s="3" t="inlineStr">
        <is>
          <t>MG</t>
        </is>
      </c>
      <c r="E504" s="3" t="inlineStr">
        <is>
          <t>JUIZ DE FORA</t>
        </is>
      </c>
      <c r="F504" s="3" t="inlineStr">
        <is>
          <t xml:space="preserve">CENTRO </t>
        </is>
      </c>
      <c r="G504" s="3" t="inlineStr">
        <is>
          <t>36013080</t>
        </is>
      </c>
      <c r="H504" s="3" t="inlineStr">
        <is>
          <t>Andressa</t>
        </is>
      </c>
      <c r="I504" s="3" t="inlineStr">
        <is>
          <t>Forte</t>
        </is>
      </c>
      <c r="J504" s="2" t="n">
        <v>380</v>
      </c>
      <c r="K504" s="3" t="inlineStr">
        <is>
          <t>Semana 2</t>
        </is>
      </c>
      <c r="L504" s="3" t="inlineStr">
        <is>
          <t>Média</t>
        </is>
      </c>
      <c r="M504" s="3" t="inlineStr">
        <is>
          <t>chave 503</t>
        </is>
      </c>
    </row>
    <row r="505">
      <c r="A505" s="2" t="n">
        <v>504</v>
      </c>
      <c r="B505" s="3" t="inlineStr">
        <is>
          <t xml:space="preserve">BETIM VARIEDADES DOMESTICAS LTDA </t>
        </is>
      </c>
      <c r="C505" s="3" t="inlineStr">
        <is>
          <t>SUDESTE</t>
        </is>
      </c>
      <c r="D505" s="3" t="inlineStr">
        <is>
          <t>MG</t>
        </is>
      </c>
      <c r="E505" s="3" t="inlineStr">
        <is>
          <t>BETIM</t>
        </is>
      </c>
      <c r="F505" s="3" t="inlineStr">
        <is>
          <t xml:space="preserve">CENTRO </t>
        </is>
      </c>
      <c r="G505" s="3" t="inlineStr">
        <is>
          <t>32600056</t>
        </is>
      </c>
      <c r="H505" s="3" t="inlineStr">
        <is>
          <t>Andressa</t>
        </is>
      </c>
      <c r="I505" s="3" t="inlineStr">
        <is>
          <t>Médio</t>
        </is>
      </c>
      <c r="J505" s="2" t="n">
        <v>380</v>
      </c>
      <c r="K505" s="3" t="inlineStr">
        <is>
          <t>Semana 2</t>
        </is>
      </c>
      <c r="L505" s="3" t="inlineStr">
        <is>
          <t>Normal</t>
        </is>
      </c>
      <c r="M505" s="3" t="inlineStr">
        <is>
          <t>chave 504</t>
        </is>
      </c>
    </row>
    <row r="506">
      <c r="A506" s="2" t="n">
        <v>505</v>
      </c>
      <c r="B506" s="3" t="inlineStr">
        <is>
          <t xml:space="preserve">LOGOS PAPELARIA LTDA </t>
        </is>
      </c>
      <c r="C506" s="3" t="inlineStr">
        <is>
          <t>SUDESTE</t>
        </is>
      </c>
      <c r="D506" s="3" t="inlineStr">
        <is>
          <t>MG</t>
        </is>
      </c>
      <c r="E506" s="3" t="inlineStr">
        <is>
          <t>Três Corações</t>
        </is>
      </c>
      <c r="F506" s="3" t="inlineStr">
        <is>
          <t xml:space="preserve">CENTRO </t>
        </is>
      </c>
      <c r="G506" s="3" t="inlineStr">
        <is>
          <t>37410000</t>
        </is>
      </c>
      <c r="H506" s="3" t="inlineStr">
        <is>
          <t>Andressa</t>
        </is>
      </c>
      <c r="I506" s="3" t="inlineStr">
        <is>
          <t>Médio</t>
        </is>
      </c>
      <c r="J506" s="2" t="n">
        <v>380</v>
      </c>
      <c r="K506" s="3" t="inlineStr">
        <is>
          <t>Semana 4</t>
        </is>
      </c>
      <c r="L506" s="3" t="inlineStr">
        <is>
          <t>Normal</t>
        </is>
      </c>
      <c r="M506" s="3" t="inlineStr">
        <is>
          <t>chave 505</t>
        </is>
      </c>
    </row>
    <row r="507">
      <c r="A507" s="2" t="n">
        <v>506</v>
      </c>
      <c r="B507" s="3" t="inlineStr">
        <is>
          <t xml:space="preserve">BAZAR FARIA LTDA </t>
        </is>
      </c>
      <c r="C507" s="3" t="inlineStr">
        <is>
          <t>SUDESTE</t>
        </is>
      </c>
      <c r="D507" s="3" t="inlineStr">
        <is>
          <t>MG</t>
        </is>
      </c>
      <c r="E507" s="3" t="inlineStr">
        <is>
          <t>OURO PRETO</t>
        </is>
      </c>
      <c r="F507" s="3" t="inlineStr">
        <is>
          <t xml:space="preserve">PILAR </t>
        </is>
      </c>
      <c r="G507" s="3" t="inlineStr">
        <is>
          <t>35400000</t>
        </is>
      </c>
      <c r="H507" s="3" t="inlineStr">
        <is>
          <t>Andressa</t>
        </is>
      </c>
      <c r="I507" s="3" t="inlineStr">
        <is>
          <t>Médio</t>
        </is>
      </c>
      <c r="J507" s="2" t="n">
        <v>380</v>
      </c>
      <c r="K507" s="3" t="inlineStr">
        <is>
          <t>Semana 3</t>
        </is>
      </c>
      <c r="L507" s="3" t="inlineStr">
        <is>
          <t>Normal</t>
        </is>
      </c>
      <c r="M507" s="3" t="inlineStr">
        <is>
          <t>chave 506</t>
        </is>
      </c>
    </row>
    <row r="508">
      <c r="A508" s="2" t="n">
        <v>507</v>
      </c>
      <c r="B508" s="3" t="inlineStr">
        <is>
          <t xml:space="preserve">LAJIPEL COMERCIO DE PAPELARIA LTDA </t>
        </is>
      </c>
      <c r="C508" s="3" t="inlineStr">
        <is>
          <t>SUDESTE</t>
        </is>
      </c>
      <c r="D508" s="3" t="inlineStr">
        <is>
          <t>MG</t>
        </is>
      </c>
      <c r="E508" s="3" t="inlineStr">
        <is>
          <t>IPATINGA</t>
        </is>
      </c>
      <c r="F508" s="3" t="inlineStr">
        <is>
          <t xml:space="preserve">IGUACU </t>
        </is>
      </c>
      <c r="G508" s="3" t="inlineStr">
        <is>
          <t>35162036</t>
        </is>
      </c>
      <c r="H508" s="3" t="inlineStr">
        <is>
          <t>Andressa</t>
        </is>
      </c>
      <c r="I508" s="3" t="inlineStr">
        <is>
          <t>Médio</t>
        </is>
      </c>
      <c r="J508" s="2" t="n">
        <v>380</v>
      </c>
      <c r="K508" s="3" t="inlineStr">
        <is>
          <t>Semana 3</t>
        </is>
      </c>
      <c r="L508" s="3" t="inlineStr">
        <is>
          <t>Normal</t>
        </is>
      </c>
      <c r="M508" s="3" t="inlineStr">
        <is>
          <t>chave 507</t>
        </is>
      </c>
    </row>
    <row r="509">
      <c r="A509" s="2" t="n">
        <v>508</v>
      </c>
      <c r="B509" s="3" t="inlineStr">
        <is>
          <t xml:space="preserve">EDITORA SAO PAULO LTDA </t>
        </is>
      </c>
      <c r="C509" s="3" t="inlineStr">
        <is>
          <t>SUDESTE</t>
        </is>
      </c>
      <c r="D509" s="3" t="inlineStr">
        <is>
          <t>MG</t>
        </is>
      </c>
      <c r="E509" s="3" t="inlineStr">
        <is>
          <t>CARATINGA</t>
        </is>
      </c>
      <c r="F509" s="3" t="inlineStr">
        <is>
          <t xml:space="preserve">CENTRO </t>
        </is>
      </c>
      <c r="G509" s="3" t="inlineStr">
        <is>
          <t>35300035</t>
        </is>
      </c>
      <c r="H509" s="3" t="inlineStr">
        <is>
          <t>Andressa</t>
        </is>
      </c>
      <c r="I509" s="3" t="inlineStr">
        <is>
          <t>Médio</t>
        </is>
      </c>
      <c r="J509" s="2" t="n">
        <v>380</v>
      </c>
      <c r="K509" s="3" t="inlineStr">
        <is>
          <t>Semana 2</t>
        </is>
      </c>
      <c r="L509" s="3" t="inlineStr">
        <is>
          <t>Normal</t>
        </is>
      </c>
      <c r="M509" s="3" t="inlineStr">
        <is>
          <t>chave 508</t>
        </is>
      </c>
    </row>
    <row r="510">
      <c r="A510" s="2" t="n">
        <v>509</v>
      </c>
      <c r="B510" s="3" t="inlineStr">
        <is>
          <t xml:space="preserve">LABE INDUSTRIA COMERCIO E SERVICOS LTDA </t>
        </is>
      </c>
      <c r="C510" s="3" t="inlineStr">
        <is>
          <t>SUDESTE</t>
        </is>
      </c>
      <c r="D510" s="3" t="inlineStr">
        <is>
          <t>MG</t>
        </is>
      </c>
      <c r="E510" s="3" t="inlineStr">
        <is>
          <t>SANTA CRUZ DE MINAS</t>
        </is>
      </c>
      <c r="F510" s="3" t="inlineStr">
        <is>
          <t xml:space="preserve">VILA PORTO REAL </t>
        </is>
      </c>
      <c r="G510" s="3" t="inlineStr">
        <is>
          <t>36328000</t>
        </is>
      </c>
      <c r="H510" s="3" t="inlineStr">
        <is>
          <t>Andressa</t>
        </is>
      </c>
      <c r="I510" s="3" t="inlineStr">
        <is>
          <t>Médio</t>
        </is>
      </c>
      <c r="J510" s="2" t="n">
        <v>380</v>
      </c>
      <c r="K510" s="3" t="inlineStr">
        <is>
          <t>Semana 3</t>
        </is>
      </c>
      <c r="L510" s="3" t="inlineStr">
        <is>
          <t>Normal</t>
        </is>
      </c>
      <c r="M510" s="3" t="inlineStr">
        <is>
          <t>chave 509</t>
        </is>
      </c>
    </row>
    <row r="511">
      <c r="A511" s="2" t="n">
        <v>510</v>
      </c>
      <c r="B511" s="3" t="inlineStr">
        <is>
          <t xml:space="preserve">B &amp; B PRESENTES E BRINQUEDOS LTDA </t>
        </is>
      </c>
      <c r="C511" s="3" t="inlineStr">
        <is>
          <t>SUDESTE</t>
        </is>
      </c>
      <c r="D511" s="3" t="inlineStr">
        <is>
          <t>MG</t>
        </is>
      </c>
      <c r="E511" s="3" t="inlineStr">
        <is>
          <t>BELO HORIZONTE</t>
        </is>
      </c>
      <c r="F511" s="3" t="inlineStr">
        <is>
          <t xml:space="preserve">BARREIRO </t>
        </is>
      </c>
      <c r="G511" s="3" t="inlineStr">
        <is>
          <t>30640000</t>
        </is>
      </c>
      <c r="H511" s="3" t="inlineStr">
        <is>
          <t>Andressa</t>
        </is>
      </c>
      <c r="I511" s="3" t="inlineStr">
        <is>
          <t>Estratégico</t>
        </is>
      </c>
      <c r="J511" s="2" t="n">
        <v>380</v>
      </c>
      <c r="K511" s="3" t="inlineStr">
        <is>
          <t>Semana 1</t>
        </is>
      </c>
      <c r="L511" s="3" t="inlineStr">
        <is>
          <t>Alta</t>
        </is>
      </c>
      <c r="M511" s="3" t="inlineStr">
        <is>
          <t>chave 510</t>
        </is>
      </c>
    </row>
    <row r="512">
      <c r="A512" s="2" t="n">
        <v>511</v>
      </c>
      <c r="B512" s="3" t="inlineStr">
        <is>
          <t xml:space="preserve">ASTRAL ATACADO LTDA </t>
        </is>
      </c>
      <c r="C512" s="3" t="inlineStr">
        <is>
          <t>SUDESTE</t>
        </is>
      </c>
      <c r="D512" s="3" t="inlineStr">
        <is>
          <t>MG</t>
        </is>
      </c>
      <c r="E512" s="3" t="inlineStr">
        <is>
          <t>BELO HORIZONTE</t>
        </is>
      </c>
      <c r="F512" s="3" t="inlineStr">
        <is>
          <t xml:space="preserve">CENTRO </t>
        </is>
      </c>
      <c r="G512" s="3" t="inlineStr">
        <is>
          <t>30111040</t>
        </is>
      </c>
      <c r="H512" s="3" t="inlineStr">
        <is>
          <t>Andressa</t>
        </is>
      </c>
      <c r="I512" s="3" t="inlineStr">
        <is>
          <t>Estratégico</t>
        </is>
      </c>
      <c r="J512" s="2" t="n">
        <v>380</v>
      </c>
      <c r="K512" s="3" t="inlineStr">
        <is>
          <t>Semana 1</t>
        </is>
      </c>
      <c r="L512" s="3" t="inlineStr">
        <is>
          <t>Alta</t>
        </is>
      </c>
      <c r="M512" s="3" t="inlineStr">
        <is>
          <t>chave 511</t>
        </is>
      </c>
    </row>
    <row r="513">
      <c r="A513" s="2" t="n">
        <v>512</v>
      </c>
      <c r="B513" s="3" t="inlineStr">
        <is>
          <t xml:space="preserve">PAPELARIA BETIM LTDA </t>
        </is>
      </c>
      <c r="C513" s="3" t="inlineStr">
        <is>
          <t>SUDESTE</t>
        </is>
      </c>
      <c r="D513" s="3" t="inlineStr">
        <is>
          <t>MG</t>
        </is>
      </c>
      <c r="E513" s="3" t="inlineStr">
        <is>
          <t>BETIM</t>
        </is>
      </c>
      <c r="F513" s="3" t="inlineStr">
        <is>
          <t xml:space="preserve">CENTRO </t>
        </is>
      </c>
      <c r="G513" s="3" t="inlineStr">
        <is>
          <t>32670005</t>
        </is>
      </c>
      <c r="H513" s="3" t="inlineStr">
        <is>
          <t>Andressa</t>
        </is>
      </c>
      <c r="I513" s="3" t="inlineStr">
        <is>
          <t>Médio</t>
        </is>
      </c>
      <c r="J513" s="2" t="n">
        <v>380</v>
      </c>
      <c r="K513" s="3" t="inlineStr">
        <is>
          <t>Semana 2</t>
        </is>
      </c>
      <c r="L513" s="3" t="inlineStr">
        <is>
          <t>Normal</t>
        </is>
      </c>
      <c r="M513" s="3" t="inlineStr">
        <is>
          <t>chave 512</t>
        </is>
      </c>
    </row>
    <row r="514">
      <c r="A514" s="2" t="n">
        <v>513</v>
      </c>
      <c r="B514" s="3" t="inlineStr">
        <is>
          <t xml:space="preserve">LOJA VIVA COMERCIO LTDA </t>
        </is>
      </c>
      <c r="C514" s="3" t="inlineStr">
        <is>
          <t>SUDESTE</t>
        </is>
      </c>
      <c r="D514" s="3" t="inlineStr">
        <is>
          <t>MG</t>
        </is>
      </c>
      <c r="E514" s="3" t="inlineStr">
        <is>
          <t>CONSELHEIRO LAFAIETE</t>
        </is>
      </c>
      <c r="F514" s="3" t="inlineStr">
        <is>
          <t xml:space="preserve">CENTRO </t>
        </is>
      </c>
      <c r="G514" s="3" t="inlineStr">
        <is>
          <t>36400000</t>
        </is>
      </c>
      <c r="H514" s="3" t="inlineStr">
        <is>
          <t>Andressa</t>
        </is>
      </c>
      <c r="I514" s="3" t="inlineStr">
        <is>
          <t>Médio</t>
        </is>
      </c>
      <c r="J514" s="2" t="n">
        <v>380</v>
      </c>
      <c r="K514" s="3" t="inlineStr">
        <is>
          <t>Semana 2</t>
        </is>
      </c>
      <c r="L514" s="3" t="inlineStr">
        <is>
          <t>Normal</t>
        </is>
      </c>
      <c r="M514" s="3" t="inlineStr">
        <is>
          <t>chave 513</t>
        </is>
      </c>
    </row>
    <row r="515">
      <c r="A515" s="2" t="n">
        <v>514</v>
      </c>
      <c r="B515" s="3" t="inlineStr">
        <is>
          <t xml:space="preserve">E &amp; T PAPELARIA LTDA </t>
        </is>
      </c>
      <c r="C515" s="3" t="inlineStr">
        <is>
          <t>SUDESTE</t>
        </is>
      </c>
      <c r="D515" s="3" t="inlineStr">
        <is>
          <t>MG</t>
        </is>
      </c>
      <c r="E515" s="3" t="inlineStr">
        <is>
          <t>BOM DESPACHO</t>
        </is>
      </c>
      <c r="F515" s="3" t="inlineStr">
        <is>
          <t xml:space="preserve">CENTRO </t>
        </is>
      </c>
      <c r="G515" s="3" t="inlineStr">
        <is>
          <t>35600000</t>
        </is>
      </c>
      <c r="H515" s="3" t="inlineStr">
        <is>
          <t>Andressa</t>
        </is>
      </c>
      <c r="I515" s="3" t="inlineStr">
        <is>
          <t>Médio</t>
        </is>
      </c>
      <c r="J515" s="2" t="n">
        <v>380</v>
      </c>
      <c r="K515" s="3" t="inlineStr">
        <is>
          <t>Semana 2</t>
        </is>
      </c>
      <c r="L515" s="3" t="inlineStr">
        <is>
          <t>Normal</t>
        </is>
      </c>
      <c r="M515" s="3" t="inlineStr">
        <is>
          <t>chave 514</t>
        </is>
      </c>
    </row>
    <row r="516">
      <c r="A516" s="2" t="n">
        <v>515</v>
      </c>
      <c r="B516" s="3" t="inlineStr">
        <is>
          <t xml:space="preserve">SANTOS E SA LTDA </t>
        </is>
      </c>
      <c r="C516" s="3" t="inlineStr">
        <is>
          <t>SUDESTE</t>
        </is>
      </c>
      <c r="D516" s="3" t="inlineStr">
        <is>
          <t>MG</t>
        </is>
      </c>
      <c r="E516" s="3" t="inlineStr">
        <is>
          <t>Januária</t>
        </is>
      </c>
      <c r="F516" s="3" t="inlineStr">
        <is>
          <t xml:space="preserve">CENTRO </t>
        </is>
      </c>
      <c r="G516" s="3" t="inlineStr">
        <is>
          <t>39480000</t>
        </is>
      </c>
      <c r="H516" s="3" t="inlineStr">
        <is>
          <t>Andressa</t>
        </is>
      </c>
      <c r="I516" s="3" t="inlineStr">
        <is>
          <t>Médio</t>
        </is>
      </c>
      <c r="J516" s="2" t="n">
        <v>380</v>
      </c>
      <c r="K516" s="3" t="inlineStr">
        <is>
          <t>Semana 3</t>
        </is>
      </c>
      <c r="L516" s="3" t="inlineStr">
        <is>
          <t>Normal</t>
        </is>
      </c>
      <c r="M516" s="3" t="inlineStr">
        <is>
          <t>chave 515</t>
        </is>
      </c>
    </row>
    <row r="517">
      <c r="A517" s="2" t="n">
        <v>516</v>
      </c>
      <c r="B517" s="3" t="inlineStr">
        <is>
          <t xml:space="preserve">AQUARELA PAP E ARTIGOS EM GERAL LTDA </t>
        </is>
      </c>
      <c r="C517" s="3" t="inlineStr">
        <is>
          <t>SUDESTE</t>
        </is>
      </c>
      <c r="D517" s="3" t="inlineStr">
        <is>
          <t>MG</t>
        </is>
      </c>
      <c r="E517" s="3" t="inlineStr">
        <is>
          <t>MARIANA</t>
        </is>
      </c>
      <c r="F517" s="3" t="inlineStr">
        <is>
          <t xml:space="preserve">CENTRO </t>
        </is>
      </c>
      <c r="G517" s="3" t="inlineStr">
        <is>
          <t>35420000</t>
        </is>
      </c>
      <c r="H517" s="3" t="inlineStr">
        <is>
          <t>Andressa</t>
        </is>
      </c>
      <c r="I517" s="3" t="inlineStr">
        <is>
          <t>Médio</t>
        </is>
      </c>
      <c r="J517" s="2" t="n">
        <v>380</v>
      </c>
      <c r="K517" s="3" t="inlineStr">
        <is>
          <t>Semana 3</t>
        </is>
      </c>
      <c r="L517" s="3" t="inlineStr">
        <is>
          <t>Normal</t>
        </is>
      </c>
      <c r="M517" s="3" t="inlineStr">
        <is>
          <t>chave 516</t>
        </is>
      </c>
    </row>
    <row r="518">
      <c r="A518" s="2" t="n">
        <v>517</v>
      </c>
      <c r="B518" s="3" t="inlineStr">
        <is>
          <t xml:space="preserve">KARLOS PAPELARIA LTDA </t>
        </is>
      </c>
      <c r="C518" s="3" t="inlineStr">
        <is>
          <t>SUDESTE</t>
        </is>
      </c>
      <c r="D518" s="3" t="inlineStr">
        <is>
          <t>MG</t>
        </is>
      </c>
      <c r="E518" s="3" t="inlineStr">
        <is>
          <t>Muriaé</t>
        </is>
      </c>
      <c r="F518" s="3" t="inlineStr">
        <is>
          <t xml:space="preserve">BARRA </t>
        </is>
      </c>
      <c r="G518" s="3" t="inlineStr">
        <is>
          <t>36880000</t>
        </is>
      </c>
      <c r="H518" s="3" t="inlineStr">
        <is>
          <t>Andressa</t>
        </is>
      </c>
      <c r="I518" s="3" t="inlineStr">
        <is>
          <t>Médio</t>
        </is>
      </c>
      <c r="J518" s="2" t="n">
        <v>380</v>
      </c>
      <c r="K518" s="3" t="inlineStr">
        <is>
          <t>Semana 3</t>
        </is>
      </c>
      <c r="L518" s="3" t="inlineStr">
        <is>
          <t>Normal</t>
        </is>
      </c>
      <c r="M518" s="3" t="inlineStr">
        <is>
          <t>chave 517</t>
        </is>
      </c>
    </row>
    <row r="519">
      <c r="A519" s="2" t="n">
        <v>518</v>
      </c>
      <c r="B519" s="3" t="inlineStr">
        <is>
          <t xml:space="preserve">LV ATACADISTA DE PAPELARIA LTDA </t>
        </is>
      </c>
      <c r="C519" s="3" t="inlineStr">
        <is>
          <t>SUDESTE</t>
        </is>
      </c>
      <c r="D519" s="3" t="inlineStr">
        <is>
          <t>MG</t>
        </is>
      </c>
      <c r="E519" s="3" t="inlineStr">
        <is>
          <t>FORMIGA</t>
        </is>
      </c>
      <c r="F519" s="3" t="inlineStr">
        <is>
          <t xml:space="preserve">N.S.DE LOURDES </t>
        </is>
      </c>
      <c r="G519" s="3" t="inlineStr">
        <is>
          <t>35572128</t>
        </is>
      </c>
      <c r="H519" s="3" t="inlineStr">
        <is>
          <t>Andressa</t>
        </is>
      </c>
      <c r="I519" s="3" t="inlineStr">
        <is>
          <t>Médio</t>
        </is>
      </c>
      <c r="J519" s="2" t="n">
        <v>380</v>
      </c>
      <c r="K519" s="3" t="inlineStr">
        <is>
          <t>Semana 3</t>
        </is>
      </c>
      <c r="L519" s="3" t="inlineStr">
        <is>
          <t>Normal</t>
        </is>
      </c>
      <c r="M519" s="3" t="inlineStr">
        <is>
          <t>chave 518</t>
        </is>
      </c>
    </row>
    <row r="520">
      <c r="A520" s="2" t="n">
        <v>519</v>
      </c>
      <c r="B520" s="3" t="inlineStr">
        <is>
          <t xml:space="preserve">FORMIGA COM DE UTIL DOMESTICAS LTDA </t>
        </is>
      </c>
      <c r="C520" s="3" t="inlineStr">
        <is>
          <t>SUDESTE</t>
        </is>
      </c>
      <c r="D520" s="3" t="inlineStr">
        <is>
          <t>MG</t>
        </is>
      </c>
      <c r="E520" s="3" t="inlineStr">
        <is>
          <t>FORMIGA</t>
        </is>
      </c>
      <c r="F520" s="3" t="inlineStr">
        <is>
          <t xml:space="preserve">CENTRO </t>
        </is>
      </c>
      <c r="G520" s="3" t="inlineStr">
        <is>
          <t>35570024</t>
        </is>
      </c>
      <c r="H520" s="3" t="inlineStr">
        <is>
          <t>Andressa</t>
        </is>
      </c>
      <c r="I520" s="3" t="inlineStr">
        <is>
          <t>Médio</t>
        </is>
      </c>
      <c r="J520" s="2" t="n">
        <v>380</v>
      </c>
      <c r="K520" s="3" t="inlineStr">
        <is>
          <t>Semana 3</t>
        </is>
      </c>
      <c r="L520" s="3" t="inlineStr">
        <is>
          <t>Normal</t>
        </is>
      </c>
      <c r="M520" s="3" t="inlineStr">
        <is>
          <t>chave 519</t>
        </is>
      </c>
    </row>
    <row r="521">
      <c r="A521" s="2" t="n">
        <v>520</v>
      </c>
      <c r="B521" s="3" t="inlineStr">
        <is>
          <t xml:space="preserve">DISTRIBUIDORA DE LIVROS BANDEIRANTE LTDA </t>
        </is>
      </c>
      <c r="C521" s="3" t="inlineStr">
        <is>
          <t>SUDESTE</t>
        </is>
      </c>
      <c r="D521" s="3" t="inlineStr">
        <is>
          <t>MG</t>
        </is>
      </c>
      <c r="E521" s="3" t="inlineStr">
        <is>
          <t>Ubá</t>
        </is>
      </c>
      <c r="F521" s="3" t="inlineStr">
        <is>
          <t xml:space="preserve">CENTRO </t>
        </is>
      </c>
      <c r="G521" s="3" t="inlineStr">
        <is>
          <t>36500000</t>
        </is>
      </c>
      <c r="H521" s="3" t="inlineStr">
        <is>
          <t>Andressa</t>
        </is>
      </c>
      <c r="I521" s="3" t="inlineStr">
        <is>
          <t>Médio</t>
        </is>
      </c>
      <c r="J521" s="2" t="n">
        <v>380</v>
      </c>
      <c r="K521" s="3" t="inlineStr">
        <is>
          <t>Semana 4</t>
        </is>
      </c>
      <c r="L521" s="3" t="inlineStr">
        <is>
          <t>Normal</t>
        </is>
      </c>
      <c r="M521" s="3" t="inlineStr">
        <is>
          <t>chave 520</t>
        </is>
      </c>
    </row>
    <row r="522">
      <c r="A522" s="2" t="n">
        <v>521</v>
      </c>
      <c r="B522" s="3" t="inlineStr">
        <is>
          <t xml:space="preserve">SOEL COMERCIO DE ARTIGOS PARA PRESENTES LTDA </t>
        </is>
      </c>
      <c r="C522" s="3" t="inlineStr">
        <is>
          <t>SUDESTE</t>
        </is>
      </c>
      <c r="D522" s="3" t="inlineStr">
        <is>
          <t>MG</t>
        </is>
      </c>
      <c r="E522" s="3" t="inlineStr">
        <is>
          <t>BELO HORIZONTE</t>
        </is>
      </c>
      <c r="F522" s="3" t="inlineStr">
        <is>
          <t xml:space="preserve">CENTRO </t>
        </is>
      </c>
      <c r="G522" s="3" t="inlineStr">
        <is>
          <t>30120020</t>
        </is>
      </c>
      <c r="H522" s="3" t="inlineStr">
        <is>
          <t>Andressa</t>
        </is>
      </c>
      <c r="I522" s="3" t="inlineStr">
        <is>
          <t>Estratégico</t>
        </is>
      </c>
      <c r="J522" s="2" t="n">
        <v>380</v>
      </c>
      <c r="K522" s="3" t="inlineStr">
        <is>
          <t>Semana 1</t>
        </is>
      </c>
      <c r="L522" s="3" t="inlineStr">
        <is>
          <t>Alta</t>
        </is>
      </c>
      <c r="M522" s="3" t="inlineStr">
        <is>
          <t>chave 521</t>
        </is>
      </c>
    </row>
    <row r="523">
      <c r="A523" s="2" t="n">
        <v>522</v>
      </c>
      <c r="B523" s="3" t="inlineStr">
        <is>
          <t xml:space="preserve">COLORS COMERCIO LTDA </t>
        </is>
      </c>
      <c r="C523" s="3" t="inlineStr">
        <is>
          <t>SUDESTE</t>
        </is>
      </c>
      <c r="D523" s="3" t="inlineStr">
        <is>
          <t>MG</t>
        </is>
      </c>
      <c r="E523" s="3" t="inlineStr">
        <is>
          <t>IPATINGA</t>
        </is>
      </c>
      <c r="F523" s="3" t="inlineStr">
        <is>
          <t xml:space="preserve">IGUACU </t>
        </is>
      </c>
      <c r="G523" s="3" t="inlineStr">
        <is>
          <t>35162111</t>
        </is>
      </c>
      <c r="H523" s="3" t="inlineStr">
        <is>
          <t>Andressa</t>
        </is>
      </c>
      <c r="I523" s="3" t="inlineStr">
        <is>
          <t>Médio</t>
        </is>
      </c>
      <c r="J523" s="2" t="n">
        <v>380</v>
      </c>
      <c r="K523" s="3" t="inlineStr">
        <is>
          <t>Semana 3</t>
        </is>
      </c>
      <c r="L523" s="3" t="inlineStr">
        <is>
          <t>Normal</t>
        </is>
      </c>
      <c r="M523" s="3" t="inlineStr">
        <is>
          <t>chave 522</t>
        </is>
      </c>
    </row>
    <row r="524">
      <c r="A524" s="2" t="n">
        <v>523</v>
      </c>
      <c r="B524" s="3" t="inlineStr">
        <is>
          <t xml:space="preserve">MIDIAPEL PAPELARIA E INFORMATICA LTDA </t>
        </is>
      </c>
      <c r="C524" s="3" t="inlineStr">
        <is>
          <t>SUDESTE</t>
        </is>
      </c>
      <c r="D524" s="3" t="inlineStr">
        <is>
          <t>MG</t>
        </is>
      </c>
      <c r="E524" s="3" t="inlineStr">
        <is>
          <t>Uberlândia</t>
        </is>
      </c>
      <c r="F524" s="3" t="inlineStr">
        <is>
          <t xml:space="preserve">SANTA MONICA </t>
        </is>
      </c>
      <c r="G524" s="3" t="inlineStr">
        <is>
          <t>38408170</t>
        </is>
      </c>
      <c r="H524" s="3" t="inlineStr">
        <is>
          <t>Andressa</t>
        </is>
      </c>
      <c r="I524" s="3" t="inlineStr">
        <is>
          <t>Forte</t>
        </is>
      </c>
      <c r="J524" s="2" t="n">
        <v>380</v>
      </c>
      <c r="K524" s="3" t="inlineStr">
        <is>
          <t>Semana 2</t>
        </is>
      </c>
      <c r="L524" s="3" t="inlineStr">
        <is>
          <t>Média</t>
        </is>
      </c>
      <c r="M524" s="3" t="inlineStr">
        <is>
          <t>chave 523</t>
        </is>
      </c>
    </row>
    <row r="525">
      <c r="A525" s="2" t="n">
        <v>524</v>
      </c>
      <c r="B525" s="3" t="inlineStr">
        <is>
          <t xml:space="preserve">NOVA PAPELARIA E COMERCIO LTDA </t>
        </is>
      </c>
      <c r="C525" s="3" t="inlineStr">
        <is>
          <t>SUDESTE</t>
        </is>
      </c>
      <c r="D525" s="3" t="inlineStr">
        <is>
          <t>MG</t>
        </is>
      </c>
      <c r="E525" s="3" t="inlineStr">
        <is>
          <t>MONTES CLAROS</t>
        </is>
      </c>
      <c r="F525" s="3" t="inlineStr">
        <is>
          <t xml:space="preserve">CENTRO </t>
        </is>
      </c>
      <c r="G525" s="3" t="inlineStr">
        <is>
          <t>39400215</t>
        </is>
      </c>
      <c r="H525" s="3" t="inlineStr">
        <is>
          <t>Andressa</t>
        </is>
      </c>
      <c r="I525" s="3" t="inlineStr">
        <is>
          <t>Médio</t>
        </is>
      </c>
      <c r="J525" s="2" t="n">
        <v>380</v>
      </c>
      <c r="K525" s="3" t="inlineStr">
        <is>
          <t>Semana 3</t>
        </is>
      </c>
      <c r="L525" s="3" t="inlineStr">
        <is>
          <t>Normal</t>
        </is>
      </c>
      <c r="M525" s="3" t="inlineStr">
        <is>
          <t>chave 524</t>
        </is>
      </c>
    </row>
    <row r="526">
      <c r="A526" s="2" t="n">
        <v>525</v>
      </c>
      <c r="B526" s="3" t="inlineStr">
        <is>
          <t xml:space="preserve">F G F COMERCIO, EXPORTACAO E IMPORTACAO LTDA </t>
        </is>
      </c>
      <c r="C526" s="3" t="inlineStr">
        <is>
          <t>SUDESTE</t>
        </is>
      </c>
      <c r="D526" s="3" t="inlineStr">
        <is>
          <t>MG</t>
        </is>
      </c>
      <c r="E526" s="3" t="inlineStr">
        <is>
          <t>Uberlândia</t>
        </is>
      </c>
      <c r="F526" s="3" t="inlineStr">
        <is>
          <t xml:space="preserve">JARDIM BRASILIA </t>
        </is>
      </c>
      <c r="G526" s="3" t="inlineStr">
        <is>
          <t>38401374</t>
        </is>
      </c>
      <c r="H526" s="3" t="inlineStr">
        <is>
          <t>Andressa</t>
        </is>
      </c>
      <c r="I526" s="3" t="inlineStr">
        <is>
          <t>Forte</t>
        </is>
      </c>
      <c r="J526" s="2" t="n">
        <v>380</v>
      </c>
      <c r="K526" s="3" t="inlineStr">
        <is>
          <t>Semana 2</t>
        </is>
      </c>
      <c r="L526" s="3" t="inlineStr">
        <is>
          <t>Média</t>
        </is>
      </c>
      <c r="M526" s="3" t="inlineStr">
        <is>
          <t>chave 525</t>
        </is>
      </c>
    </row>
    <row r="527">
      <c r="A527" s="2" t="n">
        <v>526</v>
      </c>
      <c r="B527" s="3" t="inlineStr">
        <is>
          <t xml:space="preserve">PONTO MAGICO DISTRIBUIDORA LTDA </t>
        </is>
      </c>
      <c r="C527" s="3" t="inlineStr">
        <is>
          <t>SUDESTE</t>
        </is>
      </c>
      <c r="D527" s="3" t="inlineStr">
        <is>
          <t>MG</t>
        </is>
      </c>
      <c r="E527" s="3" t="inlineStr">
        <is>
          <t>BELO HORIZONTE</t>
        </is>
      </c>
      <c r="F527" s="3" t="inlineStr">
        <is>
          <t xml:space="preserve">SAO FRANCISCO </t>
        </is>
      </c>
      <c r="G527" s="3" t="inlineStr">
        <is>
          <t>31255200</t>
        </is>
      </c>
      <c r="H527" s="3" t="inlineStr">
        <is>
          <t>Andressa</t>
        </is>
      </c>
      <c r="I527" s="3" t="inlineStr">
        <is>
          <t>Estratégico</t>
        </is>
      </c>
      <c r="J527" s="2" t="n">
        <v>380</v>
      </c>
      <c r="K527" s="3" t="inlineStr">
        <is>
          <t>Semana 1</t>
        </is>
      </c>
      <c r="L527" s="3" t="inlineStr">
        <is>
          <t>Alta</t>
        </is>
      </c>
      <c r="M527" s="3" t="inlineStr">
        <is>
          <t>chave 526</t>
        </is>
      </c>
    </row>
    <row r="528">
      <c r="A528" s="2" t="n">
        <v>527</v>
      </c>
      <c r="B528" s="3" t="inlineStr">
        <is>
          <t xml:space="preserve">LOGDA COMERCIO DIGITAL BH LTDA </t>
        </is>
      </c>
      <c r="C528" s="3" t="inlineStr">
        <is>
          <t>SUDESTE</t>
        </is>
      </c>
      <c r="D528" s="3" t="inlineStr">
        <is>
          <t>MG</t>
        </is>
      </c>
      <c r="E528" s="3" t="inlineStr">
        <is>
          <t>BELO HORIZONTE</t>
        </is>
      </c>
      <c r="F528" s="3" t="inlineStr">
        <is>
          <t xml:space="preserve">JARAGUA </t>
        </is>
      </c>
      <c r="G528" s="3" t="inlineStr">
        <is>
          <t>31270350</t>
        </is>
      </c>
      <c r="H528" s="3" t="inlineStr">
        <is>
          <t>Andressa</t>
        </is>
      </c>
      <c r="I528" s="3" t="inlineStr">
        <is>
          <t>Estratégico</t>
        </is>
      </c>
      <c r="J528" s="2" t="n">
        <v>380</v>
      </c>
      <c r="K528" s="3" t="inlineStr">
        <is>
          <t>Semana 1</t>
        </is>
      </c>
      <c r="L528" s="3" t="inlineStr">
        <is>
          <t>Alta</t>
        </is>
      </c>
      <c r="M528" s="3" t="inlineStr">
        <is>
          <t>chave 527</t>
        </is>
      </c>
    </row>
    <row r="529">
      <c r="A529" s="2" t="n">
        <v>528</v>
      </c>
      <c r="B529" s="3" t="inlineStr">
        <is>
          <t xml:space="preserve">CAETES COMERCIO DE PRESENTES E UTILIDADES DOMESTICAS LTDA </t>
        </is>
      </c>
      <c r="C529" s="3" t="inlineStr">
        <is>
          <t>SUDESTE</t>
        </is>
      </c>
      <c r="D529" s="3" t="inlineStr">
        <is>
          <t>MG</t>
        </is>
      </c>
      <c r="E529" s="3" t="inlineStr">
        <is>
          <t>BELO HORIZONTE</t>
        </is>
      </c>
      <c r="F529" s="3" t="inlineStr">
        <is>
          <t xml:space="preserve">CENTRO </t>
        </is>
      </c>
      <c r="G529" s="3" t="inlineStr">
        <is>
          <t>30120080</t>
        </is>
      </c>
      <c r="H529" s="3" t="inlineStr">
        <is>
          <t>Andressa</t>
        </is>
      </c>
      <c r="I529" s="3" t="inlineStr">
        <is>
          <t>Estratégico</t>
        </is>
      </c>
      <c r="J529" s="2" t="n">
        <v>380</v>
      </c>
      <c r="K529" s="3" t="inlineStr">
        <is>
          <t>Semana 1</t>
        </is>
      </c>
      <c r="L529" s="3" t="inlineStr">
        <is>
          <t>Alta</t>
        </is>
      </c>
      <c r="M529" s="3" t="inlineStr">
        <is>
          <t>chave 528</t>
        </is>
      </c>
    </row>
    <row r="530">
      <c r="A530" s="2" t="n">
        <v>529</v>
      </c>
      <c r="B530" s="3" t="inlineStr">
        <is>
          <t xml:space="preserve">JOSINO NEIVA BATISTA </t>
        </is>
      </c>
      <c r="C530" s="3" t="inlineStr">
        <is>
          <t>SUDESTE</t>
        </is>
      </c>
      <c r="D530" s="3" t="inlineStr">
        <is>
          <t>MG</t>
        </is>
      </c>
      <c r="E530" s="3" t="inlineStr">
        <is>
          <t>PARACATU</t>
        </is>
      </c>
      <c r="F530" s="3" t="inlineStr">
        <is>
          <t xml:space="preserve">CENTRO </t>
        </is>
      </c>
      <c r="G530" s="3" t="inlineStr">
        <is>
          <t>38600000</t>
        </is>
      </c>
      <c r="H530" s="3" t="inlineStr">
        <is>
          <t>Andressa</t>
        </is>
      </c>
      <c r="I530" s="3" t="inlineStr">
        <is>
          <t>Médio</t>
        </is>
      </c>
      <c r="J530" s="2" t="n">
        <v>380</v>
      </c>
      <c r="K530" s="3" t="inlineStr">
        <is>
          <t>Semana 3</t>
        </is>
      </c>
      <c r="L530" s="3" t="inlineStr">
        <is>
          <t>Normal</t>
        </is>
      </c>
      <c r="M530" s="3" t="inlineStr">
        <is>
          <t>chave 529</t>
        </is>
      </c>
    </row>
    <row r="531">
      <c r="A531" s="2" t="n">
        <v>530</v>
      </c>
      <c r="B531" s="3" t="inlineStr">
        <is>
          <t xml:space="preserve">PAPELARIA MODELO LTDA </t>
        </is>
      </c>
      <c r="C531" s="3" t="inlineStr">
        <is>
          <t>SUDESTE</t>
        </is>
      </c>
      <c r="D531" s="3" t="inlineStr">
        <is>
          <t>MG</t>
        </is>
      </c>
      <c r="E531" s="3" t="inlineStr">
        <is>
          <t>NOVA SERRANA</t>
        </is>
      </c>
      <c r="F531" s="3" t="inlineStr">
        <is>
          <t xml:space="preserve">CENTRO </t>
        </is>
      </c>
      <c r="G531" s="3" t="inlineStr">
        <is>
          <t>35519000</t>
        </is>
      </c>
      <c r="H531" s="3" t="inlineStr">
        <is>
          <t>Andressa</t>
        </is>
      </c>
      <c r="I531" s="3" t="inlineStr">
        <is>
          <t>Médio</t>
        </is>
      </c>
      <c r="J531" s="2" t="n">
        <v>380</v>
      </c>
      <c r="K531" s="3" t="inlineStr">
        <is>
          <t>Semana 3</t>
        </is>
      </c>
      <c r="L531" s="3" t="inlineStr">
        <is>
          <t>Normal</t>
        </is>
      </c>
      <c r="M531" s="3" t="inlineStr">
        <is>
          <t>chave 530</t>
        </is>
      </c>
    </row>
    <row r="532">
      <c r="A532" s="2" t="n">
        <v>531</v>
      </c>
      <c r="B532" s="3" t="inlineStr">
        <is>
          <t xml:space="preserve">PAPELARIA E COPIADORA MAXIMA I LTDA </t>
        </is>
      </c>
      <c r="C532" s="3" t="inlineStr">
        <is>
          <t>SUDESTE</t>
        </is>
      </c>
      <c r="D532" s="3" t="inlineStr">
        <is>
          <t>MG</t>
        </is>
      </c>
      <c r="E532" s="3" t="inlineStr">
        <is>
          <t>Divinópolis</t>
        </is>
      </c>
      <c r="F532" s="3" t="inlineStr">
        <is>
          <t xml:space="preserve">CENTRO </t>
        </is>
      </c>
      <c r="G532" s="3" t="inlineStr">
        <is>
          <t>35500007</t>
        </is>
      </c>
      <c r="H532" s="3" t="inlineStr">
        <is>
          <t>Andressa</t>
        </is>
      </c>
      <c r="I532" s="3" t="inlineStr">
        <is>
          <t>Médio</t>
        </is>
      </c>
      <c r="J532" s="2" t="n">
        <v>380</v>
      </c>
      <c r="K532" s="3" t="inlineStr">
        <is>
          <t>Semana 2</t>
        </is>
      </c>
      <c r="L532" s="3" t="inlineStr">
        <is>
          <t>Normal</t>
        </is>
      </c>
      <c r="M532" s="3" t="inlineStr">
        <is>
          <t>chave 531</t>
        </is>
      </c>
    </row>
    <row r="533">
      <c r="A533" s="2" t="n">
        <v>532</v>
      </c>
      <c r="B533" s="3" t="inlineStr">
        <is>
          <t xml:space="preserve">RH PAPELARIA LTDA </t>
        </is>
      </c>
      <c r="C533" s="3" t="inlineStr">
        <is>
          <t>SUDESTE</t>
        </is>
      </c>
      <c r="D533" s="3" t="inlineStr">
        <is>
          <t>MG</t>
        </is>
      </c>
      <c r="E533" s="3" t="inlineStr">
        <is>
          <t>BELO HORIZONTE</t>
        </is>
      </c>
      <c r="F533" s="3" t="inlineStr">
        <is>
          <t xml:space="preserve">CENTRO </t>
        </is>
      </c>
      <c r="G533" s="3" t="inlineStr">
        <is>
          <t>30160040</t>
        </is>
      </c>
      <c r="H533" s="3" t="inlineStr">
        <is>
          <t>Andressa</t>
        </is>
      </c>
      <c r="I533" s="3" t="inlineStr">
        <is>
          <t>Estratégico</t>
        </is>
      </c>
      <c r="J533" s="2" t="n">
        <v>380</v>
      </c>
      <c r="K533" s="3" t="inlineStr">
        <is>
          <t>Semana 1</t>
        </is>
      </c>
      <c r="L533" s="3" t="inlineStr">
        <is>
          <t>Alta</t>
        </is>
      </c>
      <c r="M533" s="3" t="inlineStr">
        <is>
          <t>chave 532</t>
        </is>
      </c>
    </row>
    <row r="534">
      <c r="A534" s="2" t="n">
        <v>533</v>
      </c>
      <c r="B534" s="3" t="inlineStr">
        <is>
          <t xml:space="preserve">LUNA COMERCIAL LTDA </t>
        </is>
      </c>
      <c r="C534" s="3" t="inlineStr">
        <is>
          <t>SUDESTE</t>
        </is>
      </c>
      <c r="D534" s="3" t="inlineStr">
        <is>
          <t>MG</t>
        </is>
      </c>
      <c r="E534" s="3" t="inlineStr">
        <is>
          <t>IPATINGA</t>
        </is>
      </c>
      <c r="F534" s="3" t="inlineStr">
        <is>
          <t xml:space="preserve">VILA IPANEMA </t>
        </is>
      </c>
      <c r="G534" s="3" t="inlineStr">
        <is>
          <t>35160064</t>
        </is>
      </c>
      <c r="H534" s="3" t="inlineStr">
        <is>
          <t>Andressa</t>
        </is>
      </c>
      <c r="I534" s="3" t="inlineStr">
        <is>
          <t>Médio</t>
        </is>
      </c>
      <c r="J534" s="2" t="n">
        <v>380</v>
      </c>
      <c r="K534" s="3" t="inlineStr">
        <is>
          <t>Semana 3</t>
        </is>
      </c>
      <c r="L534" s="3" t="inlineStr">
        <is>
          <t>Normal</t>
        </is>
      </c>
      <c r="M534" s="3" t="inlineStr">
        <is>
          <t>chave 533</t>
        </is>
      </c>
    </row>
    <row r="535">
      <c r="A535" s="2" t="n">
        <v>534</v>
      </c>
      <c r="B535" s="3" t="inlineStr">
        <is>
          <t xml:space="preserve">CASTRO NAVES COMERCIO E SERVICOS DE DISTRIBUICAO S.A. </t>
        </is>
      </c>
      <c r="C535" s="3" t="inlineStr">
        <is>
          <t>SUDESTE</t>
        </is>
      </c>
      <c r="D535" s="3" t="inlineStr">
        <is>
          <t>MG</t>
        </is>
      </c>
      <c r="E535" s="3" t="inlineStr">
        <is>
          <t>Uberlândia</t>
        </is>
      </c>
      <c r="F535" s="3" t="inlineStr">
        <is>
          <t xml:space="preserve">MARTA HELENA </t>
        </is>
      </c>
      <c r="G535" s="3" t="inlineStr">
        <is>
          <t>38402322</t>
        </is>
      </c>
      <c r="H535" s="3" t="inlineStr">
        <is>
          <t>Andressa</t>
        </is>
      </c>
      <c r="I535" s="3" t="inlineStr">
        <is>
          <t>Forte</t>
        </is>
      </c>
      <c r="J535" s="2" t="n">
        <v>380</v>
      </c>
      <c r="K535" s="3" t="inlineStr">
        <is>
          <t>Semana 2</t>
        </is>
      </c>
      <c r="L535" s="3" t="inlineStr">
        <is>
          <t>Média</t>
        </is>
      </c>
      <c r="M535" s="3" t="inlineStr">
        <is>
          <t>chave 534</t>
        </is>
      </c>
    </row>
    <row r="536">
      <c r="A536" s="2" t="n">
        <v>535</v>
      </c>
      <c r="B536" s="3" t="inlineStr">
        <is>
          <t xml:space="preserve">MONIA COMERCIO DE PAPEIS E VAREJO LTDA </t>
        </is>
      </c>
      <c r="C536" s="3" t="inlineStr">
        <is>
          <t>SUDESTE</t>
        </is>
      </c>
      <c r="D536" s="3" t="inlineStr">
        <is>
          <t>MG</t>
        </is>
      </c>
      <c r="E536" s="3" t="inlineStr">
        <is>
          <t>Unaí</t>
        </is>
      </c>
      <c r="F536" s="3" t="inlineStr">
        <is>
          <t xml:space="preserve">CENTRO </t>
        </is>
      </c>
      <c r="G536" s="3" t="inlineStr">
        <is>
          <t>38610041</t>
        </is>
      </c>
      <c r="H536" s="3" t="inlineStr">
        <is>
          <t>Andressa</t>
        </is>
      </c>
      <c r="I536" s="3" t="inlineStr">
        <is>
          <t>Médio</t>
        </is>
      </c>
      <c r="J536" s="2" t="n">
        <v>380</v>
      </c>
      <c r="K536" s="3" t="inlineStr">
        <is>
          <t>Semana 4</t>
        </is>
      </c>
      <c r="L536" s="3" t="inlineStr">
        <is>
          <t>Normal</t>
        </is>
      </c>
      <c r="M536" s="3" t="inlineStr">
        <is>
          <t>chave 535</t>
        </is>
      </c>
    </row>
    <row r="537">
      <c r="A537" s="2" t="n">
        <v>536</v>
      </c>
      <c r="B537" s="3" t="inlineStr">
        <is>
          <t xml:space="preserve">PAPELARIA SULAMERICANA LTDA </t>
        </is>
      </c>
      <c r="C537" s="3" t="inlineStr">
        <is>
          <t>SUDESTE</t>
        </is>
      </c>
      <c r="D537" s="3" t="inlineStr">
        <is>
          <t>MG</t>
        </is>
      </c>
      <c r="E537" s="3" t="inlineStr">
        <is>
          <t>BELO HORIZONTE</t>
        </is>
      </c>
      <c r="F537" s="3" t="inlineStr">
        <is>
          <t xml:space="preserve">MARIA HELENA </t>
        </is>
      </c>
      <c r="G537" s="3" t="inlineStr">
        <is>
          <t>31660000</t>
        </is>
      </c>
      <c r="H537" s="3" t="inlineStr">
        <is>
          <t>Andressa</t>
        </is>
      </c>
      <c r="I537" s="3" t="inlineStr">
        <is>
          <t>Estratégico</t>
        </is>
      </c>
      <c r="J537" s="2" t="n">
        <v>380</v>
      </c>
      <c r="K537" s="3" t="inlineStr">
        <is>
          <t>Semana 1</t>
        </is>
      </c>
      <c r="L537" s="3" t="inlineStr">
        <is>
          <t>Alta</t>
        </is>
      </c>
      <c r="M537" s="3" t="inlineStr">
        <is>
          <t>chave 536</t>
        </is>
      </c>
    </row>
    <row r="538">
      <c r="A538" s="2" t="n">
        <v>537</v>
      </c>
      <c r="B538" s="3" t="inlineStr">
        <is>
          <t xml:space="preserve">DURVALINA ALVES GONCALVES </t>
        </is>
      </c>
      <c r="C538" s="3" t="inlineStr">
        <is>
          <t>SUDESTE</t>
        </is>
      </c>
      <c r="D538" s="3" t="inlineStr">
        <is>
          <t>MG</t>
        </is>
      </c>
      <c r="E538" s="3" t="inlineStr">
        <is>
          <t>PORTEIRINHA</t>
        </is>
      </c>
      <c r="F538" s="3" t="inlineStr">
        <is>
          <t xml:space="preserve">BEIRA RIO </t>
        </is>
      </c>
      <c r="G538" s="3" t="inlineStr">
        <is>
          <t>39520000</t>
        </is>
      </c>
      <c r="H538" s="3" t="inlineStr">
        <is>
          <t>Andressa</t>
        </is>
      </c>
      <c r="I538" s="3" t="inlineStr">
        <is>
          <t>Médio</t>
        </is>
      </c>
      <c r="J538" s="2" t="n">
        <v>380</v>
      </c>
      <c r="K538" s="3" t="inlineStr">
        <is>
          <t>Semana 3</t>
        </is>
      </c>
      <c r="L538" s="3" t="inlineStr">
        <is>
          <t>Normal</t>
        </is>
      </c>
      <c r="M538" s="3" t="inlineStr">
        <is>
          <t>chave 537</t>
        </is>
      </c>
    </row>
    <row r="539">
      <c r="A539" s="2" t="n">
        <v>538</v>
      </c>
      <c r="B539" s="3" t="inlineStr">
        <is>
          <t xml:space="preserve">COMERCIAL FREDSON LTDA </t>
        </is>
      </c>
      <c r="C539" s="3" t="inlineStr">
        <is>
          <t>SUDESTE</t>
        </is>
      </c>
      <c r="D539" s="3" t="inlineStr">
        <is>
          <t>MG</t>
        </is>
      </c>
      <c r="E539" s="3" t="inlineStr">
        <is>
          <t>MONTES CLAROS</t>
        </is>
      </c>
      <c r="F539" s="3" t="inlineStr">
        <is>
          <t xml:space="preserve">SAO JUDAS TADEU </t>
        </is>
      </c>
      <c r="G539" s="3" t="inlineStr">
        <is>
          <t>39402374</t>
        </is>
      </c>
      <c r="H539" s="3" t="inlineStr">
        <is>
          <t>Andressa</t>
        </is>
      </c>
      <c r="I539" s="3" t="inlineStr">
        <is>
          <t>Médio</t>
        </is>
      </c>
      <c r="J539" s="2" t="n">
        <v>380</v>
      </c>
      <c r="K539" s="3" t="inlineStr">
        <is>
          <t>Semana 3</t>
        </is>
      </c>
      <c r="L539" s="3" t="inlineStr">
        <is>
          <t>Normal</t>
        </is>
      </c>
      <c r="M539" s="3" t="inlineStr">
        <is>
          <t>chave 538</t>
        </is>
      </c>
    </row>
    <row r="540">
      <c r="A540" s="2" t="n">
        <v>539</v>
      </c>
      <c r="B540" s="3" t="inlineStr">
        <is>
          <t xml:space="preserve">COMERCIAL CIOFFI LTDA </t>
        </is>
      </c>
      <c r="C540" s="3" t="inlineStr">
        <is>
          <t>SUDESTE</t>
        </is>
      </c>
      <c r="D540" s="3" t="inlineStr">
        <is>
          <t>MG</t>
        </is>
      </c>
      <c r="E540" s="3" t="inlineStr">
        <is>
          <t>Poços de Caldas</t>
        </is>
      </c>
      <c r="F540" s="3" t="inlineStr">
        <is>
          <t xml:space="preserve">CENTRO </t>
        </is>
      </c>
      <c r="G540" s="3" t="inlineStr">
        <is>
          <t>37701000</t>
        </is>
      </c>
      <c r="H540" s="3" t="inlineStr">
        <is>
          <t>Andressa</t>
        </is>
      </c>
      <c r="I540" s="3" t="inlineStr">
        <is>
          <t>Médio</t>
        </is>
      </c>
      <c r="J540" s="2" t="n">
        <v>380</v>
      </c>
      <c r="K540" s="3" t="inlineStr">
        <is>
          <t>Semana 3</t>
        </is>
      </c>
      <c r="L540" s="3" t="inlineStr">
        <is>
          <t>Normal</t>
        </is>
      </c>
      <c r="M540" s="3" t="inlineStr">
        <is>
          <t>chave 539</t>
        </is>
      </c>
    </row>
    <row r="541">
      <c r="A541" s="2" t="n">
        <v>540</v>
      </c>
      <c r="B541" s="3" t="inlineStr">
        <is>
          <t xml:space="preserve">IRMAOS MATTAR &amp; CIA LTDA </t>
        </is>
      </c>
      <c r="C541" s="3" t="inlineStr">
        <is>
          <t>SUDESTE</t>
        </is>
      </c>
      <c r="D541" s="3" t="inlineStr">
        <is>
          <t>MG</t>
        </is>
      </c>
      <c r="E541" s="3" t="inlineStr">
        <is>
          <t>Teófilo Otoni</t>
        </is>
      </c>
      <c r="F541" s="3" t="inlineStr">
        <is>
          <t xml:space="preserve">JARDIM SERRA VERDE </t>
        </is>
      </c>
      <c r="G541" s="3" t="inlineStr">
        <is>
          <t>39801457</t>
        </is>
      </c>
      <c r="H541" s="3" t="inlineStr">
        <is>
          <t>Andressa</t>
        </is>
      </c>
      <c r="I541" s="3" t="inlineStr">
        <is>
          <t>Médio</t>
        </is>
      </c>
      <c r="J541" s="2" t="n">
        <v>380</v>
      </c>
      <c r="K541" s="3" t="inlineStr">
        <is>
          <t>Semana 3</t>
        </is>
      </c>
      <c r="L541" s="3" t="inlineStr">
        <is>
          <t>Normal</t>
        </is>
      </c>
      <c r="M541" s="3" t="inlineStr">
        <is>
          <t>chave 540</t>
        </is>
      </c>
    </row>
    <row r="542">
      <c r="A542" s="2" t="n">
        <v>541</v>
      </c>
      <c r="B542" s="3" t="inlineStr">
        <is>
          <t xml:space="preserve">G ANDRADE &amp; CIA LIMITADA </t>
        </is>
      </c>
      <c r="C542" s="3" t="inlineStr">
        <is>
          <t>SUDESTE</t>
        </is>
      </c>
      <c r="D542" s="3" t="inlineStr">
        <is>
          <t>MG</t>
        </is>
      </c>
      <c r="E542" s="3" t="inlineStr">
        <is>
          <t>Poços de Caldas</t>
        </is>
      </c>
      <c r="F542" s="3" t="inlineStr">
        <is>
          <t xml:space="preserve">CENTRO </t>
        </is>
      </c>
      <c r="G542" s="3" t="inlineStr">
        <is>
          <t>37701014</t>
        </is>
      </c>
      <c r="H542" s="3" t="inlineStr">
        <is>
          <t>Andressa</t>
        </is>
      </c>
      <c r="I542" s="3" t="inlineStr">
        <is>
          <t>Médio</t>
        </is>
      </c>
      <c r="J542" s="2" t="n">
        <v>380</v>
      </c>
      <c r="K542" s="3" t="inlineStr">
        <is>
          <t>Semana 3</t>
        </is>
      </c>
      <c r="L542" s="3" t="inlineStr">
        <is>
          <t>Normal</t>
        </is>
      </c>
      <c r="M542" s="3" t="inlineStr">
        <is>
          <t>chave 541</t>
        </is>
      </c>
    </row>
    <row r="543">
      <c r="A543" s="2" t="n">
        <v>542</v>
      </c>
      <c r="B543" s="3" t="inlineStr">
        <is>
          <t xml:space="preserve">PANAMERICANA DISTRIBUIDORA LTDA </t>
        </is>
      </c>
      <c r="C543" s="3" t="inlineStr">
        <is>
          <t>SUDESTE</t>
        </is>
      </c>
      <c r="D543" s="3" t="inlineStr">
        <is>
          <t>MG</t>
        </is>
      </c>
      <c r="E543" s="3" t="inlineStr">
        <is>
          <t>BELO HORIZONTE</t>
        </is>
      </c>
      <c r="F543" s="3" t="inlineStr">
        <is>
          <t xml:space="preserve">MONSENHOR MESSIAS </t>
        </is>
      </c>
      <c r="G543" s="3" t="inlineStr">
        <is>
          <t>30720460</t>
        </is>
      </c>
      <c r="H543" s="3" t="inlineStr">
        <is>
          <t>Andressa</t>
        </is>
      </c>
      <c r="I543" s="3" t="inlineStr">
        <is>
          <t>Estratégico</t>
        </is>
      </c>
      <c r="J543" s="2" t="n">
        <v>380</v>
      </c>
      <c r="K543" s="3" t="inlineStr">
        <is>
          <t>Semana 1</t>
        </is>
      </c>
      <c r="L543" s="3" t="inlineStr">
        <is>
          <t>Alta</t>
        </is>
      </c>
      <c r="M543" s="3" t="inlineStr">
        <is>
          <t>chave 542</t>
        </is>
      </c>
    </row>
    <row r="544">
      <c r="A544" s="2" t="n">
        <v>543</v>
      </c>
      <c r="B544" s="3" t="inlineStr">
        <is>
          <t xml:space="preserve">SOMA BH DISTRIBUIDORA DE MATERIAIS LTDA </t>
        </is>
      </c>
      <c r="C544" s="3" t="inlineStr">
        <is>
          <t>SUDESTE</t>
        </is>
      </c>
      <c r="D544" s="3" t="inlineStr">
        <is>
          <t>MG</t>
        </is>
      </c>
      <c r="E544" s="3" t="inlineStr">
        <is>
          <t>CONTAGEM</t>
        </is>
      </c>
      <c r="F544" s="3" t="inlineStr">
        <is>
          <t xml:space="preserve">RESSACA </t>
        </is>
      </c>
      <c r="G544" s="3" t="inlineStr">
        <is>
          <t>32110005</t>
        </is>
      </c>
      <c r="H544" s="3" t="inlineStr">
        <is>
          <t>Andressa</t>
        </is>
      </c>
      <c r="I544" s="3" t="inlineStr">
        <is>
          <t>Forte</t>
        </is>
      </c>
      <c r="J544" s="2" t="n">
        <v>380</v>
      </c>
      <c r="K544" s="3" t="inlineStr">
        <is>
          <t>Semana 1</t>
        </is>
      </c>
      <c r="L544" s="3" t="inlineStr">
        <is>
          <t>Média</t>
        </is>
      </c>
      <c r="M544" s="3" t="inlineStr">
        <is>
          <t>chave 543</t>
        </is>
      </c>
    </row>
    <row r="545">
      <c r="A545" s="2" t="n">
        <v>544</v>
      </c>
      <c r="B545" s="3" t="inlineStr">
        <is>
          <t xml:space="preserve">KATIUSCIA COMERCIO LTDA </t>
        </is>
      </c>
      <c r="C545" s="3" t="inlineStr">
        <is>
          <t>SUDESTE</t>
        </is>
      </c>
      <c r="D545" s="3" t="inlineStr">
        <is>
          <t>MG</t>
        </is>
      </c>
      <c r="E545" s="3" t="inlineStr">
        <is>
          <t>CORONEL FABRICIANO</t>
        </is>
      </c>
      <c r="F545" s="3" t="inlineStr">
        <is>
          <t xml:space="preserve">GIOVANINI </t>
        </is>
      </c>
      <c r="G545" s="3" t="inlineStr">
        <is>
          <t>35170097</t>
        </is>
      </c>
      <c r="H545" s="3" t="inlineStr">
        <is>
          <t>Andressa</t>
        </is>
      </c>
      <c r="I545" s="3" t="inlineStr">
        <is>
          <t>Médio</t>
        </is>
      </c>
      <c r="J545" s="2" t="n">
        <v>380</v>
      </c>
      <c r="K545" s="3" t="inlineStr">
        <is>
          <t>Semana 2</t>
        </is>
      </c>
      <c r="L545" s="3" t="inlineStr">
        <is>
          <t>Normal</t>
        </is>
      </c>
      <c r="M545" s="3" t="inlineStr">
        <is>
          <t>chave 544</t>
        </is>
      </c>
    </row>
    <row r="546">
      <c r="A546" s="2" t="n">
        <v>545</v>
      </c>
      <c r="B546" s="3" t="inlineStr">
        <is>
          <t xml:space="preserve">DISTRIBUIDORA DE PAPEIS RAFAEL LTDA </t>
        </is>
      </c>
      <c r="C546" s="3" t="inlineStr">
        <is>
          <t>SUDESTE</t>
        </is>
      </c>
      <c r="D546" s="3" t="inlineStr">
        <is>
          <t>MG</t>
        </is>
      </c>
      <c r="E546" s="3" t="inlineStr">
        <is>
          <t>SETE LAGOAS</t>
        </is>
      </c>
      <c r="F546" s="3" t="inlineStr">
        <is>
          <t xml:space="preserve">CENTRO </t>
        </is>
      </c>
      <c r="G546" s="3" t="inlineStr">
        <is>
          <t>35700002</t>
        </is>
      </c>
      <c r="H546" s="3" t="inlineStr">
        <is>
          <t>Andressa</t>
        </is>
      </c>
      <c r="I546" s="3" t="inlineStr">
        <is>
          <t>Médio</t>
        </is>
      </c>
      <c r="J546" s="2" t="n">
        <v>380</v>
      </c>
      <c r="K546" s="3" t="inlineStr">
        <is>
          <t>Semana 3</t>
        </is>
      </c>
      <c r="L546" s="3" t="inlineStr">
        <is>
          <t>Normal</t>
        </is>
      </c>
      <c r="M546" s="3" t="inlineStr">
        <is>
          <t>chave 545</t>
        </is>
      </c>
    </row>
    <row r="547">
      <c r="A547" s="2" t="n">
        <v>546</v>
      </c>
      <c r="B547" s="3" t="inlineStr">
        <is>
          <t xml:space="preserve">CASA DO ESTUDANTE PAPELARIA E LIVRARIA LTDA </t>
        </is>
      </c>
      <c r="C547" s="3" t="inlineStr">
        <is>
          <t>SUDESTE</t>
        </is>
      </c>
      <c r="D547" s="3" t="inlineStr">
        <is>
          <t>MG</t>
        </is>
      </c>
      <c r="E547" s="3" t="inlineStr">
        <is>
          <t>COROMANDEL</t>
        </is>
      </c>
      <c r="F547" s="3" t="inlineStr">
        <is>
          <t xml:space="preserve">CENTRO </t>
        </is>
      </c>
      <c r="G547" s="3" t="inlineStr">
        <is>
          <t>38550000</t>
        </is>
      </c>
      <c r="H547" s="3" t="inlineStr">
        <is>
          <t>Andressa</t>
        </is>
      </c>
      <c r="I547" s="3" t="inlineStr">
        <is>
          <t>Médio</t>
        </is>
      </c>
      <c r="J547" s="2" t="n">
        <v>380</v>
      </c>
      <c r="K547" s="3" t="inlineStr">
        <is>
          <t>Semana 2</t>
        </is>
      </c>
      <c r="L547" s="3" t="inlineStr">
        <is>
          <t>Normal</t>
        </is>
      </c>
      <c r="M547" s="3" t="inlineStr">
        <is>
          <t>chave 546</t>
        </is>
      </c>
    </row>
    <row r="548">
      <c r="A548" s="2" t="n">
        <v>547</v>
      </c>
      <c r="B548" s="3" t="inlineStr">
        <is>
          <t xml:space="preserve">PAPELARIA FERREIRA LTDA </t>
        </is>
      </c>
      <c r="C548" s="3" t="inlineStr">
        <is>
          <t>SUDESTE</t>
        </is>
      </c>
      <c r="D548" s="3" t="inlineStr">
        <is>
          <t>MG</t>
        </is>
      </c>
      <c r="E548" s="3" t="inlineStr">
        <is>
          <t>Três Pontas</t>
        </is>
      </c>
      <c r="F548" s="3" t="inlineStr">
        <is>
          <t xml:space="preserve">CENTRO </t>
        </is>
      </c>
      <c r="G548" s="3" t="inlineStr">
        <is>
          <t>37190000</t>
        </is>
      </c>
      <c r="H548" s="3" t="inlineStr">
        <is>
          <t>Andressa</t>
        </is>
      </c>
      <c r="I548" s="3" t="inlineStr">
        <is>
          <t>Médio</t>
        </is>
      </c>
      <c r="J548" s="2" t="n">
        <v>380</v>
      </c>
      <c r="K548" s="3" t="inlineStr">
        <is>
          <t>Semana 4</t>
        </is>
      </c>
      <c r="L548" s="3" t="inlineStr">
        <is>
          <t>Normal</t>
        </is>
      </c>
      <c r="M548" s="3" t="inlineStr">
        <is>
          <t>chave 547</t>
        </is>
      </c>
    </row>
    <row r="549">
      <c r="A549" s="2" t="n">
        <v>548</v>
      </c>
      <c r="B549" s="3" t="inlineStr">
        <is>
          <t xml:space="preserve">TC DO CARMO INFORMATICA E PAPELARIA </t>
        </is>
      </c>
      <c r="C549" s="3" t="inlineStr">
        <is>
          <t>SUDESTE</t>
        </is>
      </c>
      <c r="D549" s="3" t="inlineStr">
        <is>
          <t>MG</t>
        </is>
      </c>
      <c r="E549" s="3" t="inlineStr">
        <is>
          <t>IPATINGA</t>
        </is>
      </c>
      <c r="F549" s="3" t="inlineStr">
        <is>
          <t xml:space="preserve">IGUACU </t>
        </is>
      </c>
      <c r="G549" s="3" t="inlineStr">
        <is>
          <t>35162036</t>
        </is>
      </c>
      <c r="H549" s="3" t="inlineStr">
        <is>
          <t>Andressa</t>
        </is>
      </c>
      <c r="I549" s="3" t="inlineStr">
        <is>
          <t>Médio</t>
        </is>
      </c>
      <c r="J549" s="2" t="n">
        <v>380</v>
      </c>
      <c r="K549" s="3" t="inlineStr">
        <is>
          <t>Semana 3</t>
        </is>
      </c>
      <c r="L549" s="3" t="inlineStr">
        <is>
          <t>Normal</t>
        </is>
      </c>
      <c r="M549" s="3" t="inlineStr">
        <is>
          <t>chave 548</t>
        </is>
      </c>
    </row>
    <row r="550">
      <c r="A550" s="2" t="n">
        <v>549</v>
      </c>
      <c r="B550" s="3" t="inlineStr">
        <is>
          <t xml:space="preserve">UBERPEL COMERCIO DE PAPEIS LTDA </t>
        </is>
      </c>
      <c r="C550" s="3" t="inlineStr">
        <is>
          <t>SUDESTE</t>
        </is>
      </c>
      <c r="D550" s="3" t="inlineStr">
        <is>
          <t>MG</t>
        </is>
      </c>
      <c r="E550" s="3" t="inlineStr">
        <is>
          <t>Uberlândia</t>
        </is>
      </c>
      <c r="F550" s="3" t="inlineStr">
        <is>
          <t xml:space="preserve">CUSTODIO PEREIRA </t>
        </is>
      </c>
      <c r="G550" s="3" t="inlineStr">
        <is>
          <t>38405238</t>
        </is>
      </c>
      <c r="H550" s="3" t="inlineStr">
        <is>
          <t>Andressa</t>
        </is>
      </c>
      <c r="I550" s="3" t="inlineStr">
        <is>
          <t>Forte</t>
        </is>
      </c>
      <c r="J550" s="2" t="n">
        <v>380</v>
      </c>
      <c r="K550" s="3" t="inlineStr">
        <is>
          <t>Semana 2</t>
        </is>
      </c>
      <c r="L550" s="3" t="inlineStr">
        <is>
          <t>Média</t>
        </is>
      </c>
      <c r="M550" s="3" t="inlineStr">
        <is>
          <t>chave 549</t>
        </is>
      </c>
    </row>
    <row r="551">
      <c r="A551" s="2" t="n">
        <v>550</v>
      </c>
      <c r="B551" s="3" t="inlineStr">
        <is>
          <t xml:space="preserve">LIVRARIA E PAPELARIA CENTRAL DE LEOPOLDINA LTDA </t>
        </is>
      </c>
      <c r="C551" s="3" t="inlineStr">
        <is>
          <t>SUDESTE</t>
        </is>
      </c>
      <c r="D551" s="3" t="inlineStr">
        <is>
          <t>MG</t>
        </is>
      </c>
      <c r="E551" s="3" t="inlineStr">
        <is>
          <t>LEOPOLDINA</t>
        </is>
      </c>
      <c r="F551" s="3" t="inlineStr">
        <is>
          <t xml:space="preserve">CENTRO </t>
        </is>
      </c>
      <c r="G551" s="3" t="inlineStr">
        <is>
          <t>36700000</t>
        </is>
      </c>
      <c r="H551" s="3" t="inlineStr">
        <is>
          <t>Andressa</t>
        </is>
      </c>
      <c r="I551" s="3" t="inlineStr">
        <is>
          <t>Médio</t>
        </is>
      </c>
      <c r="J551" s="2" t="n">
        <v>380</v>
      </c>
      <c r="K551" s="3" t="inlineStr">
        <is>
          <t>Semana 3</t>
        </is>
      </c>
      <c r="L551" s="3" t="inlineStr">
        <is>
          <t>Normal</t>
        </is>
      </c>
      <c r="M551" s="3" t="inlineStr">
        <is>
          <t>chave 550</t>
        </is>
      </c>
    </row>
    <row r="552">
      <c r="A552" s="2" t="n">
        <v>551</v>
      </c>
      <c r="B552" s="3" t="inlineStr">
        <is>
          <t xml:space="preserve">IMPRIMA BR PRODUTOS DE INFORMATICA LTDA </t>
        </is>
      </c>
      <c r="C552" s="3" t="inlineStr">
        <is>
          <t>SUDESTE</t>
        </is>
      </c>
      <c r="D552" s="3" t="inlineStr">
        <is>
          <t>MG</t>
        </is>
      </c>
      <c r="E552" s="3" t="inlineStr">
        <is>
          <t>Teófilo Otoni</t>
        </is>
      </c>
      <c r="F552" s="3" t="inlineStr">
        <is>
          <t xml:space="preserve">CENTRO </t>
        </is>
      </c>
      <c r="G552" s="3" t="inlineStr">
        <is>
          <t>39800118</t>
        </is>
      </c>
      <c r="H552" s="3" t="inlineStr">
        <is>
          <t>Andressa</t>
        </is>
      </c>
      <c r="I552" s="3" t="inlineStr">
        <is>
          <t>Médio</t>
        </is>
      </c>
      <c r="J552" s="2" t="n">
        <v>380</v>
      </c>
      <c r="K552" s="3" t="inlineStr">
        <is>
          <t>Semana 3</t>
        </is>
      </c>
      <c r="L552" s="3" t="inlineStr">
        <is>
          <t>Normal</t>
        </is>
      </c>
      <c r="M552" s="3" t="inlineStr">
        <is>
          <t>chave 551</t>
        </is>
      </c>
    </row>
    <row r="553">
      <c r="A553" s="2" t="n">
        <v>552</v>
      </c>
      <c r="B553" s="3" t="inlineStr">
        <is>
          <t xml:space="preserve">MUNDO DAS OPCOES JUIZ DE FORA LTDA </t>
        </is>
      </c>
      <c r="C553" s="3" t="inlineStr">
        <is>
          <t>SUDESTE</t>
        </is>
      </c>
      <c r="D553" s="3" t="inlineStr">
        <is>
          <t>MG</t>
        </is>
      </c>
      <c r="E553" s="3" t="inlineStr">
        <is>
          <t>JUIZ DE FORA</t>
        </is>
      </c>
      <c r="F553" s="3" t="inlineStr">
        <is>
          <t xml:space="preserve">CENTRO </t>
        </is>
      </c>
      <c r="G553" s="3" t="inlineStr">
        <is>
          <t>36010000</t>
        </is>
      </c>
      <c r="H553" s="3" t="inlineStr">
        <is>
          <t>Andressa</t>
        </is>
      </c>
      <c r="I553" s="3" t="inlineStr">
        <is>
          <t>Forte</t>
        </is>
      </c>
      <c r="J553" s="2" t="n">
        <v>380</v>
      </c>
      <c r="K553" s="3" t="inlineStr">
        <is>
          <t>Semana 2</t>
        </is>
      </c>
      <c r="L553" s="3" t="inlineStr">
        <is>
          <t>Média</t>
        </is>
      </c>
      <c r="M553" s="3" t="inlineStr">
        <is>
          <t>chave 552</t>
        </is>
      </c>
    </row>
    <row r="554">
      <c r="A554" s="2" t="n">
        <v>553</v>
      </c>
      <c r="B554" s="3" t="inlineStr">
        <is>
          <t xml:space="preserve">PAULA SAPI FERREIRA MAIA LTDA </t>
        </is>
      </c>
      <c r="C554" s="3" t="inlineStr">
        <is>
          <t>SUDESTE</t>
        </is>
      </c>
      <c r="D554" s="3" t="inlineStr">
        <is>
          <t>MG</t>
        </is>
      </c>
      <c r="E554" s="3" t="inlineStr">
        <is>
          <t>VARGINHA</t>
        </is>
      </c>
      <c r="F554" s="3" t="inlineStr">
        <is>
          <t xml:space="preserve">JARDIM ANDERE </t>
        </is>
      </c>
      <c r="G554" s="3" t="inlineStr">
        <is>
          <t>37006510</t>
        </is>
      </c>
      <c r="H554" s="3" t="inlineStr">
        <is>
          <t>Andressa</t>
        </is>
      </c>
      <c r="I554" s="3" t="inlineStr">
        <is>
          <t>Médio</t>
        </is>
      </c>
      <c r="J554" s="2" t="n">
        <v>380</v>
      </c>
      <c r="K554" s="3" t="inlineStr">
        <is>
          <t>Semana 4</t>
        </is>
      </c>
      <c r="L554" s="3" t="inlineStr">
        <is>
          <t>Normal</t>
        </is>
      </c>
      <c r="M554" s="3" t="inlineStr">
        <is>
          <t>chave 553</t>
        </is>
      </c>
    </row>
    <row r="555">
      <c r="A555" s="2" t="n">
        <v>554</v>
      </c>
      <c r="B555" s="3" t="inlineStr">
        <is>
          <t xml:space="preserve">PAPELARIA KAFKA LTDA </t>
        </is>
      </c>
      <c r="C555" s="3" t="inlineStr">
        <is>
          <t>SUDESTE</t>
        </is>
      </c>
      <c r="D555" s="3" t="inlineStr">
        <is>
          <t>MG</t>
        </is>
      </c>
      <c r="E555" s="3" t="inlineStr">
        <is>
          <t>CATAGUASES</t>
        </is>
      </c>
      <c r="F555" s="3" t="inlineStr">
        <is>
          <t xml:space="preserve">CENTRO </t>
        </is>
      </c>
      <c r="G555" s="3" t="inlineStr">
        <is>
          <t>36770028</t>
        </is>
      </c>
      <c r="H555" s="3" t="inlineStr">
        <is>
          <t>Andressa</t>
        </is>
      </c>
      <c r="I555" s="3" t="inlineStr">
        <is>
          <t>Médio</t>
        </is>
      </c>
      <c r="J555" s="2" t="n">
        <v>380</v>
      </c>
      <c r="K555" s="3" t="inlineStr">
        <is>
          <t>Semana 2</t>
        </is>
      </c>
      <c r="L555" s="3" t="inlineStr">
        <is>
          <t>Normal</t>
        </is>
      </c>
      <c r="M555" s="3" t="inlineStr">
        <is>
          <t>chave 554</t>
        </is>
      </c>
    </row>
    <row r="556">
      <c r="A556" s="2" t="n">
        <v>555</v>
      </c>
      <c r="B556" s="3" t="inlineStr">
        <is>
          <t xml:space="preserve">COMERCIAL MONTEVERDE LTDA </t>
        </is>
      </c>
      <c r="C556" s="3" t="inlineStr">
        <is>
          <t>SUDESTE</t>
        </is>
      </c>
      <c r="D556" s="3" t="inlineStr">
        <is>
          <t>MG</t>
        </is>
      </c>
      <c r="E556" s="3" t="inlineStr">
        <is>
          <t>JUIZ DE FORA</t>
        </is>
      </c>
      <c r="F556" s="3" t="inlineStr">
        <is>
          <t xml:space="preserve">POCO RICO </t>
        </is>
      </c>
      <c r="G556" s="3" t="inlineStr">
        <is>
          <t>36020020</t>
        </is>
      </c>
      <c r="H556" s="3" t="inlineStr">
        <is>
          <t>Andressa</t>
        </is>
      </c>
      <c r="I556" s="3" t="inlineStr">
        <is>
          <t>Forte</t>
        </is>
      </c>
      <c r="J556" s="2" t="n">
        <v>380</v>
      </c>
      <c r="K556" s="3" t="inlineStr">
        <is>
          <t>Semana 2</t>
        </is>
      </c>
      <c r="L556" s="3" t="inlineStr">
        <is>
          <t>Média</t>
        </is>
      </c>
      <c r="M556" s="3" t="inlineStr">
        <is>
          <t>chave 555</t>
        </is>
      </c>
    </row>
    <row r="557">
      <c r="A557" s="2" t="n">
        <v>556</v>
      </c>
      <c r="B557" s="3" t="inlineStr">
        <is>
          <t xml:space="preserve">EMPORIO PAPELARIA PRESENTES LTDA </t>
        </is>
      </c>
      <c r="C557" s="3" t="inlineStr">
        <is>
          <t>SUDESTE</t>
        </is>
      </c>
      <c r="D557" s="3" t="inlineStr">
        <is>
          <t>MG</t>
        </is>
      </c>
      <c r="E557" s="3" t="inlineStr">
        <is>
          <t>Aimorés</t>
        </is>
      </c>
      <c r="F557" s="3" t="inlineStr">
        <is>
          <t xml:space="preserve">CENTRO </t>
        </is>
      </c>
      <c r="G557" s="3" t="inlineStr">
        <is>
          <t>35200000</t>
        </is>
      </c>
      <c r="H557" s="3" t="inlineStr">
        <is>
          <t>Andressa</t>
        </is>
      </c>
      <c r="I557" s="3" t="inlineStr">
        <is>
          <t>Médio</t>
        </is>
      </c>
      <c r="J557" s="2" t="n">
        <v>380</v>
      </c>
      <c r="K557" s="3" t="inlineStr">
        <is>
          <t>Semana 2</t>
        </is>
      </c>
      <c r="L557" s="3" t="inlineStr">
        <is>
          <t>Normal</t>
        </is>
      </c>
      <c r="M557" s="3" t="inlineStr">
        <is>
          <t>chave 556</t>
        </is>
      </c>
    </row>
    <row r="558">
      <c r="A558" s="2" t="n">
        <v>557</v>
      </c>
      <c r="B558" s="3" t="inlineStr">
        <is>
          <t xml:space="preserve">CENTER MANIA PAPELARIA LTDA </t>
        </is>
      </c>
      <c r="C558" s="3" t="inlineStr">
        <is>
          <t>SUDESTE</t>
        </is>
      </c>
      <c r="D558" s="3" t="inlineStr">
        <is>
          <t>MG</t>
        </is>
      </c>
      <c r="E558" s="3" t="inlineStr">
        <is>
          <t>PORTEIRINHA</t>
        </is>
      </c>
      <c r="F558" s="3" t="inlineStr">
        <is>
          <t xml:space="preserve">CENTRO </t>
        </is>
      </c>
      <c r="G558" s="3" t="inlineStr">
        <is>
          <t>39520000</t>
        </is>
      </c>
      <c r="H558" s="3" t="inlineStr">
        <is>
          <t>Andressa</t>
        </is>
      </c>
      <c r="I558" s="3" t="inlineStr">
        <is>
          <t>Médio</t>
        </is>
      </c>
      <c r="J558" s="2" t="n">
        <v>380</v>
      </c>
      <c r="K558" s="3" t="inlineStr">
        <is>
          <t>Semana 3</t>
        </is>
      </c>
      <c r="L558" s="3" t="inlineStr">
        <is>
          <t>Normal</t>
        </is>
      </c>
      <c r="M558" s="3" t="inlineStr">
        <is>
          <t>chave 557</t>
        </is>
      </c>
    </row>
    <row r="559">
      <c r="A559" s="2" t="n">
        <v>558</v>
      </c>
      <c r="B559" s="3" t="inlineStr">
        <is>
          <t xml:space="preserve">PAPELARIA PRINCIPAL LTDA </t>
        </is>
      </c>
      <c r="C559" s="3" t="inlineStr">
        <is>
          <t>SUDESTE</t>
        </is>
      </c>
      <c r="D559" s="3" t="inlineStr">
        <is>
          <t>MG</t>
        </is>
      </c>
      <c r="E559" s="3" t="inlineStr">
        <is>
          <t>PATOS DE MINAS</t>
        </is>
      </c>
      <c r="F559" s="3" t="inlineStr">
        <is>
          <t xml:space="preserve">CENTRO </t>
        </is>
      </c>
      <c r="G559" s="3" t="inlineStr">
        <is>
          <t>38700122</t>
        </is>
      </c>
      <c r="H559" s="3" t="inlineStr">
        <is>
          <t>Andressa</t>
        </is>
      </c>
      <c r="I559" s="3" t="inlineStr">
        <is>
          <t>Médio</t>
        </is>
      </c>
      <c r="J559" s="2" t="n">
        <v>380</v>
      </c>
      <c r="K559" s="3" t="inlineStr">
        <is>
          <t>Semana 3</t>
        </is>
      </c>
      <c r="L559" s="3" t="inlineStr">
        <is>
          <t>Normal</t>
        </is>
      </c>
      <c r="M559" s="3" t="inlineStr">
        <is>
          <t>chave 558</t>
        </is>
      </c>
    </row>
    <row r="560">
      <c r="A560" s="2" t="n">
        <v>559</v>
      </c>
      <c r="B560" s="3" t="inlineStr">
        <is>
          <t xml:space="preserve">HAMA PRESENTES E PAPELARIA II LTDA </t>
        </is>
      </c>
      <c r="C560" s="3" t="inlineStr">
        <is>
          <t>SUDESTE</t>
        </is>
      </c>
      <c r="D560" s="3" t="inlineStr">
        <is>
          <t>MG</t>
        </is>
      </c>
      <c r="E560" s="3" t="inlineStr">
        <is>
          <t>VARGINHA</t>
        </is>
      </c>
      <c r="F560" s="3" t="inlineStr">
        <is>
          <t xml:space="preserve">JARDIM CIDADE NOVA </t>
        </is>
      </c>
      <c r="G560" s="3" t="inlineStr">
        <is>
          <t>37044130</t>
        </is>
      </c>
      <c r="H560" s="3" t="inlineStr">
        <is>
          <t>Andressa</t>
        </is>
      </c>
      <c r="I560" s="3" t="inlineStr">
        <is>
          <t>Médio</t>
        </is>
      </c>
      <c r="J560" s="2" t="n">
        <v>380</v>
      </c>
      <c r="K560" s="3" t="inlineStr">
        <is>
          <t>Semana 4</t>
        </is>
      </c>
      <c r="L560" s="3" t="inlineStr">
        <is>
          <t>Normal</t>
        </is>
      </c>
      <c r="M560" s="3" t="inlineStr">
        <is>
          <t>chave 559</t>
        </is>
      </c>
    </row>
    <row r="561">
      <c r="A561" s="2" t="n">
        <v>560</v>
      </c>
      <c r="B561" s="3" t="inlineStr">
        <is>
          <t xml:space="preserve">RAFFAELLY PAPELARIA LTDA </t>
        </is>
      </c>
      <c r="C561" s="3" t="inlineStr">
        <is>
          <t>SUDESTE</t>
        </is>
      </c>
      <c r="D561" s="3" t="inlineStr">
        <is>
          <t>MG</t>
        </is>
      </c>
      <c r="E561" s="3" t="inlineStr">
        <is>
          <t>JUIZ DE FORA</t>
        </is>
      </c>
      <c r="F561" s="3" t="inlineStr">
        <is>
          <t xml:space="preserve">CENTRO </t>
        </is>
      </c>
      <c r="G561" s="3" t="inlineStr">
        <is>
          <t>36013080</t>
        </is>
      </c>
      <c r="H561" s="3" t="inlineStr">
        <is>
          <t>Andressa</t>
        </is>
      </c>
      <c r="I561" s="3" t="inlineStr">
        <is>
          <t>Forte</t>
        </is>
      </c>
      <c r="J561" s="2" t="n">
        <v>380</v>
      </c>
      <c r="K561" s="3" t="inlineStr">
        <is>
          <t>Semana 2</t>
        </is>
      </c>
      <c r="L561" s="3" t="inlineStr">
        <is>
          <t>Média</t>
        </is>
      </c>
      <c r="M561" s="3" t="inlineStr">
        <is>
          <t>chave 560</t>
        </is>
      </c>
    </row>
    <row r="562">
      <c r="A562" s="2" t="n">
        <v>561</v>
      </c>
      <c r="B562" s="3" t="inlineStr">
        <is>
          <t xml:space="preserve">PAPELARIA E COPIADORA COPYSUL LTDA </t>
        </is>
      </c>
      <c r="C562" s="3" t="inlineStr">
        <is>
          <t>SUDESTE</t>
        </is>
      </c>
      <c r="D562" s="3" t="inlineStr">
        <is>
          <t>MG</t>
        </is>
      </c>
      <c r="E562" s="3" t="inlineStr">
        <is>
          <t>VARGINHA</t>
        </is>
      </c>
      <c r="F562" s="3" t="inlineStr">
        <is>
          <t xml:space="preserve">CENTRO </t>
        </is>
      </c>
      <c r="G562" s="3" t="inlineStr">
        <is>
          <t>37010000</t>
        </is>
      </c>
      <c r="H562" s="3" t="inlineStr">
        <is>
          <t>Andressa</t>
        </is>
      </c>
      <c r="I562" s="3" t="inlineStr">
        <is>
          <t>Médio</t>
        </is>
      </c>
      <c r="J562" s="2" t="n">
        <v>380</v>
      </c>
      <c r="K562" s="3" t="inlineStr">
        <is>
          <t>Semana 4</t>
        </is>
      </c>
      <c r="L562" s="3" t="inlineStr">
        <is>
          <t>Normal</t>
        </is>
      </c>
      <c r="M562" s="3" t="inlineStr">
        <is>
          <t>chave 561</t>
        </is>
      </c>
    </row>
    <row r="563">
      <c r="A563" s="2" t="n">
        <v>562</v>
      </c>
      <c r="B563" s="3" t="inlineStr">
        <is>
          <t xml:space="preserve">LPC  LIVRARIA E PAPELARIA CALACA LTDA </t>
        </is>
      </c>
      <c r="C563" s="3" t="inlineStr">
        <is>
          <t>SUDESTE</t>
        </is>
      </c>
      <c r="D563" s="3" t="inlineStr">
        <is>
          <t>MG</t>
        </is>
      </c>
      <c r="E563" s="3" t="inlineStr">
        <is>
          <t>Januária</t>
        </is>
      </c>
      <c r="F563" s="3" t="inlineStr">
        <is>
          <t xml:space="preserve">CENTRO </t>
        </is>
      </c>
      <c r="G563" s="3" t="inlineStr">
        <is>
          <t>39480000</t>
        </is>
      </c>
      <c r="H563" s="3" t="inlineStr">
        <is>
          <t>Andressa</t>
        </is>
      </c>
      <c r="I563" s="3" t="inlineStr">
        <is>
          <t>Médio</t>
        </is>
      </c>
      <c r="J563" s="2" t="n">
        <v>380</v>
      </c>
      <c r="K563" s="3" t="inlineStr">
        <is>
          <t>Semana 3</t>
        </is>
      </c>
      <c r="L563" s="3" t="inlineStr">
        <is>
          <t>Normal</t>
        </is>
      </c>
      <c r="M563" s="3" t="inlineStr">
        <is>
          <t>chave 562</t>
        </is>
      </c>
    </row>
    <row r="564">
      <c r="A564" s="2" t="n">
        <v>563</v>
      </c>
      <c r="B564" s="3" t="inlineStr">
        <is>
          <t xml:space="preserve">DUARTE &amp; FILHOS LTDA </t>
        </is>
      </c>
      <c r="C564" s="3" t="inlineStr">
        <is>
          <t>SUDESTE</t>
        </is>
      </c>
      <c r="D564" s="3" t="inlineStr">
        <is>
          <t>MG</t>
        </is>
      </c>
      <c r="E564" s="3" t="inlineStr">
        <is>
          <t>CURVELO</t>
        </is>
      </c>
      <c r="F564" s="3" t="inlineStr">
        <is>
          <t xml:space="preserve">CENTRO </t>
        </is>
      </c>
      <c r="G564" s="3" t="inlineStr">
        <is>
          <t>35790123</t>
        </is>
      </c>
      <c r="H564" s="3" t="inlineStr">
        <is>
          <t>Andressa</t>
        </is>
      </c>
      <c r="I564" s="3" t="inlineStr">
        <is>
          <t>Médio</t>
        </is>
      </c>
      <c r="J564" s="2" t="n">
        <v>380</v>
      </c>
      <c r="K564" s="3" t="inlineStr">
        <is>
          <t>Semana 2</t>
        </is>
      </c>
      <c r="L564" s="3" t="inlineStr">
        <is>
          <t>Normal</t>
        </is>
      </c>
      <c r="M564" s="3" t="inlineStr">
        <is>
          <t>chave 563</t>
        </is>
      </c>
    </row>
    <row r="565">
      <c r="A565" s="2" t="n">
        <v>564</v>
      </c>
      <c r="B565" s="3" t="inlineStr">
        <is>
          <t xml:space="preserve">ARTEBRILHO MULTSERVICOS LTDA </t>
        </is>
      </c>
      <c r="C565" s="3" t="inlineStr">
        <is>
          <t>SUDESTE</t>
        </is>
      </c>
      <c r="D565" s="3" t="inlineStr">
        <is>
          <t>MG</t>
        </is>
      </c>
      <c r="E565" s="3" t="inlineStr">
        <is>
          <t>BELO HORIZONTE</t>
        </is>
      </c>
      <c r="F565" s="3" t="inlineStr">
        <is>
          <t xml:space="preserve">CACHOEIRINHA </t>
        </is>
      </c>
      <c r="G565" s="3" t="inlineStr">
        <is>
          <t>31130130</t>
        </is>
      </c>
      <c r="H565" s="3" t="inlineStr">
        <is>
          <t>Andressa</t>
        </is>
      </c>
      <c r="I565" s="3" t="inlineStr">
        <is>
          <t>Estratégico</t>
        </is>
      </c>
      <c r="J565" s="2" t="n">
        <v>380</v>
      </c>
      <c r="K565" s="3" t="inlineStr">
        <is>
          <t>Semana 1</t>
        </is>
      </c>
      <c r="L565" s="3" t="inlineStr">
        <is>
          <t>Alta</t>
        </is>
      </c>
      <c r="M565" s="3" t="inlineStr">
        <is>
          <t>chave 564</t>
        </is>
      </c>
    </row>
    <row r="566">
      <c r="A566" s="2" t="n">
        <v>565</v>
      </c>
      <c r="B566" s="3" t="inlineStr">
        <is>
          <t xml:space="preserve">LINKMED FARMACEUTICA LTDA </t>
        </is>
      </c>
      <c r="C566" s="3" t="inlineStr">
        <is>
          <t>SUDESTE</t>
        </is>
      </c>
      <c r="D566" s="3" t="inlineStr">
        <is>
          <t>MG</t>
        </is>
      </c>
      <c r="E566" s="3" t="inlineStr">
        <is>
          <t>PIRAPORA</t>
        </is>
      </c>
      <c r="F566" s="3" t="inlineStr">
        <is>
          <t xml:space="preserve">INDUSTRIAL </t>
        </is>
      </c>
      <c r="G566" s="3" t="inlineStr">
        <is>
          <t>39270000</t>
        </is>
      </c>
      <c r="H566" s="3" t="inlineStr">
        <is>
          <t>Andressa</t>
        </is>
      </c>
      <c r="I566" s="3" t="inlineStr">
        <is>
          <t>Médio</t>
        </is>
      </c>
      <c r="J566" s="2" t="n">
        <v>380</v>
      </c>
      <c r="K566" s="3" t="inlineStr">
        <is>
          <t>Semana 3</t>
        </is>
      </c>
      <c r="L566" s="3" t="inlineStr">
        <is>
          <t>Normal</t>
        </is>
      </c>
      <c r="M566" s="3" t="inlineStr">
        <is>
          <t>chave 565</t>
        </is>
      </c>
    </row>
    <row r="567">
      <c r="A567" s="2" t="n">
        <v>566</v>
      </c>
      <c r="B567" s="3" t="inlineStr">
        <is>
          <t xml:space="preserve">MILCOPY DISTRIBUIDORA LTDA </t>
        </is>
      </c>
      <c r="C567" s="3" t="inlineStr">
        <is>
          <t>SUDESTE</t>
        </is>
      </c>
      <c r="D567" s="3" t="inlineStr">
        <is>
          <t>MG</t>
        </is>
      </c>
      <c r="E567" s="3" t="inlineStr">
        <is>
          <t>CONTAGEM</t>
        </is>
      </c>
      <c r="F567" s="3" t="inlineStr">
        <is>
          <t xml:space="preserve">ELDORADO </t>
        </is>
      </c>
      <c r="G567" s="3" t="inlineStr">
        <is>
          <t>32310000</t>
        </is>
      </c>
      <c r="H567" s="3" t="inlineStr">
        <is>
          <t>Andressa</t>
        </is>
      </c>
      <c r="I567" s="3" t="inlineStr">
        <is>
          <t>Forte</t>
        </is>
      </c>
      <c r="J567" s="2" t="n">
        <v>380</v>
      </c>
      <c r="K567" s="3" t="inlineStr">
        <is>
          <t>Semana 1</t>
        </is>
      </c>
      <c r="L567" s="3" t="inlineStr">
        <is>
          <t>Média</t>
        </is>
      </c>
      <c r="M567" s="3" t="inlineStr">
        <is>
          <t>chave 566</t>
        </is>
      </c>
    </row>
    <row r="568">
      <c r="A568" s="2" t="n">
        <v>567</v>
      </c>
      <c r="B568" s="3" t="inlineStr">
        <is>
          <t xml:space="preserve">COMERCIAL TERRA LTDA </t>
        </is>
      </c>
      <c r="C568" s="3" t="inlineStr">
        <is>
          <t>SUDESTE</t>
        </is>
      </c>
      <c r="D568" s="3" t="inlineStr">
        <is>
          <t>MG</t>
        </is>
      </c>
      <c r="E568" s="3" t="inlineStr">
        <is>
          <t>Japaraíba</t>
        </is>
      </c>
      <c r="F568" s="3" t="inlineStr">
        <is>
          <t xml:space="preserve">SAO JOSE </t>
        </is>
      </c>
      <c r="G568" s="3" t="inlineStr">
        <is>
          <t>35580000</t>
        </is>
      </c>
      <c r="H568" s="3" t="inlineStr">
        <is>
          <t>Andressa</t>
        </is>
      </c>
      <c r="I568" s="3" t="inlineStr">
        <is>
          <t>Médio</t>
        </is>
      </c>
      <c r="J568" s="2" t="n">
        <v>380</v>
      </c>
      <c r="K568" s="3" t="inlineStr">
        <is>
          <t>Semana 3</t>
        </is>
      </c>
      <c r="L568" s="3" t="inlineStr">
        <is>
          <t>Normal</t>
        </is>
      </c>
      <c r="M568" s="3" t="inlineStr">
        <is>
          <t>chave 567</t>
        </is>
      </c>
    </row>
    <row r="569">
      <c r="A569" s="2" t="n">
        <v>568</v>
      </c>
      <c r="B569" s="3" t="inlineStr">
        <is>
          <t xml:space="preserve">PAPELARIA AMARELINHO GRAFICA RAPIDA E COPIADORA LTDA </t>
        </is>
      </c>
      <c r="C569" s="3" t="inlineStr">
        <is>
          <t>SUDESTE</t>
        </is>
      </c>
      <c r="D569" s="3" t="inlineStr">
        <is>
          <t>MG</t>
        </is>
      </c>
      <c r="E569" s="3" t="inlineStr">
        <is>
          <t>ALFENAS</t>
        </is>
      </c>
      <c r="F569" s="3" t="inlineStr">
        <is>
          <t xml:space="preserve">CRUZ PRETA </t>
        </is>
      </c>
      <c r="G569" s="3" t="inlineStr">
        <is>
          <t>37130000</t>
        </is>
      </c>
      <c r="H569" s="3" t="inlineStr">
        <is>
          <t>Andressa</t>
        </is>
      </c>
      <c r="I569" s="3" t="inlineStr">
        <is>
          <t>Médio</t>
        </is>
      </c>
      <c r="J569" s="2" t="n">
        <v>380</v>
      </c>
      <c r="K569" s="3" t="inlineStr">
        <is>
          <t>Semana 2</t>
        </is>
      </c>
      <c r="L569" s="3" t="inlineStr">
        <is>
          <t>Normal</t>
        </is>
      </c>
      <c r="M569" s="3" t="inlineStr">
        <is>
          <t>chave 568</t>
        </is>
      </c>
    </row>
    <row r="570">
      <c r="A570" s="2" t="n">
        <v>569</v>
      </c>
      <c r="B570" s="3" t="inlineStr">
        <is>
          <t xml:space="preserve">PAPELARIA LEBLON LTDA </t>
        </is>
      </c>
      <c r="C570" s="3" t="inlineStr">
        <is>
          <t>SUDESTE</t>
        </is>
      </c>
      <c r="D570" s="3" t="inlineStr">
        <is>
          <t>MG</t>
        </is>
      </c>
      <c r="E570" s="3" t="inlineStr">
        <is>
          <t>São João del Rei</t>
        </is>
      </c>
      <c r="F570" s="3" t="inlineStr">
        <is>
          <t xml:space="preserve">CENTRO </t>
        </is>
      </c>
      <c r="G570" s="3" t="inlineStr">
        <is>
          <t>36307330</t>
        </is>
      </c>
      <c r="H570" s="3" t="inlineStr">
        <is>
          <t>Andressa</t>
        </is>
      </c>
      <c r="I570" s="3" t="inlineStr">
        <is>
          <t>Médio</t>
        </is>
      </c>
      <c r="J570" s="2" t="n">
        <v>380</v>
      </c>
      <c r="K570" s="3" t="inlineStr">
        <is>
          <t>Semana 3</t>
        </is>
      </c>
      <c r="L570" s="3" t="inlineStr">
        <is>
          <t>Normal</t>
        </is>
      </c>
      <c r="M570" s="3" t="inlineStr">
        <is>
          <t>chave 569</t>
        </is>
      </c>
    </row>
    <row r="571">
      <c r="A571" s="2" t="n">
        <v>570</v>
      </c>
      <c r="B571" s="3" t="inlineStr">
        <is>
          <t xml:space="preserve">MARLUVAS EQUIPAMENTOS DE SEGURANCA LTDA </t>
        </is>
      </c>
      <c r="C571" s="3" t="inlineStr">
        <is>
          <t>SUDESTE</t>
        </is>
      </c>
      <c r="D571" s="3" t="inlineStr">
        <is>
          <t>MG</t>
        </is>
      </c>
      <c r="E571" s="3" t="inlineStr">
        <is>
          <t>DORES DE CAMPOS</t>
        </is>
      </c>
      <c r="F571" s="3" t="inlineStr">
        <is>
          <t xml:space="preserve">ZONA RURAL </t>
        </is>
      </c>
      <c r="G571" s="3" t="inlineStr">
        <is>
          <t>36213000</t>
        </is>
      </c>
      <c r="H571" s="3" t="inlineStr">
        <is>
          <t>Andressa</t>
        </is>
      </c>
      <c r="I571" s="3" t="inlineStr">
        <is>
          <t>Médio</t>
        </is>
      </c>
      <c r="J571" s="2" t="n">
        <v>380</v>
      </c>
      <c r="K571" s="3" t="inlineStr">
        <is>
          <t>Semana 2</t>
        </is>
      </c>
      <c r="L571" s="3" t="inlineStr">
        <is>
          <t>Normal</t>
        </is>
      </c>
      <c r="M571" s="3" t="inlineStr">
        <is>
          <t>chave 570</t>
        </is>
      </c>
    </row>
    <row r="572">
      <c r="A572" s="2" t="n">
        <v>571</v>
      </c>
      <c r="B572" s="3" t="inlineStr">
        <is>
          <t xml:space="preserve">S GUTIERREZ COM E REPRESENTACOES LTDA </t>
        </is>
      </c>
      <c r="C572" s="3" t="inlineStr">
        <is>
          <t>SUDESTE</t>
        </is>
      </c>
      <c r="D572" s="3" t="inlineStr">
        <is>
          <t>MG</t>
        </is>
      </c>
      <c r="E572" s="3" t="inlineStr">
        <is>
          <t>MARIANA</t>
        </is>
      </c>
      <c r="F572" s="3" t="inlineStr">
        <is>
          <t xml:space="preserve">CENTRO </t>
        </is>
      </c>
      <c r="G572" s="3" t="inlineStr">
        <is>
          <t>35420000</t>
        </is>
      </c>
      <c r="H572" s="3" t="inlineStr">
        <is>
          <t>Andressa</t>
        </is>
      </c>
      <c r="I572" s="3" t="inlineStr">
        <is>
          <t>Médio</t>
        </is>
      </c>
      <c r="J572" s="2" t="n">
        <v>380</v>
      </c>
      <c r="K572" s="3" t="inlineStr">
        <is>
          <t>Semana 3</t>
        </is>
      </c>
      <c r="L572" s="3" t="inlineStr">
        <is>
          <t>Normal</t>
        </is>
      </c>
      <c r="M572" s="3" t="inlineStr">
        <is>
          <t>chave 571</t>
        </is>
      </c>
    </row>
    <row r="573">
      <c r="A573" s="2" t="n">
        <v>572</v>
      </c>
      <c r="B573" s="3" t="inlineStr">
        <is>
          <t xml:space="preserve">COMERCIAL TEXEIRA &amp; PAPELARIA LTDA </t>
        </is>
      </c>
      <c r="C573" s="3" t="inlineStr">
        <is>
          <t>SUDESTE</t>
        </is>
      </c>
      <c r="D573" s="3" t="inlineStr">
        <is>
          <t>MG</t>
        </is>
      </c>
      <c r="E573" s="3" t="inlineStr">
        <is>
          <t>Teófilo Otoni</t>
        </is>
      </c>
      <c r="F573" s="3" t="inlineStr">
        <is>
          <t xml:space="preserve">CENTRO </t>
        </is>
      </c>
      <c r="G573" s="3" t="inlineStr">
        <is>
          <t>39800087</t>
        </is>
      </c>
      <c r="H573" s="3" t="inlineStr">
        <is>
          <t>Andressa</t>
        </is>
      </c>
      <c r="I573" s="3" t="inlineStr">
        <is>
          <t>Médio</t>
        </is>
      </c>
      <c r="J573" s="2" t="n">
        <v>380</v>
      </c>
      <c r="K573" s="3" t="inlineStr">
        <is>
          <t>Semana 3</t>
        </is>
      </c>
      <c r="L573" s="3" t="inlineStr">
        <is>
          <t>Normal</t>
        </is>
      </c>
      <c r="M573" s="3" t="inlineStr">
        <is>
          <t>chave 572</t>
        </is>
      </c>
    </row>
    <row r="574">
      <c r="A574" s="2" t="n">
        <v>573</v>
      </c>
      <c r="B574" s="3" t="inlineStr">
        <is>
          <t xml:space="preserve">LL RABISCO LTDA </t>
        </is>
      </c>
      <c r="C574" s="3" t="inlineStr">
        <is>
          <t>SUDESTE</t>
        </is>
      </c>
      <c r="D574" s="3" t="inlineStr">
        <is>
          <t>MG</t>
        </is>
      </c>
      <c r="E574" s="3" t="inlineStr">
        <is>
          <t>Alvinópolis</t>
        </is>
      </c>
      <c r="F574" s="3" t="inlineStr">
        <is>
          <t xml:space="preserve">CENTRO </t>
        </is>
      </c>
      <c r="G574" s="3" t="inlineStr">
        <is>
          <t>35950000</t>
        </is>
      </c>
      <c r="H574" s="3" t="inlineStr">
        <is>
          <t>Andressa</t>
        </is>
      </c>
      <c r="I574" s="3" t="inlineStr">
        <is>
          <t>Médio</t>
        </is>
      </c>
      <c r="J574" s="2" t="n">
        <v>380</v>
      </c>
      <c r="K574" s="3" t="inlineStr">
        <is>
          <t>Semana 2</t>
        </is>
      </c>
      <c r="L574" s="3" t="inlineStr">
        <is>
          <t>Normal</t>
        </is>
      </c>
      <c r="M574" s="3" t="inlineStr">
        <is>
          <t>chave 573</t>
        </is>
      </c>
    </row>
    <row r="575">
      <c r="A575" s="2" t="n">
        <v>574</v>
      </c>
      <c r="B575" s="3" t="inlineStr">
        <is>
          <t xml:space="preserve">RJ PAPELARIA E SUPRIMENTOS LTDA </t>
        </is>
      </c>
      <c r="C575" s="3" t="inlineStr">
        <is>
          <t>SUDESTE</t>
        </is>
      </c>
      <c r="D575" s="3" t="inlineStr">
        <is>
          <t>MG</t>
        </is>
      </c>
      <c r="E575" s="3" t="inlineStr">
        <is>
          <t>Viçosa</t>
        </is>
      </c>
      <c r="F575" s="3" t="inlineStr">
        <is>
          <t xml:space="preserve">CENTRO </t>
        </is>
      </c>
      <c r="G575" s="3" t="inlineStr">
        <is>
          <t>36570087</t>
        </is>
      </c>
      <c r="H575" s="3" t="inlineStr">
        <is>
          <t>Andressa</t>
        </is>
      </c>
      <c r="I575" s="3" t="inlineStr">
        <is>
          <t>Médio</t>
        </is>
      </c>
      <c r="J575" s="2" t="n">
        <v>380</v>
      </c>
      <c r="K575" s="3" t="inlineStr">
        <is>
          <t>Semana 4</t>
        </is>
      </c>
      <c r="L575" s="3" t="inlineStr">
        <is>
          <t>Normal</t>
        </is>
      </c>
      <c r="M575" s="3" t="inlineStr">
        <is>
          <t>chave 574</t>
        </is>
      </c>
    </row>
    <row r="576">
      <c r="A576" s="2" t="n">
        <v>575</v>
      </c>
      <c r="B576" s="3" t="inlineStr">
        <is>
          <t xml:space="preserve">DIMECOL DISTRIBUIDORA DE MATERIAIS PARA ESCRITORIO COLINA LTDA </t>
        </is>
      </c>
      <c r="C576" s="3" t="inlineStr">
        <is>
          <t>SUDESTE</t>
        </is>
      </c>
      <c r="D576" s="3" t="inlineStr">
        <is>
          <t>MG</t>
        </is>
      </c>
      <c r="E576" s="3" t="inlineStr">
        <is>
          <t>Divinópolis</t>
        </is>
      </c>
      <c r="F576" s="3" t="inlineStr">
        <is>
          <t xml:space="preserve">RANCHO ALEGRE </t>
        </is>
      </c>
      <c r="G576" s="3" t="inlineStr">
        <is>
          <t>35502456</t>
        </is>
      </c>
      <c r="H576" s="3" t="inlineStr">
        <is>
          <t>Andressa</t>
        </is>
      </c>
      <c r="I576" s="3" t="inlineStr">
        <is>
          <t>Médio</t>
        </is>
      </c>
      <c r="J576" s="2" t="n">
        <v>380</v>
      </c>
      <c r="K576" s="3" t="inlineStr">
        <is>
          <t>Semana 2</t>
        </is>
      </c>
      <c r="L576" s="3" t="inlineStr">
        <is>
          <t>Normal</t>
        </is>
      </c>
      <c r="M576" s="3" t="inlineStr">
        <is>
          <t>chave 575</t>
        </is>
      </c>
    </row>
    <row r="577">
      <c r="A577" s="2" t="n">
        <v>576</v>
      </c>
      <c r="B577" s="3" t="inlineStr">
        <is>
          <t xml:space="preserve">D'MAIS PRESENTES E PAPELARIA LTDA </t>
        </is>
      </c>
      <c r="C577" s="3" t="inlineStr">
        <is>
          <t>SUDESTE</t>
        </is>
      </c>
      <c r="D577" s="3" t="inlineStr">
        <is>
          <t>MG</t>
        </is>
      </c>
      <c r="E577" s="3" t="inlineStr">
        <is>
          <t>CONSELHEIRO LAFAIETE</t>
        </is>
      </c>
      <c r="F577" s="3" t="inlineStr">
        <is>
          <t xml:space="preserve">CENTRO </t>
        </is>
      </c>
      <c r="G577" s="3" t="inlineStr">
        <is>
          <t>36400000</t>
        </is>
      </c>
      <c r="H577" s="3" t="inlineStr">
        <is>
          <t>Andressa</t>
        </is>
      </c>
      <c r="I577" s="3" t="inlineStr">
        <is>
          <t>Médio</t>
        </is>
      </c>
      <c r="J577" s="2" t="n">
        <v>380</v>
      </c>
      <c r="K577" s="3" t="inlineStr">
        <is>
          <t>Semana 2</t>
        </is>
      </c>
      <c r="L577" s="3" t="inlineStr">
        <is>
          <t>Normal</t>
        </is>
      </c>
      <c r="M577" s="3" t="inlineStr">
        <is>
          <t>chave 576</t>
        </is>
      </c>
    </row>
    <row r="578">
      <c r="A578" s="2" t="n">
        <v>577</v>
      </c>
      <c r="B578" s="3" t="inlineStr">
        <is>
          <t xml:space="preserve">MARTIPEL COMERCIAL LTDA </t>
        </is>
      </c>
      <c r="C578" s="3" t="inlineStr">
        <is>
          <t>SUDESTE</t>
        </is>
      </c>
      <c r="D578" s="3" t="inlineStr">
        <is>
          <t>MG</t>
        </is>
      </c>
      <c r="E578" s="3" t="inlineStr">
        <is>
          <t>CARATINGA</t>
        </is>
      </c>
      <c r="F578" s="3" t="inlineStr">
        <is>
          <t xml:space="preserve">CENTRO </t>
        </is>
      </c>
      <c r="G578" s="3" t="inlineStr">
        <is>
          <t>35300036</t>
        </is>
      </c>
      <c r="H578" s="3" t="inlineStr">
        <is>
          <t>Andressa</t>
        </is>
      </c>
      <c r="I578" s="3" t="inlineStr">
        <is>
          <t>Médio</t>
        </is>
      </c>
      <c r="J578" s="2" t="n">
        <v>380</v>
      </c>
      <c r="K578" s="3" t="inlineStr">
        <is>
          <t>Semana 2</t>
        </is>
      </c>
      <c r="L578" s="3" t="inlineStr">
        <is>
          <t>Normal</t>
        </is>
      </c>
      <c r="M578" s="3" t="inlineStr">
        <is>
          <t>chave 577</t>
        </is>
      </c>
    </row>
    <row r="579">
      <c r="A579" s="2" t="n">
        <v>578</v>
      </c>
      <c r="B579" s="3" t="inlineStr">
        <is>
          <t xml:space="preserve">COPRESS LTDA </t>
        </is>
      </c>
      <c r="C579" s="3" t="inlineStr">
        <is>
          <t>SUDESTE</t>
        </is>
      </c>
      <c r="D579" s="3" t="inlineStr">
        <is>
          <t>MG</t>
        </is>
      </c>
      <c r="E579" s="3" t="inlineStr">
        <is>
          <t>PONTE NOVA</t>
        </is>
      </c>
      <c r="F579" s="3" t="inlineStr">
        <is>
          <t xml:space="preserve">PALMEIRAS </t>
        </is>
      </c>
      <c r="G579" s="3" t="inlineStr">
        <is>
          <t>35430225</t>
        </is>
      </c>
      <c r="H579" s="3" t="inlineStr">
        <is>
          <t>Andressa</t>
        </is>
      </c>
      <c r="I579" s="3" t="inlineStr">
        <is>
          <t>Médio</t>
        </is>
      </c>
      <c r="J579" s="2" t="n">
        <v>380</v>
      </c>
      <c r="K579" s="3" t="inlineStr">
        <is>
          <t>Semana 3</t>
        </is>
      </c>
      <c r="L579" s="3" t="inlineStr">
        <is>
          <t>Normal</t>
        </is>
      </c>
      <c r="M579" s="3" t="inlineStr">
        <is>
          <t>chave 578</t>
        </is>
      </c>
    </row>
    <row r="580">
      <c r="A580" s="2" t="n">
        <v>579</v>
      </c>
      <c r="B580" s="3" t="inlineStr">
        <is>
          <t xml:space="preserve">PAPELARIA COUTO LTDA </t>
        </is>
      </c>
      <c r="C580" s="3" t="inlineStr">
        <is>
          <t>SUDESTE</t>
        </is>
      </c>
      <c r="D580" s="3" t="inlineStr">
        <is>
          <t>MG</t>
        </is>
      </c>
      <c r="E580" s="3" t="inlineStr">
        <is>
          <t>João Pinheiro</t>
        </is>
      </c>
      <c r="F580" s="3" t="inlineStr">
        <is>
          <t xml:space="preserve">CENTRO </t>
        </is>
      </c>
      <c r="G580" s="3" t="inlineStr">
        <is>
          <t>38770000</t>
        </is>
      </c>
      <c r="H580" s="3" t="inlineStr">
        <is>
          <t>Andressa</t>
        </is>
      </c>
      <c r="I580" s="3" t="inlineStr">
        <is>
          <t>Médio</t>
        </is>
      </c>
      <c r="J580" s="2" t="n">
        <v>380</v>
      </c>
      <c r="K580" s="3" t="inlineStr">
        <is>
          <t>Semana 3</t>
        </is>
      </c>
      <c r="L580" s="3" t="inlineStr">
        <is>
          <t>Normal</t>
        </is>
      </c>
      <c r="M580" s="3" t="inlineStr">
        <is>
          <t>chave 579</t>
        </is>
      </c>
    </row>
    <row r="581">
      <c r="A581" s="2" t="n">
        <v>580</v>
      </c>
      <c r="B581" s="3" t="inlineStr">
        <is>
          <t xml:space="preserve">GLOBO COMERCIO E SERVICOS LTDA </t>
        </is>
      </c>
      <c r="C581" s="3" t="inlineStr">
        <is>
          <t>SUDESTE</t>
        </is>
      </c>
      <c r="D581" s="3" t="inlineStr">
        <is>
          <t>MG</t>
        </is>
      </c>
      <c r="E581" s="3" t="inlineStr">
        <is>
          <t>TUPACIGUARA</t>
        </is>
      </c>
      <c r="F581" s="3" t="inlineStr">
        <is>
          <t xml:space="preserve">PRIMAVERA </t>
        </is>
      </c>
      <c r="G581" s="3" t="inlineStr">
        <is>
          <t>38480000</t>
        </is>
      </c>
      <c r="H581" s="3" t="inlineStr">
        <is>
          <t>Andressa</t>
        </is>
      </c>
      <c r="I581" s="3" t="inlineStr">
        <is>
          <t>Médio</t>
        </is>
      </c>
      <c r="J581" s="2" t="n">
        <v>380</v>
      </c>
      <c r="K581" s="3" t="inlineStr">
        <is>
          <t>Semana 3</t>
        </is>
      </c>
      <c r="L581" s="3" t="inlineStr">
        <is>
          <t>Normal</t>
        </is>
      </c>
      <c r="M581" s="3" t="inlineStr">
        <is>
          <t>chave 580</t>
        </is>
      </c>
    </row>
    <row r="582">
      <c r="A582" s="2" t="n">
        <v>581</v>
      </c>
      <c r="B582" s="3" t="inlineStr">
        <is>
          <t xml:space="preserve">BOCAO ATACADO ARM E BIJOTERIA LTDA </t>
        </is>
      </c>
      <c r="C582" s="3" t="inlineStr">
        <is>
          <t>SUDESTE</t>
        </is>
      </c>
      <c r="D582" s="3" t="inlineStr">
        <is>
          <t>MG</t>
        </is>
      </c>
      <c r="E582" s="3" t="inlineStr">
        <is>
          <t>CONTAGEM</t>
        </is>
      </c>
      <c r="F582" s="3" t="inlineStr">
        <is>
          <t xml:space="preserve">GUANABARA </t>
        </is>
      </c>
      <c r="G582" s="3" t="inlineStr">
        <is>
          <t>32145480</t>
        </is>
      </c>
      <c r="H582" s="3" t="inlineStr">
        <is>
          <t>Andressa</t>
        </is>
      </c>
      <c r="I582" s="3" t="inlineStr">
        <is>
          <t>Forte</t>
        </is>
      </c>
      <c r="J582" s="2" t="n">
        <v>380</v>
      </c>
      <c r="K582" s="3" t="inlineStr">
        <is>
          <t>Semana 1</t>
        </is>
      </c>
      <c r="L582" s="3" t="inlineStr">
        <is>
          <t>Média</t>
        </is>
      </c>
      <c r="M582" s="3" t="inlineStr">
        <is>
          <t>chave 581</t>
        </is>
      </c>
    </row>
    <row r="583">
      <c r="A583" s="2" t="n">
        <v>582</v>
      </c>
      <c r="B583" s="3" t="inlineStr">
        <is>
          <t xml:space="preserve">COPYMAIS ATACADO E VAREJO PAPELARIA LTDA </t>
        </is>
      </c>
      <c r="C583" s="3" t="inlineStr">
        <is>
          <t>SUDESTE</t>
        </is>
      </c>
      <c r="D583" s="3" t="inlineStr">
        <is>
          <t>MG</t>
        </is>
      </c>
      <c r="E583" s="3" t="inlineStr">
        <is>
          <t>Alfenas</t>
        </is>
      </c>
      <c r="F583" s="3" t="inlineStr">
        <is>
          <t xml:space="preserve">CENTRO </t>
        </is>
      </c>
      <c r="G583" s="3" t="inlineStr">
        <is>
          <t>37130093</t>
        </is>
      </c>
      <c r="H583" s="3" t="inlineStr">
        <is>
          <t>Andressa</t>
        </is>
      </c>
      <c r="I583" s="3" t="inlineStr">
        <is>
          <t>Médio</t>
        </is>
      </c>
      <c r="J583" s="2" t="n">
        <v>380</v>
      </c>
      <c r="K583" s="3" t="inlineStr">
        <is>
          <t>Semana 2</t>
        </is>
      </c>
      <c r="L583" s="3" t="inlineStr">
        <is>
          <t>Normal</t>
        </is>
      </c>
      <c r="M583" s="3" t="inlineStr">
        <is>
          <t>chave 582</t>
        </is>
      </c>
    </row>
    <row r="584">
      <c r="A584" s="2" t="n">
        <v>583</v>
      </c>
      <c r="B584" s="3" t="inlineStr">
        <is>
          <t xml:space="preserve">PAPELARIA SANTA RITA LTDA </t>
        </is>
      </c>
      <c r="C584" s="3" t="inlineStr">
        <is>
          <t>SUDESTE</t>
        </is>
      </c>
      <c r="D584" s="3" t="inlineStr">
        <is>
          <t>MG</t>
        </is>
      </c>
      <c r="E584" s="3" t="inlineStr">
        <is>
          <t>JUIZ DE FORA</t>
        </is>
      </c>
      <c r="F584" s="3" t="inlineStr">
        <is>
          <t xml:space="preserve">CENTRO </t>
        </is>
      </c>
      <c r="G584" s="3" t="inlineStr">
        <is>
          <t>36013090</t>
        </is>
      </c>
      <c r="H584" s="3" t="inlineStr">
        <is>
          <t>Andressa</t>
        </is>
      </c>
      <c r="I584" s="3" t="inlineStr">
        <is>
          <t>Forte</t>
        </is>
      </c>
      <c r="J584" s="2" t="n">
        <v>380</v>
      </c>
      <c r="K584" s="3" t="inlineStr">
        <is>
          <t>Semana 2</t>
        </is>
      </c>
      <c r="L584" s="3" t="inlineStr">
        <is>
          <t>Média</t>
        </is>
      </c>
      <c r="M584" s="3" t="inlineStr">
        <is>
          <t>chave 583</t>
        </is>
      </c>
    </row>
    <row r="585">
      <c r="A585" s="2" t="n">
        <v>584</v>
      </c>
      <c r="B585" s="3" t="inlineStr">
        <is>
          <t xml:space="preserve">SPACE NET INFORMATICA DE PV E SERVICOS LTDA </t>
        </is>
      </c>
      <c r="C585" s="3" t="inlineStr">
        <is>
          <t>SUDESTE</t>
        </is>
      </c>
      <c r="D585" s="3" t="inlineStr">
        <is>
          <t>MG</t>
        </is>
      </c>
      <c r="E585" s="3" t="inlineStr">
        <is>
          <t>PONTO DOS VOLANTES</t>
        </is>
      </c>
      <c r="F585" s="3" t="inlineStr">
        <is>
          <t xml:space="preserve">CENTRO </t>
        </is>
      </c>
      <c r="G585" s="3" t="inlineStr">
        <is>
          <t>39615000</t>
        </is>
      </c>
      <c r="H585" s="3" t="inlineStr">
        <is>
          <t>Andressa</t>
        </is>
      </c>
      <c r="I585" s="3" t="inlineStr">
        <is>
          <t>Médio</t>
        </is>
      </c>
      <c r="J585" s="2" t="n">
        <v>380</v>
      </c>
      <c r="K585" s="3" t="inlineStr">
        <is>
          <t>Semana 3</t>
        </is>
      </c>
      <c r="L585" s="3" t="inlineStr">
        <is>
          <t>Normal</t>
        </is>
      </c>
      <c r="M585" s="3" t="inlineStr">
        <is>
          <t>chave 584</t>
        </is>
      </c>
    </row>
    <row r="586">
      <c r="A586" s="2" t="n">
        <v>585</v>
      </c>
      <c r="B586" s="3" t="inlineStr">
        <is>
          <t xml:space="preserve">COOP.DE CONS.DOS EMPREG.DA USIMINAS LTDA </t>
        </is>
      </c>
      <c r="C586" s="3" t="inlineStr">
        <is>
          <t>SUDESTE</t>
        </is>
      </c>
      <c r="D586" s="3" t="inlineStr">
        <is>
          <t>MG</t>
        </is>
      </c>
      <c r="E586" s="3" t="inlineStr">
        <is>
          <t>IPATINGA</t>
        </is>
      </c>
      <c r="F586" s="3" t="inlineStr">
        <is>
          <t xml:space="preserve">INDUSTRIAL </t>
        </is>
      </c>
      <c r="G586" s="3" t="inlineStr">
        <is>
          <t>35160290</t>
        </is>
      </c>
      <c r="H586" s="3" t="inlineStr">
        <is>
          <t>Andressa</t>
        </is>
      </c>
      <c r="I586" s="3" t="inlineStr">
        <is>
          <t>Médio</t>
        </is>
      </c>
      <c r="J586" s="2" t="n">
        <v>380</v>
      </c>
      <c r="K586" s="3" t="inlineStr">
        <is>
          <t>Semana 3</t>
        </is>
      </c>
      <c r="L586" s="3" t="inlineStr">
        <is>
          <t>Normal</t>
        </is>
      </c>
      <c r="M586" s="3" t="inlineStr">
        <is>
          <t>chave 585</t>
        </is>
      </c>
    </row>
    <row r="587">
      <c r="A587" s="2" t="n">
        <v>586</v>
      </c>
      <c r="B587" s="3" t="inlineStr">
        <is>
          <t xml:space="preserve">LR DISTRIBUIDORA DE SUPRIMENTOS PARA ESCRITORIO LTDA </t>
        </is>
      </c>
      <c r="C587" s="3" t="inlineStr">
        <is>
          <t>SUDESTE</t>
        </is>
      </c>
      <c r="D587" s="3" t="inlineStr">
        <is>
          <t>MG</t>
        </is>
      </c>
      <c r="E587" s="3" t="inlineStr">
        <is>
          <t>CONTAGEM</t>
        </is>
      </c>
      <c r="F587" s="3" t="inlineStr">
        <is>
          <t xml:space="preserve">AGUA BRANCA </t>
        </is>
      </c>
      <c r="G587" s="3" t="inlineStr">
        <is>
          <t>32371130</t>
        </is>
      </c>
      <c r="H587" s="3" t="inlineStr">
        <is>
          <t>Andressa</t>
        </is>
      </c>
      <c r="I587" s="3" t="inlineStr">
        <is>
          <t>Forte</t>
        </is>
      </c>
      <c r="J587" s="2" t="n">
        <v>380</v>
      </c>
      <c r="K587" s="3" t="inlineStr">
        <is>
          <t>Semana 2</t>
        </is>
      </c>
      <c r="L587" s="3" t="inlineStr">
        <is>
          <t>Média</t>
        </is>
      </c>
      <c r="M587" s="3" t="inlineStr">
        <is>
          <t>chave 586</t>
        </is>
      </c>
    </row>
    <row r="588">
      <c r="A588" s="2" t="n">
        <v>587</v>
      </c>
      <c r="B588" s="3" t="inlineStr">
        <is>
          <t xml:space="preserve">SUPERMERCADO BERNARDAO LTDA </t>
        </is>
      </c>
      <c r="C588" s="3" t="inlineStr">
        <is>
          <t>SUDESTE</t>
        </is>
      </c>
      <c r="D588" s="3" t="inlineStr">
        <is>
          <t>MG</t>
        </is>
      </c>
      <c r="E588" s="3" t="inlineStr">
        <is>
          <t>Patrocínio</t>
        </is>
      </c>
      <c r="F588" s="3" t="inlineStr">
        <is>
          <t xml:space="preserve">MORADA NOVA </t>
        </is>
      </c>
      <c r="G588" s="3" t="inlineStr">
        <is>
          <t>38748600</t>
        </is>
      </c>
      <c r="H588" s="3" t="inlineStr">
        <is>
          <t>Andressa</t>
        </is>
      </c>
      <c r="I588" s="3" t="inlineStr">
        <is>
          <t>Médio</t>
        </is>
      </c>
      <c r="J588" s="2" t="n">
        <v>380</v>
      </c>
      <c r="K588" s="3" t="inlineStr">
        <is>
          <t>Semana 3</t>
        </is>
      </c>
      <c r="L588" s="3" t="inlineStr">
        <is>
          <t>Normal</t>
        </is>
      </c>
      <c r="M588" s="3" t="inlineStr">
        <is>
          <t>chave 587</t>
        </is>
      </c>
    </row>
    <row r="589">
      <c r="A589" s="2" t="n">
        <v>588</v>
      </c>
      <c r="B589" s="3" t="inlineStr">
        <is>
          <t xml:space="preserve">MARCO EMILIO COSTA LTDA </t>
        </is>
      </c>
      <c r="C589" s="3" t="inlineStr">
        <is>
          <t>SUDESTE</t>
        </is>
      </c>
      <c r="D589" s="3" t="inlineStr">
        <is>
          <t>MG</t>
        </is>
      </c>
      <c r="E589" s="3" t="inlineStr">
        <is>
          <t>ESPERA FELIZ</t>
        </is>
      </c>
      <c r="F589" s="3" t="inlineStr">
        <is>
          <t xml:space="preserve">CENTRO </t>
        </is>
      </c>
      <c r="G589" s="3" t="inlineStr">
        <is>
          <t>36830000</t>
        </is>
      </c>
      <c r="H589" s="3" t="inlineStr">
        <is>
          <t>Andressa</t>
        </is>
      </c>
      <c r="I589" s="3" t="inlineStr">
        <is>
          <t>Médio</t>
        </is>
      </c>
      <c r="J589" s="2" t="n">
        <v>380</v>
      </c>
      <c r="K589" s="3" t="inlineStr">
        <is>
          <t>Semana 3</t>
        </is>
      </c>
      <c r="L589" s="3" t="inlineStr">
        <is>
          <t>Normal</t>
        </is>
      </c>
      <c r="M589" s="3" t="inlineStr">
        <is>
          <t>chave 588</t>
        </is>
      </c>
    </row>
    <row r="590">
      <c r="A590" s="2" t="n">
        <v>589</v>
      </c>
      <c r="B590" s="3" t="inlineStr">
        <is>
          <t xml:space="preserve">FENIX DISTRIBUIDORA COMERCIO E SERVICO LTDA </t>
        </is>
      </c>
      <c r="C590" s="3" t="inlineStr">
        <is>
          <t>SUDESTE</t>
        </is>
      </c>
      <c r="D590" s="3" t="inlineStr">
        <is>
          <t>MG</t>
        </is>
      </c>
      <c r="E590" s="3" t="inlineStr">
        <is>
          <t>MONTES CLAROS</t>
        </is>
      </c>
      <c r="F590" s="3" t="inlineStr">
        <is>
          <t xml:space="preserve">CENTRO </t>
        </is>
      </c>
      <c r="G590" s="3" t="inlineStr">
        <is>
          <t>39400077</t>
        </is>
      </c>
      <c r="H590" s="3" t="inlineStr">
        <is>
          <t>Andressa</t>
        </is>
      </c>
      <c r="I590" s="3" t="inlineStr">
        <is>
          <t>Médio</t>
        </is>
      </c>
      <c r="J590" s="2" t="n">
        <v>380</v>
      </c>
      <c r="K590" s="3" t="inlineStr">
        <is>
          <t>Semana 3</t>
        </is>
      </c>
      <c r="L590" s="3" t="inlineStr">
        <is>
          <t>Normal</t>
        </is>
      </c>
      <c r="M590" s="3" t="inlineStr">
        <is>
          <t>chave 589</t>
        </is>
      </c>
    </row>
    <row r="591">
      <c r="A591" s="2" t="n">
        <v>590</v>
      </c>
      <c r="B591" s="3" t="inlineStr">
        <is>
          <t xml:space="preserve">PRIMA LETTERA PAPELARIA LTDA </t>
        </is>
      </c>
      <c r="C591" s="3" t="inlineStr">
        <is>
          <t>SUDESTE</t>
        </is>
      </c>
      <c r="D591" s="3" t="inlineStr">
        <is>
          <t>MG</t>
        </is>
      </c>
      <c r="E591" s="3" t="inlineStr">
        <is>
          <t>LAVRAS</t>
        </is>
      </c>
      <c r="F591" s="3" t="inlineStr">
        <is>
          <t xml:space="preserve">CENTRO </t>
        </is>
      </c>
      <c r="G591" s="3" t="inlineStr">
        <is>
          <t>37200194</t>
        </is>
      </c>
      <c r="H591" s="3" t="inlineStr">
        <is>
          <t>Andressa</t>
        </is>
      </c>
      <c r="I591" s="3" t="inlineStr">
        <is>
          <t>Médio</t>
        </is>
      </c>
      <c r="J591" s="2" t="n">
        <v>380</v>
      </c>
      <c r="K591" s="3" t="inlineStr">
        <is>
          <t>Semana 3</t>
        </is>
      </c>
      <c r="L591" s="3" t="inlineStr">
        <is>
          <t>Normal</t>
        </is>
      </c>
      <c r="M591" s="3" t="inlineStr">
        <is>
          <t>chave 590</t>
        </is>
      </c>
    </row>
    <row r="592">
      <c r="A592" s="2" t="n">
        <v>591</v>
      </c>
      <c r="B592" s="3" t="inlineStr">
        <is>
          <t xml:space="preserve">PINHEIRO PRODUTOS DE PAPELARIA LTDA </t>
        </is>
      </c>
      <c r="C592" s="3" t="inlineStr">
        <is>
          <t>SUDESTE</t>
        </is>
      </c>
      <c r="D592" s="3" t="inlineStr">
        <is>
          <t>MG</t>
        </is>
      </c>
      <c r="E592" s="3" t="inlineStr">
        <is>
          <t>PATOS DE MINAS</t>
        </is>
      </c>
      <c r="F592" s="3" t="inlineStr">
        <is>
          <t xml:space="preserve">CIDADE JARDIM </t>
        </is>
      </c>
      <c r="G592" s="3" t="inlineStr">
        <is>
          <t>38705184</t>
        </is>
      </c>
      <c r="H592" s="3" t="inlineStr">
        <is>
          <t>Andressa</t>
        </is>
      </c>
      <c r="I592" s="3" t="inlineStr">
        <is>
          <t>Médio</t>
        </is>
      </c>
      <c r="J592" s="2" t="n">
        <v>380</v>
      </c>
      <c r="K592" s="3" t="inlineStr">
        <is>
          <t>Semana 3</t>
        </is>
      </c>
      <c r="L592" s="3" t="inlineStr">
        <is>
          <t>Normal</t>
        </is>
      </c>
      <c r="M592" s="3" t="inlineStr">
        <is>
          <t>chave 591</t>
        </is>
      </c>
    </row>
    <row r="593">
      <c r="A593" s="2" t="n">
        <v>592</v>
      </c>
      <c r="B593" s="3" t="inlineStr">
        <is>
          <t xml:space="preserve">PAPELARIA PAPEL DE OURO LTDA </t>
        </is>
      </c>
      <c r="C593" s="3" t="inlineStr">
        <is>
          <t>SUDESTE</t>
        </is>
      </c>
      <c r="D593" s="3" t="inlineStr">
        <is>
          <t>MG</t>
        </is>
      </c>
      <c r="E593" s="3" t="inlineStr">
        <is>
          <t>Divinópolis</t>
        </is>
      </c>
      <c r="F593" s="3" t="inlineStr">
        <is>
          <t xml:space="preserve">CENTRO </t>
        </is>
      </c>
      <c r="G593" s="3" t="inlineStr">
        <is>
          <t>35500026</t>
        </is>
      </c>
      <c r="H593" s="3" t="inlineStr">
        <is>
          <t>Andressa</t>
        </is>
      </c>
      <c r="I593" s="3" t="inlineStr">
        <is>
          <t>Médio</t>
        </is>
      </c>
      <c r="J593" s="2" t="n">
        <v>380</v>
      </c>
      <c r="K593" s="3" t="inlineStr">
        <is>
          <t>Semana 3</t>
        </is>
      </c>
      <c r="L593" s="3" t="inlineStr">
        <is>
          <t>Normal</t>
        </is>
      </c>
      <c r="M593" s="3" t="inlineStr">
        <is>
          <t>chave 592</t>
        </is>
      </c>
    </row>
    <row r="594">
      <c r="A594" s="2" t="n">
        <v>593</v>
      </c>
      <c r="B594" s="3" t="inlineStr">
        <is>
          <t xml:space="preserve">ARLINDO FERREIRA MENDES PAPELARIA E PRESENTES LTDA </t>
        </is>
      </c>
      <c r="C594" s="3" t="inlineStr">
        <is>
          <t>SUDESTE</t>
        </is>
      </c>
      <c r="D594" s="3" t="inlineStr">
        <is>
          <t>MG</t>
        </is>
      </c>
      <c r="E594" s="3" t="inlineStr">
        <is>
          <t>SALINAS</t>
        </is>
      </c>
      <c r="F594" s="3" t="inlineStr">
        <is>
          <t xml:space="preserve">CENTRO </t>
        </is>
      </c>
      <c r="G594" s="3" t="inlineStr">
        <is>
          <t>39560000</t>
        </is>
      </c>
      <c r="H594" s="3" t="inlineStr">
        <is>
          <t>Andressa</t>
        </is>
      </c>
      <c r="I594" s="3" t="inlineStr">
        <is>
          <t>Médio</t>
        </is>
      </c>
      <c r="J594" s="2" t="n">
        <v>380</v>
      </c>
      <c r="K594" s="3" t="inlineStr">
        <is>
          <t>Semana 3</t>
        </is>
      </c>
      <c r="L594" s="3" t="inlineStr">
        <is>
          <t>Normal</t>
        </is>
      </c>
      <c r="M594" s="3" t="inlineStr">
        <is>
          <t>chave 593</t>
        </is>
      </c>
    </row>
    <row r="595">
      <c r="A595" s="2" t="n">
        <v>594</v>
      </c>
      <c r="B595" s="3" t="inlineStr">
        <is>
          <t xml:space="preserve">MULTI COPY DO BRASIL LTDA </t>
        </is>
      </c>
      <c r="C595" s="3" t="inlineStr">
        <is>
          <t>SUDESTE</t>
        </is>
      </c>
      <c r="D595" s="3" t="inlineStr">
        <is>
          <t>MG</t>
        </is>
      </c>
      <c r="E595" s="3" t="inlineStr">
        <is>
          <t>GOVERNADOR VALADARES</t>
        </is>
      </c>
      <c r="F595" s="3" t="inlineStr">
        <is>
          <t xml:space="preserve">LOURDES </t>
        </is>
      </c>
      <c r="G595" s="3" t="inlineStr">
        <is>
          <t>35032300</t>
        </is>
      </c>
      <c r="H595" s="3" t="inlineStr">
        <is>
          <t>Andressa</t>
        </is>
      </c>
      <c r="I595" s="3" t="inlineStr">
        <is>
          <t>Médio</t>
        </is>
      </c>
      <c r="J595" s="2" t="n">
        <v>380</v>
      </c>
      <c r="K595" s="3" t="inlineStr">
        <is>
          <t>Semana 3</t>
        </is>
      </c>
      <c r="L595" s="3" t="inlineStr">
        <is>
          <t>Normal</t>
        </is>
      </c>
      <c r="M595" s="3" t="inlineStr">
        <is>
          <t>chave 594</t>
        </is>
      </c>
    </row>
    <row r="596">
      <c r="A596" s="2" t="n">
        <v>595</v>
      </c>
      <c r="B596" s="3" t="inlineStr">
        <is>
          <t xml:space="preserve">PAPELARIA CENTRAL DE MURIAE LTDA </t>
        </is>
      </c>
      <c r="C596" s="3" t="inlineStr">
        <is>
          <t>SUDESTE</t>
        </is>
      </c>
      <c r="D596" s="3" t="inlineStr">
        <is>
          <t>MG</t>
        </is>
      </c>
      <c r="E596" s="3" t="inlineStr">
        <is>
          <t>Muriaé</t>
        </is>
      </c>
      <c r="F596" s="3" t="inlineStr">
        <is>
          <t xml:space="preserve">CENTRO </t>
        </is>
      </c>
      <c r="G596" s="3" t="inlineStr">
        <is>
          <t>36880000</t>
        </is>
      </c>
      <c r="H596" s="3" t="inlineStr">
        <is>
          <t>Andressa</t>
        </is>
      </c>
      <c r="I596" s="3" t="inlineStr">
        <is>
          <t>Médio</t>
        </is>
      </c>
      <c r="J596" s="2" t="n">
        <v>380</v>
      </c>
      <c r="K596" s="3" t="inlineStr">
        <is>
          <t>Semana 3</t>
        </is>
      </c>
      <c r="L596" s="3" t="inlineStr">
        <is>
          <t>Normal</t>
        </is>
      </c>
      <c r="M596" s="3" t="inlineStr">
        <is>
          <t>chave 595</t>
        </is>
      </c>
    </row>
    <row r="597">
      <c r="A597" s="2" t="n">
        <v>596</v>
      </c>
      <c r="B597" s="3" t="inlineStr">
        <is>
          <t xml:space="preserve">LFA E CIA LTDA </t>
        </is>
      </c>
      <c r="C597" s="3" t="inlineStr">
        <is>
          <t>SUDESTE</t>
        </is>
      </c>
      <c r="D597" s="3" t="inlineStr">
        <is>
          <t>MG</t>
        </is>
      </c>
      <c r="E597" s="3" t="inlineStr">
        <is>
          <t>PATOS DE MINAS</t>
        </is>
      </c>
      <c r="F597" s="3" t="inlineStr">
        <is>
          <t xml:space="preserve">CENTRO </t>
        </is>
      </c>
      <c r="G597" s="3" t="inlineStr">
        <is>
          <t>38700122</t>
        </is>
      </c>
      <c r="H597" s="3" t="inlineStr">
        <is>
          <t>Andressa</t>
        </is>
      </c>
      <c r="I597" s="3" t="inlineStr">
        <is>
          <t>Médio</t>
        </is>
      </c>
      <c r="J597" s="2" t="n">
        <v>380</v>
      </c>
      <c r="K597" s="3" t="inlineStr">
        <is>
          <t>Semana 3</t>
        </is>
      </c>
      <c r="L597" s="3" t="inlineStr">
        <is>
          <t>Normal</t>
        </is>
      </c>
      <c r="M597" s="3" t="inlineStr">
        <is>
          <t>chave 596</t>
        </is>
      </c>
    </row>
    <row r="598">
      <c r="A598" s="2" t="n">
        <v>597</v>
      </c>
      <c r="B598" s="3" t="inlineStr">
        <is>
          <t xml:space="preserve">PEREIRA &amp; COSTA LTDA </t>
        </is>
      </c>
      <c r="C598" s="3" t="inlineStr">
        <is>
          <t>SUDESTE</t>
        </is>
      </c>
      <c r="D598" s="3" t="inlineStr">
        <is>
          <t>MG</t>
        </is>
      </c>
      <c r="E598" s="3" t="inlineStr">
        <is>
          <t>Perdões</t>
        </is>
      </c>
      <c r="F598" s="3" t="inlineStr">
        <is>
          <t xml:space="preserve">CENTRO </t>
        </is>
      </c>
      <c r="G598" s="3" t="inlineStr">
        <is>
          <t>37260000</t>
        </is>
      </c>
      <c r="H598" s="3" t="inlineStr">
        <is>
          <t>Andressa</t>
        </is>
      </c>
      <c r="I598" s="3" t="inlineStr">
        <is>
          <t>Médio</t>
        </is>
      </c>
      <c r="J598" s="2" t="n">
        <v>380</v>
      </c>
      <c r="K598" s="3" t="inlineStr">
        <is>
          <t>Semana 3</t>
        </is>
      </c>
      <c r="L598" s="3" t="inlineStr">
        <is>
          <t>Normal</t>
        </is>
      </c>
      <c r="M598" s="3" t="inlineStr">
        <is>
          <t>chave 597</t>
        </is>
      </c>
    </row>
    <row r="599">
      <c r="A599" s="2" t="n">
        <v>598</v>
      </c>
      <c r="B599" s="3" t="inlineStr">
        <is>
          <t xml:space="preserve">MAXPEL PAPELARIA E PRESENTES LTDA </t>
        </is>
      </c>
      <c r="C599" s="3" t="inlineStr">
        <is>
          <t>SUDESTE</t>
        </is>
      </c>
      <c r="D599" s="3" t="inlineStr">
        <is>
          <t>MG</t>
        </is>
      </c>
      <c r="E599" s="3" t="inlineStr">
        <is>
          <t>Santa Rita do Sapucaí</t>
        </is>
      </c>
      <c r="F599" s="3" t="inlineStr">
        <is>
          <t xml:space="preserve">CENTRO </t>
        </is>
      </c>
      <c r="G599" s="3" t="inlineStr">
        <is>
          <t>37540000</t>
        </is>
      </c>
      <c r="H599" s="3" t="inlineStr">
        <is>
          <t>Andressa</t>
        </is>
      </c>
      <c r="I599" s="3" t="inlineStr">
        <is>
          <t>Médio</t>
        </is>
      </c>
      <c r="J599" s="2" t="n">
        <v>380</v>
      </c>
      <c r="K599" s="3" t="inlineStr">
        <is>
          <t>Semana 3</t>
        </is>
      </c>
      <c r="L599" s="3" t="inlineStr">
        <is>
          <t>Normal</t>
        </is>
      </c>
      <c r="M599" s="3" t="inlineStr">
        <is>
          <t>chave 598</t>
        </is>
      </c>
    </row>
    <row r="600">
      <c r="A600" s="2" t="n">
        <v>599</v>
      </c>
      <c r="B600" s="3" t="inlineStr">
        <is>
          <t xml:space="preserve">CARBONO LTDA </t>
        </is>
      </c>
      <c r="C600" s="3" t="inlineStr">
        <is>
          <t>SUDESTE</t>
        </is>
      </c>
      <c r="D600" s="3" t="inlineStr">
        <is>
          <t>MG</t>
        </is>
      </c>
      <c r="E600" s="3" t="inlineStr">
        <is>
          <t>Timóteo</t>
        </is>
      </c>
      <c r="F600" s="3" t="inlineStr">
        <is>
          <t xml:space="preserve">CENTRO </t>
        </is>
      </c>
      <c r="G600" s="3" t="inlineStr">
        <is>
          <t>35180016</t>
        </is>
      </c>
      <c r="H600" s="3" t="inlineStr">
        <is>
          <t>Andressa</t>
        </is>
      </c>
      <c r="I600" s="3" t="inlineStr">
        <is>
          <t>Médio</t>
        </is>
      </c>
      <c r="J600" s="2" t="n">
        <v>380</v>
      </c>
      <c r="K600" s="3" t="inlineStr">
        <is>
          <t>Semana 4</t>
        </is>
      </c>
      <c r="L600" s="3" t="inlineStr">
        <is>
          <t>Normal</t>
        </is>
      </c>
      <c r="M600" s="3" t="inlineStr">
        <is>
          <t>chave 599</t>
        </is>
      </c>
    </row>
    <row r="601">
      <c r="A601" s="2" t="n">
        <v>600</v>
      </c>
      <c r="B601" s="3" t="inlineStr">
        <is>
          <t xml:space="preserve">NOBELESS COMERCIO VAREJISTA 2020 LTDA </t>
        </is>
      </c>
      <c r="C601" s="3" t="inlineStr">
        <is>
          <t>SUDESTE</t>
        </is>
      </c>
      <c r="D601" s="3" t="inlineStr">
        <is>
          <t>RJ</t>
        </is>
      </c>
      <c r="E601" s="3" t="inlineStr">
        <is>
          <t>RIO DE JANEIRO</t>
        </is>
      </c>
      <c r="F601" s="3" t="inlineStr">
        <is>
          <t xml:space="preserve">BONSUCESSO </t>
        </is>
      </c>
      <c r="G601" s="3" t="inlineStr">
        <is>
          <t>21032150</t>
        </is>
      </c>
      <c r="H601" s="3" t="inlineStr">
        <is>
          <t>Andre Pacheco</t>
        </is>
      </c>
      <c r="I601" s="3" t="inlineStr">
        <is>
          <t>Estratégico</t>
        </is>
      </c>
      <c r="J601" s="2" t="n">
        <v>417</v>
      </c>
      <c r="K601" s="3" t="inlineStr">
        <is>
          <t>Semana 1</t>
        </is>
      </c>
      <c r="L601" s="3" t="inlineStr">
        <is>
          <t>Alta</t>
        </is>
      </c>
      <c r="M601" s="3" t="inlineStr">
        <is>
          <t>chave 600</t>
        </is>
      </c>
    </row>
    <row r="602">
      <c r="A602" s="2" t="n">
        <v>601</v>
      </c>
      <c r="B602" s="3" t="inlineStr">
        <is>
          <t xml:space="preserve">PAPELARIA E LIVRARIA SEMIANA LTDA </t>
        </is>
      </c>
      <c r="C602" s="3" t="inlineStr">
        <is>
          <t>SUDESTE</t>
        </is>
      </c>
      <c r="D602" s="3" t="inlineStr">
        <is>
          <t>RJ</t>
        </is>
      </c>
      <c r="E602" s="3" t="inlineStr">
        <is>
          <t>ITAOCARA</t>
        </is>
      </c>
      <c r="F602" s="3" t="inlineStr">
        <is>
          <t xml:space="preserve">CENTRO </t>
        </is>
      </c>
      <c r="G602" s="3" t="inlineStr">
        <is>
          <t>28570000</t>
        </is>
      </c>
      <c r="H602" s="3" t="inlineStr">
        <is>
          <t>Andressa</t>
        </is>
      </c>
      <c r="I602" s="3" t="inlineStr">
        <is>
          <t>Médio</t>
        </is>
      </c>
      <c r="J602" s="2" t="n">
        <v>417</v>
      </c>
      <c r="K602" s="3" t="inlineStr">
        <is>
          <t>Semana 4</t>
        </is>
      </c>
      <c r="L602" s="3" t="inlineStr">
        <is>
          <t>Normal</t>
        </is>
      </c>
      <c r="M602" s="3" t="inlineStr">
        <is>
          <t>chave 601</t>
        </is>
      </c>
    </row>
    <row r="603">
      <c r="A603" s="2" t="n">
        <v>602</v>
      </c>
      <c r="B603" s="3" t="inlineStr">
        <is>
          <t xml:space="preserve">PAPELARIA JARDIM LARGO DO MACHADO LTDA </t>
        </is>
      </c>
      <c r="C603" s="3" t="inlineStr">
        <is>
          <t>SUDESTE</t>
        </is>
      </c>
      <c r="D603" s="3" t="inlineStr">
        <is>
          <t>RJ</t>
        </is>
      </c>
      <c r="E603" s="3" t="inlineStr">
        <is>
          <t>RIO DE JANEIRO</t>
        </is>
      </c>
      <c r="F603" s="3" t="inlineStr">
        <is>
          <t xml:space="preserve">CATETE </t>
        </is>
      </c>
      <c r="G603" s="3" t="inlineStr">
        <is>
          <t>22221020</t>
        </is>
      </c>
      <c r="H603" s="3" t="inlineStr">
        <is>
          <t>Andre Pacheco</t>
        </is>
      </c>
      <c r="I603" s="3" t="inlineStr">
        <is>
          <t>Estratégico</t>
        </is>
      </c>
      <c r="J603" s="2" t="n">
        <v>417</v>
      </c>
      <c r="K603" s="3" t="inlineStr">
        <is>
          <t>Semana 1</t>
        </is>
      </c>
      <c r="L603" s="3" t="inlineStr">
        <is>
          <t>Alta</t>
        </is>
      </c>
      <c r="M603" s="3" t="inlineStr">
        <is>
          <t>chave 602</t>
        </is>
      </c>
    </row>
    <row r="604">
      <c r="A604" s="2" t="n">
        <v>603</v>
      </c>
      <c r="B604" s="3" t="inlineStr">
        <is>
          <t xml:space="preserve">L F CLARO BAZAR </t>
        </is>
      </c>
      <c r="C604" s="3" t="inlineStr">
        <is>
          <t>SUDESTE</t>
        </is>
      </c>
      <c r="D604" s="3" t="inlineStr">
        <is>
          <t>RJ</t>
        </is>
      </c>
      <c r="E604" s="3" t="inlineStr">
        <is>
          <t>São João de Meriti</t>
        </is>
      </c>
      <c r="F604" s="3" t="inlineStr">
        <is>
          <t xml:space="preserve">CENTRO </t>
        </is>
      </c>
      <c r="G604" s="3" t="inlineStr">
        <is>
          <t>25520001</t>
        </is>
      </c>
      <c r="H604" s="3" t="inlineStr">
        <is>
          <t>Andre Pacheco</t>
        </is>
      </c>
      <c r="I604" s="3" t="inlineStr">
        <is>
          <t>Médio</t>
        </is>
      </c>
      <c r="J604" s="2" t="n">
        <v>417</v>
      </c>
      <c r="K604" s="3" t="inlineStr">
        <is>
          <t>Semana 4</t>
        </is>
      </c>
      <c r="L604" s="3" t="inlineStr">
        <is>
          <t>Normal</t>
        </is>
      </c>
      <c r="M604" s="3" t="inlineStr">
        <is>
          <t>chave 603</t>
        </is>
      </c>
    </row>
    <row r="605">
      <c r="A605" s="2" t="n">
        <v>604</v>
      </c>
      <c r="B605" s="3" t="inlineStr">
        <is>
          <t xml:space="preserve">INOVAR PAPELARIA E FESTAS LTDA </t>
        </is>
      </c>
      <c r="C605" s="3" t="inlineStr">
        <is>
          <t>SUDESTE</t>
        </is>
      </c>
      <c r="D605" s="3" t="inlineStr">
        <is>
          <t>RJ</t>
        </is>
      </c>
      <c r="E605" s="3" t="inlineStr">
        <is>
          <t>CAMPOS DOS GOYTACAZES</t>
        </is>
      </c>
      <c r="F605" s="3" t="inlineStr">
        <is>
          <t xml:space="preserve">TURF CLUB </t>
        </is>
      </c>
      <c r="G605" s="3" t="inlineStr">
        <is>
          <t>28030002</t>
        </is>
      </c>
      <c r="H605" s="3" t="inlineStr">
        <is>
          <t>Andressa</t>
        </is>
      </c>
      <c r="I605" s="3" t="inlineStr">
        <is>
          <t>Forte</t>
        </is>
      </c>
      <c r="J605" s="2" t="n">
        <v>417</v>
      </c>
      <c r="K605" s="3" t="inlineStr">
        <is>
          <t>Semana 2</t>
        </is>
      </c>
      <c r="L605" s="3" t="inlineStr">
        <is>
          <t>Média</t>
        </is>
      </c>
      <c r="M605" s="3" t="inlineStr">
        <is>
          <t>chave 604</t>
        </is>
      </c>
    </row>
    <row r="606">
      <c r="A606" s="2" t="n">
        <v>605</v>
      </c>
      <c r="B606" s="3" t="inlineStr">
        <is>
          <t xml:space="preserve">PAPELARIA AMARAL PEIXOTO LTDA </t>
        </is>
      </c>
      <c r="C606" s="3" t="inlineStr">
        <is>
          <t>SUDESTE</t>
        </is>
      </c>
      <c r="D606" s="3" t="inlineStr">
        <is>
          <t>RJ</t>
        </is>
      </c>
      <c r="E606" s="3" t="inlineStr">
        <is>
          <t>VOLTA REDONDA</t>
        </is>
      </c>
      <c r="F606" s="3" t="inlineStr">
        <is>
          <t xml:space="preserve">CENTRO </t>
        </is>
      </c>
      <c r="G606" s="3" t="inlineStr">
        <is>
          <t>27253222</t>
        </is>
      </c>
      <c r="H606" s="3" t="inlineStr">
        <is>
          <t>Andressa</t>
        </is>
      </c>
      <c r="I606" s="3" t="inlineStr">
        <is>
          <t>Médio</t>
        </is>
      </c>
      <c r="J606" s="2" t="n">
        <v>417</v>
      </c>
      <c r="K606" s="3" t="inlineStr">
        <is>
          <t>Semana 4</t>
        </is>
      </c>
      <c r="L606" s="3" t="inlineStr">
        <is>
          <t>Normal</t>
        </is>
      </c>
      <c r="M606" s="3" t="inlineStr">
        <is>
          <t>chave 605</t>
        </is>
      </c>
    </row>
    <row r="607">
      <c r="A607" s="2" t="n">
        <v>606</v>
      </c>
      <c r="B607" s="3" t="inlineStr">
        <is>
          <t xml:space="preserve">LUMYLI COMERCIO VAREJISTA DE PAPELARIA E AVIAMENTOS LTDA </t>
        </is>
      </c>
      <c r="C607" s="3" t="inlineStr">
        <is>
          <t>SUDESTE</t>
        </is>
      </c>
      <c r="D607" s="3" t="inlineStr">
        <is>
          <t>RJ</t>
        </is>
      </c>
      <c r="E607" s="3" t="inlineStr">
        <is>
          <t>RIO DE JANEIRO</t>
        </is>
      </c>
      <c r="F607" s="3" t="inlineStr">
        <is>
          <t xml:space="preserve">CAMPO GRANDE </t>
        </is>
      </c>
      <c r="G607" s="3" t="inlineStr">
        <is>
          <t>23070270</t>
        </is>
      </c>
      <c r="H607" s="3" t="inlineStr">
        <is>
          <t>Andre Pacheco</t>
        </is>
      </c>
      <c r="I607" s="3" t="inlineStr">
        <is>
          <t>Estratégico</t>
        </is>
      </c>
      <c r="J607" s="2" t="n">
        <v>417</v>
      </c>
      <c r="K607" s="3" t="inlineStr">
        <is>
          <t>Semana 1</t>
        </is>
      </c>
      <c r="L607" s="3" t="inlineStr">
        <is>
          <t>Alta</t>
        </is>
      </c>
      <c r="M607" s="3" t="inlineStr">
        <is>
          <t>chave 606</t>
        </is>
      </c>
    </row>
    <row r="608">
      <c r="A608" s="2" t="n">
        <v>607</v>
      </c>
      <c r="B608" s="3" t="inlineStr">
        <is>
          <t xml:space="preserve">PAPELARIA BOOZ LTDA </t>
        </is>
      </c>
      <c r="C608" s="3" t="inlineStr">
        <is>
          <t>SUDESTE</t>
        </is>
      </c>
      <c r="D608" s="3" t="inlineStr">
        <is>
          <t>RJ</t>
        </is>
      </c>
      <c r="E608" s="3" t="inlineStr">
        <is>
          <t>Três Rios</t>
        </is>
      </c>
      <c r="F608" s="3" t="inlineStr">
        <is>
          <t xml:space="preserve">CENTRO </t>
        </is>
      </c>
      <c r="G608" s="3" t="inlineStr">
        <is>
          <t>25802180</t>
        </is>
      </c>
      <c r="H608" s="3" t="inlineStr">
        <is>
          <t>Andressa</t>
        </is>
      </c>
      <c r="I608" s="3" t="inlineStr">
        <is>
          <t>Médio</t>
        </is>
      </c>
      <c r="J608" s="2" t="n">
        <v>417</v>
      </c>
      <c r="K608" s="3" t="inlineStr">
        <is>
          <t>Semana 4</t>
        </is>
      </c>
      <c r="L608" s="3" t="inlineStr">
        <is>
          <t>Normal</t>
        </is>
      </c>
      <c r="M608" s="3" t="inlineStr">
        <is>
          <t>chave 607</t>
        </is>
      </c>
    </row>
    <row r="609">
      <c r="A609" s="2" t="n">
        <v>608</v>
      </c>
      <c r="B609" s="3" t="inlineStr">
        <is>
          <t xml:space="preserve">ARMARINHO DELMAR LTDA </t>
        </is>
      </c>
      <c r="C609" s="3" t="inlineStr">
        <is>
          <t>SUDESTE</t>
        </is>
      </c>
      <c r="D609" s="3" t="inlineStr">
        <is>
          <t>RJ</t>
        </is>
      </c>
      <c r="E609" s="3" t="inlineStr">
        <is>
          <t>RIO DE JANEIRO</t>
        </is>
      </c>
      <c r="F609" s="3" t="inlineStr">
        <is>
          <t xml:space="preserve">CENTRO </t>
        </is>
      </c>
      <c r="G609" s="3" t="inlineStr">
        <is>
          <t>20061015</t>
        </is>
      </c>
      <c r="H609" s="3" t="inlineStr">
        <is>
          <t>Andre Pacheco</t>
        </is>
      </c>
      <c r="I609" s="3" t="inlineStr">
        <is>
          <t>Estratégico</t>
        </is>
      </c>
      <c r="J609" s="2" t="n">
        <v>417</v>
      </c>
      <c r="K609" s="3" t="inlineStr">
        <is>
          <t>Semana 1</t>
        </is>
      </c>
      <c r="L609" s="3" t="inlineStr">
        <is>
          <t>Alta</t>
        </is>
      </c>
      <c r="M609" s="3" t="inlineStr">
        <is>
          <t>chave 608</t>
        </is>
      </c>
    </row>
    <row r="610">
      <c r="A610" s="2" t="n">
        <v>609</v>
      </c>
      <c r="B610" s="3" t="inlineStr">
        <is>
          <t xml:space="preserve">COISA E TAL DE MADUREIRA PAPELARIA E BAZAR LTDA </t>
        </is>
      </c>
      <c r="C610" s="3" t="inlineStr">
        <is>
          <t>SUDESTE</t>
        </is>
      </c>
      <c r="D610" s="3" t="inlineStr">
        <is>
          <t>RJ</t>
        </is>
      </c>
      <c r="E610" s="3" t="inlineStr">
        <is>
          <t>RIO DE JANEIRO</t>
        </is>
      </c>
      <c r="F610" s="3" t="inlineStr">
        <is>
          <t xml:space="preserve">MADUREIRA </t>
        </is>
      </c>
      <c r="G610" s="3" t="inlineStr">
        <is>
          <t>21360201</t>
        </is>
      </c>
      <c r="H610" s="3" t="inlineStr">
        <is>
          <t>Andre Pacheco</t>
        </is>
      </c>
      <c r="I610" s="3" t="inlineStr">
        <is>
          <t>Estratégico</t>
        </is>
      </c>
      <c r="J610" s="2" t="n">
        <v>417</v>
      </c>
      <c r="K610" s="3" t="inlineStr">
        <is>
          <t>Semana 1</t>
        </is>
      </c>
      <c r="L610" s="3" t="inlineStr">
        <is>
          <t>Alta</t>
        </is>
      </c>
      <c r="M610" s="3" t="inlineStr">
        <is>
          <t>chave 609</t>
        </is>
      </c>
    </row>
    <row r="611">
      <c r="A611" s="2" t="n">
        <v>610</v>
      </c>
      <c r="B611" s="3" t="inlineStr">
        <is>
          <t xml:space="preserve">CRISCLAU BAZAR LTDA </t>
        </is>
      </c>
      <c r="C611" s="3" t="inlineStr">
        <is>
          <t>SUDESTE</t>
        </is>
      </c>
      <c r="D611" s="3" t="inlineStr">
        <is>
          <t>RJ</t>
        </is>
      </c>
      <c r="E611" s="3" t="inlineStr">
        <is>
          <t>ARARUAMA</t>
        </is>
      </c>
      <c r="F611" s="3" t="inlineStr">
        <is>
          <t xml:space="preserve">CENTRO </t>
        </is>
      </c>
      <c r="G611" s="3" t="inlineStr">
        <is>
          <t>28970000</t>
        </is>
      </c>
      <c r="H611" s="3" t="inlineStr">
        <is>
          <t>Andressa</t>
        </is>
      </c>
      <c r="I611" s="3" t="inlineStr">
        <is>
          <t>Médio</t>
        </is>
      </c>
      <c r="J611" s="2" t="n">
        <v>417</v>
      </c>
      <c r="K611" s="3" t="inlineStr">
        <is>
          <t>Semana 4</t>
        </is>
      </c>
      <c r="L611" s="3" t="inlineStr">
        <is>
          <t>Normal</t>
        </is>
      </c>
      <c r="M611" s="3" t="inlineStr">
        <is>
          <t>chave 610</t>
        </is>
      </c>
    </row>
    <row r="612">
      <c r="A612" s="2" t="n">
        <v>611</v>
      </c>
      <c r="B612" s="3" t="inlineStr">
        <is>
          <t xml:space="preserve">MODERNA PAPELARIA E LIVRARIA LTDA </t>
        </is>
      </c>
      <c r="C612" s="3" t="inlineStr">
        <is>
          <t>SUDESTE</t>
        </is>
      </c>
      <c r="D612" s="3" t="inlineStr">
        <is>
          <t>RJ</t>
        </is>
      </c>
      <c r="E612" s="3" t="inlineStr">
        <is>
          <t>Barra do Piraí</t>
        </is>
      </c>
      <c r="F612" s="3" t="inlineStr">
        <is>
          <t xml:space="preserve">CENTRO </t>
        </is>
      </c>
      <c r="G612" s="3" t="inlineStr">
        <is>
          <t>27123000</t>
        </is>
      </c>
      <c r="H612" s="3" t="inlineStr">
        <is>
          <t>Andressa</t>
        </is>
      </c>
      <c r="I612" s="3" t="inlineStr">
        <is>
          <t>Médio</t>
        </is>
      </c>
      <c r="J612" s="2" t="n">
        <v>417</v>
      </c>
      <c r="K612" s="3" t="inlineStr">
        <is>
          <t>Semana 4</t>
        </is>
      </c>
      <c r="L612" s="3" t="inlineStr">
        <is>
          <t>Normal</t>
        </is>
      </c>
      <c r="M612" s="3" t="inlineStr">
        <is>
          <t>chave 611</t>
        </is>
      </c>
    </row>
    <row r="613">
      <c r="A613" s="2" t="n">
        <v>612</v>
      </c>
      <c r="B613" s="3" t="inlineStr">
        <is>
          <t xml:space="preserve">MINAS GERAL COMERCIAL LTDA </t>
        </is>
      </c>
      <c r="C613" s="3" t="inlineStr">
        <is>
          <t>SUDESTE</t>
        </is>
      </c>
      <c r="D613" s="3" t="inlineStr">
        <is>
          <t>RJ</t>
        </is>
      </c>
      <c r="E613" s="3" t="inlineStr">
        <is>
          <t>BARRA MANSA</t>
        </is>
      </c>
      <c r="F613" s="3" t="inlineStr">
        <is>
          <t xml:space="preserve">VISTA ALEGRE </t>
        </is>
      </c>
      <c r="G613" s="3" t="inlineStr">
        <is>
          <t>27345310</t>
        </is>
      </c>
      <c r="H613" s="3" t="inlineStr">
        <is>
          <t>Andressa</t>
        </is>
      </c>
      <c r="I613" s="3" t="inlineStr">
        <is>
          <t>Médio</t>
        </is>
      </c>
      <c r="J613" s="2" t="n">
        <v>417</v>
      </c>
      <c r="K613" s="3" t="inlineStr">
        <is>
          <t>Semana 4</t>
        </is>
      </c>
      <c r="L613" s="3" t="inlineStr">
        <is>
          <t>Normal</t>
        </is>
      </c>
      <c r="M613" s="3" t="inlineStr">
        <is>
          <t>chave 612</t>
        </is>
      </c>
    </row>
    <row r="614">
      <c r="A614" s="2" t="n">
        <v>613</v>
      </c>
      <c r="B614" s="3" t="inlineStr">
        <is>
          <t xml:space="preserve">CASA &amp; VIDEO BRASIL S.A </t>
        </is>
      </c>
      <c r="C614" s="3" t="inlineStr">
        <is>
          <t>SUDESTE</t>
        </is>
      </c>
      <c r="D614" s="3" t="inlineStr">
        <is>
          <t>RJ</t>
        </is>
      </c>
      <c r="E614" s="3" t="inlineStr">
        <is>
          <t>QUEIMADOS</t>
        </is>
      </c>
      <c r="F614" s="3" t="inlineStr">
        <is>
          <t xml:space="preserve">MEU RANCHINHO </t>
        </is>
      </c>
      <c r="G614" s="3" t="inlineStr">
        <is>
          <t>26379160</t>
        </is>
      </c>
      <c r="H614" s="3" t="inlineStr">
        <is>
          <t>Andre Pacheco</t>
        </is>
      </c>
      <c r="I614" s="3" t="inlineStr">
        <is>
          <t>Médio</t>
        </is>
      </c>
      <c r="J614" s="2" t="n">
        <v>417</v>
      </c>
      <c r="K614" s="3" t="inlineStr">
        <is>
          <t>Semana 4</t>
        </is>
      </c>
      <c r="L614" s="3" t="inlineStr">
        <is>
          <t>Normal</t>
        </is>
      </c>
      <c r="M614" s="3" t="inlineStr">
        <is>
          <t>chave 613</t>
        </is>
      </c>
    </row>
    <row r="615">
      <c r="A615" s="2" t="n">
        <v>614</v>
      </c>
      <c r="B615" s="3" t="inlineStr">
        <is>
          <t xml:space="preserve">ATUAL MACAENSE COM.MAT.ESCR.LTDA </t>
        </is>
      </c>
      <c r="C615" s="3" t="inlineStr">
        <is>
          <t>SUDESTE</t>
        </is>
      </c>
      <c r="D615" s="3" t="inlineStr">
        <is>
          <t>RJ</t>
        </is>
      </c>
      <c r="E615" s="3" t="inlineStr">
        <is>
          <t>Macaé</t>
        </is>
      </c>
      <c r="F615" s="3" t="inlineStr">
        <is>
          <t xml:space="preserve">VISCONDE DE ARAUJO </t>
        </is>
      </c>
      <c r="G615" s="3" t="inlineStr">
        <is>
          <t>27943031</t>
        </is>
      </c>
      <c r="H615" s="3" t="inlineStr">
        <is>
          <t>Andressa</t>
        </is>
      </c>
      <c r="I615" s="3" t="inlineStr">
        <is>
          <t>Forte</t>
        </is>
      </c>
      <c r="J615" s="2" t="n">
        <v>417</v>
      </c>
      <c r="K615" s="3" t="inlineStr">
        <is>
          <t>Semana 2</t>
        </is>
      </c>
      <c r="L615" s="3" t="inlineStr">
        <is>
          <t>Média</t>
        </is>
      </c>
      <c r="M615" s="3" t="inlineStr">
        <is>
          <t>chave 614</t>
        </is>
      </c>
    </row>
    <row r="616">
      <c r="A616" s="2" t="n">
        <v>615</v>
      </c>
      <c r="B616" s="3" t="inlineStr">
        <is>
          <t xml:space="preserve">SAQUA PAP BAZAR 01 LTDA </t>
        </is>
      </c>
      <c r="C616" s="3" t="inlineStr">
        <is>
          <t>SUDESTE</t>
        </is>
      </c>
      <c r="D616" s="3" t="inlineStr">
        <is>
          <t>RJ</t>
        </is>
      </c>
      <c r="E616" s="3" t="inlineStr">
        <is>
          <t>SAQUAREMA</t>
        </is>
      </c>
      <c r="F616" s="3" t="inlineStr">
        <is>
          <t xml:space="preserve">BACAXA </t>
        </is>
      </c>
      <c r="G616" s="3" t="inlineStr">
        <is>
          <t>28994750</t>
        </is>
      </c>
      <c r="H616" s="3" t="inlineStr">
        <is>
          <t>Andressa</t>
        </is>
      </c>
      <c r="I616" s="3" t="inlineStr">
        <is>
          <t>Médio</t>
        </is>
      </c>
      <c r="J616" s="2" t="n">
        <v>417</v>
      </c>
      <c r="K616" s="3" t="inlineStr">
        <is>
          <t>Semana 4</t>
        </is>
      </c>
      <c r="L616" s="3" t="inlineStr">
        <is>
          <t>Normal</t>
        </is>
      </c>
      <c r="M616" s="3" t="inlineStr">
        <is>
          <t>chave 615</t>
        </is>
      </c>
    </row>
    <row r="617">
      <c r="A617" s="2" t="n">
        <v>616</v>
      </c>
      <c r="B617" s="3" t="inlineStr">
        <is>
          <t xml:space="preserve">B F C DE OLIVEIRA COMERCIO E SERVICOS </t>
        </is>
      </c>
      <c r="C617" s="3" t="inlineStr">
        <is>
          <t>SUDESTE</t>
        </is>
      </c>
      <c r="D617" s="3" t="inlineStr">
        <is>
          <t>RJ</t>
        </is>
      </c>
      <c r="E617" s="3" t="inlineStr">
        <is>
          <t>São Pedro da Aldeia</t>
        </is>
      </c>
      <c r="F617" s="3" t="inlineStr">
        <is>
          <t xml:space="preserve">FLUMINENSE </t>
        </is>
      </c>
      <c r="G617" s="3" t="inlineStr">
        <is>
          <t>28941348</t>
        </is>
      </c>
      <c r="H617" s="3" t="inlineStr">
        <is>
          <t>Andressa</t>
        </is>
      </c>
      <c r="I617" s="3" t="inlineStr">
        <is>
          <t>Médio</t>
        </is>
      </c>
      <c r="J617" s="2" t="n">
        <v>417</v>
      </c>
      <c r="K617" s="3" t="inlineStr">
        <is>
          <t>Semana 4</t>
        </is>
      </c>
      <c r="L617" s="3" t="inlineStr">
        <is>
          <t>Normal</t>
        </is>
      </c>
      <c r="M617" s="3" t="inlineStr">
        <is>
          <t>chave 616</t>
        </is>
      </c>
    </row>
    <row r="618">
      <c r="A618" s="2" t="n">
        <v>617</v>
      </c>
      <c r="B618" s="3" t="inlineStr">
        <is>
          <t xml:space="preserve">PAPELARIA BAZAR 1 DE MARCO LTDA </t>
        </is>
      </c>
      <c r="C618" s="3" t="inlineStr">
        <is>
          <t>SUDESTE</t>
        </is>
      </c>
      <c r="D618" s="3" t="inlineStr">
        <is>
          <t>RJ</t>
        </is>
      </c>
      <c r="E618" s="3" t="inlineStr">
        <is>
          <t>RIO DE JANEIRO</t>
        </is>
      </c>
      <c r="F618" s="3" t="inlineStr">
        <is>
          <t xml:space="preserve">TIJUCA </t>
        </is>
      </c>
      <c r="G618" s="3" t="inlineStr">
        <is>
          <t>20520054</t>
        </is>
      </c>
      <c r="H618" s="3" t="inlineStr">
        <is>
          <t>Andre Pacheco</t>
        </is>
      </c>
      <c r="I618" s="3" t="inlineStr">
        <is>
          <t>Estratégico</t>
        </is>
      </c>
      <c r="J618" s="2" t="n">
        <v>417</v>
      </c>
      <c r="K618" s="3" t="inlineStr">
        <is>
          <t>Semana 2</t>
        </is>
      </c>
      <c r="L618" s="3" t="inlineStr">
        <is>
          <t>Alta</t>
        </is>
      </c>
      <c r="M618" s="3" t="inlineStr">
        <is>
          <t>chave 617</t>
        </is>
      </c>
    </row>
    <row r="619">
      <c r="A619" s="2" t="n">
        <v>618</v>
      </c>
      <c r="B619" s="3" t="inlineStr">
        <is>
          <t xml:space="preserve">TORRE DE BELEM ART.P/ESCR E PAPELARIA LTDA </t>
        </is>
      </c>
      <c r="C619" s="3" t="inlineStr">
        <is>
          <t>SUDESTE</t>
        </is>
      </c>
      <c r="D619" s="3" t="inlineStr">
        <is>
          <t>RJ</t>
        </is>
      </c>
      <c r="E619" s="3" t="inlineStr">
        <is>
          <t>RIO DE JANEIRO</t>
        </is>
      </c>
      <c r="F619" s="3" t="inlineStr">
        <is>
          <t xml:space="preserve">TAQUARA </t>
        </is>
      </c>
      <c r="G619" s="3" t="inlineStr">
        <is>
          <t>22725530</t>
        </is>
      </c>
      <c r="H619" s="3" t="inlineStr">
        <is>
          <t>Andre Pacheco</t>
        </is>
      </c>
      <c r="I619" s="3" t="inlineStr">
        <is>
          <t>Estratégico</t>
        </is>
      </c>
      <c r="J619" s="2" t="n">
        <v>417</v>
      </c>
      <c r="K619" s="3" t="inlineStr">
        <is>
          <t>Semana 2</t>
        </is>
      </c>
      <c r="L619" s="3" t="inlineStr">
        <is>
          <t>Alta</t>
        </is>
      </c>
      <c r="M619" s="3" t="inlineStr">
        <is>
          <t>chave 618</t>
        </is>
      </c>
    </row>
    <row r="620">
      <c r="A620" s="2" t="n">
        <v>619</v>
      </c>
      <c r="B620" s="3" t="inlineStr">
        <is>
          <t xml:space="preserve">A &amp; I UTILIDADES DO LAR LTDA </t>
        </is>
      </c>
      <c r="C620" s="3" t="inlineStr">
        <is>
          <t>SUDESTE</t>
        </is>
      </c>
      <c r="D620" s="3" t="inlineStr">
        <is>
          <t>RJ</t>
        </is>
      </c>
      <c r="E620" s="3" t="inlineStr">
        <is>
          <t>Macaé</t>
        </is>
      </c>
      <c r="F620" s="3" t="inlineStr">
        <is>
          <t xml:space="preserve">PARQUE AEROPORTO </t>
        </is>
      </c>
      <c r="G620" s="3" t="inlineStr">
        <is>
          <t>27937300</t>
        </is>
      </c>
      <c r="H620" s="3" t="inlineStr">
        <is>
          <t>Andressa</t>
        </is>
      </c>
      <c r="I620" s="3" t="inlineStr">
        <is>
          <t>Forte</t>
        </is>
      </c>
      <c r="J620" s="2" t="n">
        <v>417</v>
      </c>
      <c r="K620" s="3" t="inlineStr">
        <is>
          <t>Semana 2</t>
        </is>
      </c>
      <c r="L620" s="3" t="inlineStr">
        <is>
          <t>Média</t>
        </is>
      </c>
      <c r="M620" s="3" t="inlineStr">
        <is>
          <t>chave 619</t>
        </is>
      </c>
    </row>
    <row r="621">
      <c r="A621" s="2" t="n">
        <v>620</v>
      </c>
      <c r="B621" s="3" t="inlineStr">
        <is>
          <t xml:space="preserve">SAKURA PRESENTES LTDA </t>
        </is>
      </c>
      <c r="C621" s="3" t="inlineStr">
        <is>
          <t>SUDESTE</t>
        </is>
      </c>
      <c r="D621" s="3" t="inlineStr">
        <is>
          <t>RJ</t>
        </is>
      </c>
      <c r="E621" s="3" t="inlineStr">
        <is>
          <t>Itaguaí</t>
        </is>
      </c>
      <c r="F621" s="3" t="inlineStr">
        <is>
          <t xml:space="preserve">CENTRO </t>
        </is>
      </c>
      <c r="G621" s="3" t="inlineStr">
        <is>
          <t>23815460</t>
        </is>
      </c>
      <c r="H621" s="3" t="inlineStr">
        <is>
          <t>Andressa</t>
        </is>
      </c>
      <c r="I621" s="3" t="inlineStr">
        <is>
          <t>Médio</t>
        </is>
      </c>
      <c r="J621" s="2" t="n">
        <v>417</v>
      </c>
      <c r="K621" s="3" t="inlineStr">
        <is>
          <t>Semana 4</t>
        </is>
      </c>
      <c r="L621" s="3" t="inlineStr">
        <is>
          <t>Normal</t>
        </is>
      </c>
      <c r="M621" s="3" t="inlineStr">
        <is>
          <t>chave 620</t>
        </is>
      </c>
    </row>
    <row r="622">
      <c r="A622" s="2" t="n">
        <v>621</v>
      </c>
      <c r="B622" s="3" t="inlineStr">
        <is>
          <t xml:space="preserve">ARMAZEM A FAVORITA LTDA </t>
        </is>
      </c>
      <c r="C622" s="3" t="inlineStr">
        <is>
          <t>SUDESTE</t>
        </is>
      </c>
      <c r="D622" s="3" t="inlineStr">
        <is>
          <t>RJ</t>
        </is>
      </c>
      <c r="E622" s="3" t="inlineStr">
        <is>
          <t>RIO DE JANEIRO</t>
        </is>
      </c>
      <c r="F622" s="3" t="inlineStr">
        <is>
          <t xml:space="preserve">COCOTA </t>
        </is>
      </c>
      <c r="G622" s="3" t="inlineStr">
        <is>
          <t>21921040</t>
        </is>
      </c>
      <c r="H622" s="3" t="inlineStr">
        <is>
          <t>Andre Pacheco</t>
        </is>
      </c>
      <c r="I622" s="3" t="inlineStr">
        <is>
          <t>Estratégico</t>
        </is>
      </c>
      <c r="J622" s="2" t="n">
        <v>417</v>
      </c>
      <c r="K622" s="3" t="inlineStr">
        <is>
          <t>Semana 2</t>
        </is>
      </c>
      <c r="L622" s="3" t="inlineStr">
        <is>
          <t>Alta</t>
        </is>
      </c>
      <c r="M622" s="3" t="inlineStr">
        <is>
          <t>chave 621</t>
        </is>
      </c>
    </row>
    <row r="623">
      <c r="A623" s="2" t="n">
        <v>622</v>
      </c>
      <c r="B623" s="3" t="inlineStr">
        <is>
          <t xml:space="preserve">PAPELARIA SEMADRI LTDA </t>
        </is>
      </c>
      <c r="C623" s="3" t="inlineStr">
        <is>
          <t>SUDESTE</t>
        </is>
      </c>
      <c r="D623" s="3" t="inlineStr">
        <is>
          <t>RJ</t>
        </is>
      </c>
      <c r="E623" s="3" t="inlineStr">
        <is>
          <t>Petrópolis</t>
        </is>
      </c>
      <c r="F623" s="3" t="inlineStr">
        <is>
          <t xml:space="preserve">CENTRO </t>
        </is>
      </c>
      <c r="G623" s="3" t="inlineStr">
        <is>
          <t>25620002</t>
        </is>
      </c>
      <c r="H623" s="3" t="inlineStr">
        <is>
          <t>Andressa</t>
        </is>
      </c>
      <c r="I623" s="3" t="inlineStr">
        <is>
          <t>Forte</t>
        </is>
      </c>
      <c r="J623" s="2" t="n">
        <v>417</v>
      </c>
      <c r="K623" s="3" t="inlineStr">
        <is>
          <t>Semana 2</t>
        </is>
      </c>
      <c r="L623" s="3" t="inlineStr">
        <is>
          <t>Média</t>
        </is>
      </c>
      <c r="M623" s="3" t="inlineStr">
        <is>
          <t>chave 622</t>
        </is>
      </c>
    </row>
    <row r="624">
      <c r="A624" s="2" t="n">
        <v>623</v>
      </c>
      <c r="B624" s="3" t="inlineStr">
        <is>
          <t xml:space="preserve">ANDRI SOLUCOES COMERCIO DE SUPRIMENTOS LTDA </t>
        </is>
      </c>
      <c r="C624" s="3" t="inlineStr">
        <is>
          <t>SUDESTE</t>
        </is>
      </c>
      <c r="D624" s="3" t="inlineStr">
        <is>
          <t>RJ</t>
        </is>
      </c>
      <c r="E624" s="3" t="inlineStr">
        <is>
          <t>PARACAMBI</t>
        </is>
      </c>
      <c r="F624" s="3" t="inlineStr">
        <is>
          <t xml:space="preserve">CENTRO </t>
        </is>
      </c>
      <c r="G624" s="3" t="inlineStr">
        <is>
          <t>26600000</t>
        </is>
      </c>
      <c r="H624" s="3" t="inlineStr">
        <is>
          <t>Andressa</t>
        </is>
      </c>
      <c r="I624" s="3" t="inlineStr">
        <is>
          <t>Médio</t>
        </is>
      </c>
      <c r="J624" s="2" t="n">
        <v>417</v>
      </c>
      <c r="K624" s="3" t="inlineStr">
        <is>
          <t>Semana 4</t>
        </is>
      </c>
      <c r="L624" s="3" t="inlineStr">
        <is>
          <t>Normal</t>
        </is>
      </c>
      <c r="M624" s="3" t="inlineStr">
        <is>
          <t>chave 623</t>
        </is>
      </c>
    </row>
    <row r="625">
      <c r="A625" s="2" t="n">
        <v>624</v>
      </c>
      <c r="B625" s="3" t="inlineStr">
        <is>
          <t xml:space="preserve">PRINTLAGOS COMERCIO ATACADISTA E VAREJISTA LTDA </t>
        </is>
      </c>
      <c r="C625" s="3" t="inlineStr">
        <is>
          <t>SUDESTE</t>
        </is>
      </c>
      <c r="D625" s="3" t="inlineStr">
        <is>
          <t>RJ</t>
        </is>
      </c>
      <c r="E625" s="3" t="inlineStr">
        <is>
          <t>ARARUAMA</t>
        </is>
      </c>
      <c r="F625" s="3" t="inlineStr">
        <is>
          <t xml:space="preserve">CENTRO </t>
        </is>
      </c>
      <c r="G625" s="3" t="inlineStr">
        <is>
          <t>28979129</t>
        </is>
      </c>
      <c r="H625" s="3" t="inlineStr">
        <is>
          <t>Andressa</t>
        </is>
      </c>
      <c r="I625" s="3" t="inlineStr">
        <is>
          <t>Médio</t>
        </is>
      </c>
      <c r="J625" s="2" t="n">
        <v>417</v>
      </c>
      <c r="K625" s="3" t="inlineStr">
        <is>
          <t>Semana 4</t>
        </is>
      </c>
      <c r="L625" s="3" t="inlineStr">
        <is>
          <t>Normal</t>
        </is>
      </c>
      <c r="M625" s="3" t="inlineStr">
        <is>
          <t>chave 624</t>
        </is>
      </c>
    </row>
    <row r="626">
      <c r="A626" s="2" t="n">
        <v>625</v>
      </c>
      <c r="B626" s="3" t="inlineStr">
        <is>
          <t xml:space="preserve">FERNANDO MAIA PINHEIRO </t>
        </is>
      </c>
      <c r="C626" s="3" t="inlineStr">
        <is>
          <t>SUDESTE</t>
        </is>
      </c>
      <c r="D626" s="3" t="inlineStr">
        <is>
          <t>RJ</t>
        </is>
      </c>
      <c r="E626" s="3" t="inlineStr">
        <is>
          <t>Teresópolis</t>
        </is>
      </c>
      <c r="F626" s="3" t="inlineStr">
        <is>
          <t xml:space="preserve">VARZEA </t>
        </is>
      </c>
      <c r="G626" s="3" t="inlineStr">
        <is>
          <t>25953232</t>
        </is>
      </c>
      <c r="H626" s="3" t="inlineStr">
        <is>
          <t>Andressa</t>
        </is>
      </c>
      <c r="I626" s="3" t="inlineStr">
        <is>
          <t>Forte</t>
        </is>
      </c>
      <c r="J626" s="2" t="n">
        <v>417</v>
      </c>
      <c r="K626" s="3" t="inlineStr">
        <is>
          <t>Semana 2</t>
        </is>
      </c>
      <c r="L626" s="3" t="inlineStr">
        <is>
          <t>Média</t>
        </is>
      </c>
      <c r="M626" s="3" t="inlineStr">
        <is>
          <t>chave 625</t>
        </is>
      </c>
    </row>
    <row r="627">
      <c r="A627" s="2" t="n">
        <v>626</v>
      </c>
      <c r="B627" s="3" t="inlineStr">
        <is>
          <t xml:space="preserve">PAPELARIA ANCHIETA LTDA </t>
        </is>
      </c>
      <c r="C627" s="3" t="inlineStr">
        <is>
          <t>SUDESTE</t>
        </is>
      </c>
      <c r="D627" s="3" t="inlineStr">
        <is>
          <t>RJ</t>
        </is>
      </c>
      <c r="E627" s="3" t="inlineStr">
        <is>
          <t>Magé</t>
        </is>
      </c>
      <c r="F627" s="3" t="inlineStr">
        <is>
          <t xml:space="preserve">CENTRO </t>
        </is>
      </c>
      <c r="G627" s="3" t="inlineStr">
        <is>
          <t>25900106</t>
        </is>
      </c>
      <c r="H627" s="3" t="inlineStr">
        <is>
          <t>Andre Pacheco</t>
        </is>
      </c>
      <c r="I627" s="3" t="inlineStr">
        <is>
          <t>Médio</t>
        </is>
      </c>
      <c r="J627" s="2" t="n">
        <v>417</v>
      </c>
      <c r="K627" s="3" t="inlineStr">
        <is>
          <t>Semana 4</t>
        </is>
      </c>
      <c r="L627" s="3" t="inlineStr">
        <is>
          <t>Normal</t>
        </is>
      </c>
      <c r="M627" s="3" t="inlineStr">
        <is>
          <t>chave 626</t>
        </is>
      </c>
    </row>
    <row r="628">
      <c r="A628" s="2" t="n">
        <v>627</v>
      </c>
      <c r="B628" s="3" t="inlineStr">
        <is>
          <t xml:space="preserve">R &amp; R NEGOCIOS E SOLUCOES EMPRESARIAS LTDA </t>
        </is>
      </c>
      <c r="C628" s="3" t="inlineStr">
        <is>
          <t>SUDESTE</t>
        </is>
      </c>
      <c r="D628" s="3" t="inlineStr">
        <is>
          <t>RJ</t>
        </is>
      </c>
      <c r="E628" s="3" t="inlineStr">
        <is>
          <t>VALENÇA</t>
        </is>
      </c>
      <c r="F628" s="3" t="inlineStr">
        <is>
          <t xml:space="preserve">CENTRO </t>
        </is>
      </c>
      <c r="G628" s="3" t="inlineStr">
        <is>
          <t>27600000</t>
        </is>
      </c>
      <c r="H628" s="3" t="inlineStr">
        <is>
          <t>Andressa</t>
        </is>
      </c>
      <c r="I628" s="3" t="inlineStr">
        <is>
          <t>Médio</t>
        </is>
      </c>
      <c r="J628" s="2" t="n">
        <v>417</v>
      </c>
      <c r="K628" s="3" t="inlineStr">
        <is>
          <t>Semana 4</t>
        </is>
      </c>
      <c r="L628" s="3" t="inlineStr">
        <is>
          <t>Normal</t>
        </is>
      </c>
      <c r="M628" s="3" t="inlineStr">
        <is>
          <t>chave 627</t>
        </is>
      </c>
    </row>
    <row r="629">
      <c r="A629" s="2" t="n">
        <v>628</v>
      </c>
      <c r="B629" s="3" t="inlineStr">
        <is>
          <t xml:space="preserve">CRISTIL COMERCIO E BAZAR LTDA </t>
        </is>
      </c>
      <c r="C629" s="3" t="inlineStr">
        <is>
          <t>SUDESTE</t>
        </is>
      </c>
      <c r="D629" s="3" t="inlineStr">
        <is>
          <t>RJ</t>
        </is>
      </c>
      <c r="E629" s="3" t="inlineStr">
        <is>
          <t>MACAÉ</t>
        </is>
      </c>
      <c r="F629" s="3" t="inlineStr">
        <is>
          <t xml:space="preserve">BARRA DE MACAE </t>
        </is>
      </c>
      <c r="G629" s="3" t="inlineStr">
        <is>
          <t>27961076</t>
        </is>
      </c>
      <c r="H629" s="3" t="inlineStr">
        <is>
          <t>Andressa</t>
        </is>
      </c>
      <c r="I629" s="3" t="inlineStr">
        <is>
          <t>Forte</t>
        </is>
      </c>
      <c r="J629" s="2" t="n">
        <v>417</v>
      </c>
      <c r="K629" s="3" t="inlineStr">
        <is>
          <t>Semana 2</t>
        </is>
      </c>
      <c r="L629" s="3" t="inlineStr">
        <is>
          <t>Média</t>
        </is>
      </c>
      <c r="M629" s="3" t="inlineStr">
        <is>
          <t>chave 628</t>
        </is>
      </c>
    </row>
    <row r="630">
      <c r="A630" s="2" t="n">
        <v>629</v>
      </c>
      <c r="B630" s="3" t="inlineStr">
        <is>
          <t xml:space="preserve">A C PEREIRA PAPELARIA LTDA </t>
        </is>
      </c>
      <c r="C630" s="3" t="inlineStr">
        <is>
          <t>SUDESTE</t>
        </is>
      </c>
      <c r="D630" s="3" t="inlineStr">
        <is>
          <t>RJ</t>
        </is>
      </c>
      <c r="E630" s="3" t="inlineStr">
        <is>
          <t>Macaé</t>
        </is>
      </c>
      <c r="F630" s="3" t="inlineStr">
        <is>
          <t xml:space="preserve">CENTRO </t>
        </is>
      </c>
      <c r="G630" s="3" t="inlineStr">
        <is>
          <t>27910060</t>
        </is>
      </c>
      <c r="H630" s="3" t="inlineStr">
        <is>
          <t>Andressa</t>
        </is>
      </c>
      <c r="I630" s="3" t="inlineStr">
        <is>
          <t>Forte</t>
        </is>
      </c>
      <c r="J630" s="2" t="n">
        <v>417</v>
      </c>
      <c r="K630" s="3" t="inlineStr">
        <is>
          <t>Semana 2</t>
        </is>
      </c>
      <c r="L630" s="3" t="inlineStr">
        <is>
          <t>Média</t>
        </is>
      </c>
      <c r="M630" s="3" t="inlineStr">
        <is>
          <t>chave 629</t>
        </is>
      </c>
    </row>
    <row r="631">
      <c r="A631" s="2" t="n">
        <v>630</v>
      </c>
      <c r="B631" s="3" t="inlineStr">
        <is>
          <t xml:space="preserve">SUPER UTIL LOJA DE VARIEDADES LTDA </t>
        </is>
      </c>
      <c r="C631" s="3" t="inlineStr">
        <is>
          <t>SUDESTE</t>
        </is>
      </c>
      <c r="D631" s="3" t="inlineStr">
        <is>
          <t>RJ</t>
        </is>
      </c>
      <c r="E631" s="3" t="inlineStr">
        <is>
          <t>Porciúncula</t>
        </is>
      </c>
      <c r="F631" s="3" t="inlineStr">
        <is>
          <t xml:space="preserve">CENTRO </t>
        </is>
      </c>
      <c r="G631" s="3" t="inlineStr">
        <is>
          <t>28390000</t>
        </is>
      </c>
      <c r="H631" s="3" t="inlineStr">
        <is>
          <t>Andressa</t>
        </is>
      </c>
      <c r="I631" s="3" t="inlineStr">
        <is>
          <t>Médio</t>
        </is>
      </c>
      <c r="J631" s="2" t="n">
        <v>417</v>
      </c>
      <c r="K631" s="3" t="inlineStr">
        <is>
          <t>Semana 4</t>
        </is>
      </c>
      <c r="L631" s="3" t="inlineStr">
        <is>
          <t>Normal</t>
        </is>
      </c>
      <c r="M631" s="3" t="inlineStr">
        <is>
          <t>chave 630</t>
        </is>
      </c>
    </row>
    <row r="632">
      <c r="A632" s="2" t="n">
        <v>631</v>
      </c>
      <c r="B632" s="3" t="inlineStr">
        <is>
          <t xml:space="preserve">TT BRASIL COMERCIO INTERNACIONAL LTDA </t>
        </is>
      </c>
      <c r="C632" s="3" t="inlineStr">
        <is>
          <t>SUDESTE</t>
        </is>
      </c>
      <c r="D632" s="3" t="inlineStr">
        <is>
          <t>RJ</t>
        </is>
      </c>
      <c r="E632" s="3" t="inlineStr">
        <is>
          <t>DUQUE DE CAXIAS</t>
        </is>
      </c>
      <c r="F632" s="3" t="inlineStr">
        <is>
          <t xml:space="preserve">PARQUE BOA VISTA II </t>
        </is>
      </c>
      <c r="G632" s="3" t="inlineStr">
        <is>
          <t>25085009</t>
        </is>
      </c>
      <c r="H632" s="3" t="inlineStr">
        <is>
          <t>Andre Pacheco</t>
        </is>
      </c>
      <c r="I632" s="3" t="inlineStr">
        <is>
          <t>Estratégico</t>
        </is>
      </c>
      <c r="J632" s="2" t="n">
        <v>417</v>
      </c>
      <c r="K632" s="3" t="inlineStr">
        <is>
          <t>Semana 1</t>
        </is>
      </c>
      <c r="L632" s="3" t="inlineStr">
        <is>
          <t>Alta</t>
        </is>
      </c>
      <c r="M632" s="3" t="inlineStr">
        <is>
          <t>chave 631</t>
        </is>
      </c>
    </row>
    <row r="633">
      <c r="A633" s="2" t="n">
        <v>632</v>
      </c>
      <c r="B633" s="3" t="inlineStr">
        <is>
          <t xml:space="preserve">SILVIA MODAS - COMERCIO DE ROUPAS E ACESSORIOS LTDA </t>
        </is>
      </c>
      <c r="C633" s="3" t="inlineStr">
        <is>
          <t>SUDESTE</t>
        </is>
      </c>
      <c r="D633" s="3" t="inlineStr">
        <is>
          <t>RJ</t>
        </is>
      </c>
      <c r="E633" s="3" t="inlineStr">
        <is>
          <t>SÃO GONÇALO</t>
        </is>
      </c>
      <c r="F633" s="3" t="inlineStr">
        <is>
          <t xml:space="preserve">CENTRO </t>
        </is>
      </c>
      <c r="G633" s="3" t="inlineStr">
        <is>
          <t>24445360</t>
        </is>
      </c>
      <c r="H633" s="3" t="inlineStr">
        <is>
          <t>Andre Pacheco</t>
        </is>
      </c>
      <c r="I633" s="3" t="inlineStr">
        <is>
          <t>Estratégico</t>
        </is>
      </c>
      <c r="J633" s="2" t="n">
        <v>417</v>
      </c>
      <c r="K633" s="3" t="inlineStr">
        <is>
          <t>Semana 4</t>
        </is>
      </c>
      <c r="L633" s="3" t="inlineStr">
        <is>
          <t>Alta</t>
        </is>
      </c>
      <c r="M633" s="3" t="inlineStr">
        <is>
          <t>chave 632</t>
        </is>
      </c>
    </row>
    <row r="634">
      <c r="A634" s="2" t="n">
        <v>633</v>
      </c>
      <c r="B634" s="3" t="inlineStr">
        <is>
          <t xml:space="preserve">GERALDO D LOPES GOMES </t>
        </is>
      </c>
      <c r="C634" s="3" t="inlineStr">
        <is>
          <t>SUDESTE</t>
        </is>
      </c>
      <c r="D634" s="3" t="inlineStr">
        <is>
          <t>RJ</t>
        </is>
      </c>
      <c r="E634" s="3" t="inlineStr">
        <is>
          <t>VOLTA REDONDA</t>
        </is>
      </c>
      <c r="F634" s="3" t="inlineStr">
        <is>
          <t xml:space="preserve">VILA SANTA CECILIA </t>
        </is>
      </c>
      <c r="G634" s="3" t="inlineStr">
        <is>
          <t>27260110</t>
        </is>
      </c>
      <c r="H634" s="3" t="inlineStr">
        <is>
          <t>Andressa</t>
        </is>
      </c>
      <c r="I634" s="3" t="inlineStr">
        <is>
          <t>Médio</t>
        </is>
      </c>
      <c r="J634" s="2" t="n">
        <v>417</v>
      </c>
      <c r="K634" s="3" t="inlineStr">
        <is>
          <t>Semana 4</t>
        </is>
      </c>
      <c r="L634" s="3" t="inlineStr">
        <is>
          <t>Normal</t>
        </is>
      </c>
      <c r="M634" s="3" t="inlineStr">
        <is>
          <t>chave 633</t>
        </is>
      </c>
    </row>
    <row r="635">
      <c r="A635" s="2" t="n">
        <v>634</v>
      </c>
      <c r="B635" s="3" t="inlineStr">
        <is>
          <t xml:space="preserve">BAZAR BRINQUELANDIA LTDA </t>
        </is>
      </c>
      <c r="C635" s="3" t="inlineStr">
        <is>
          <t>SUDESTE</t>
        </is>
      </c>
      <c r="D635" s="3" t="inlineStr">
        <is>
          <t>RJ</t>
        </is>
      </c>
      <c r="E635" s="3" t="inlineStr">
        <is>
          <t>RIO DE JANEIRO</t>
        </is>
      </c>
      <c r="F635" s="3" t="inlineStr">
        <is>
          <t xml:space="preserve">LEBLON </t>
        </is>
      </c>
      <c r="G635" s="3" t="inlineStr">
        <is>
          <t>22440035</t>
        </is>
      </c>
      <c r="H635" s="3" t="inlineStr">
        <is>
          <t>Andre Pacheco</t>
        </is>
      </c>
      <c r="I635" s="3" t="inlineStr">
        <is>
          <t>Estratégico</t>
        </is>
      </c>
      <c r="J635" s="2" t="n">
        <v>417</v>
      </c>
      <c r="K635" s="3" t="inlineStr">
        <is>
          <t>Semana 2</t>
        </is>
      </c>
      <c r="L635" s="3" t="inlineStr">
        <is>
          <t>Alta</t>
        </is>
      </c>
      <c r="M635" s="3" t="inlineStr">
        <is>
          <t>chave 634</t>
        </is>
      </c>
    </row>
    <row r="636">
      <c r="A636" s="2" t="n">
        <v>635</v>
      </c>
      <c r="B636" s="3" t="inlineStr">
        <is>
          <t xml:space="preserve">SEPOL COMERCIO CABO FRIO LTDA </t>
        </is>
      </c>
      <c r="C636" s="3" t="inlineStr">
        <is>
          <t>SUDESTE</t>
        </is>
      </c>
      <c r="D636" s="3" t="inlineStr">
        <is>
          <t>RJ</t>
        </is>
      </c>
      <c r="E636" s="3" t="inlineStr">
        <is>
          <t>CABO FRIO</t>
        </is>
      </c>
      <c r="F636" s="3" t="inlineStr">
        <is>
          <t xml:space="preserve">CENTRO </t>
        </is>
      </c>
      <c r="G636" s="3" t="inlineStr">
        <is>
          <t>28905220</t>
        </is>
      </c>
      <c r="H636" s="3" t="inlineStr">
        <is>
          <t>Andressa</t>
        </is>
      </c>
      <c r="I636" s="3" t="inlineStr">
        <is>
          <t>Forte</t>
        </is>
      </c>
      <c r="J636" s="2" t="n">
        <v>417</v>
      </c>
      <c r="K636" s="3" t="inlineStr">
        <is>
          <t>Semana 2</t>
        </is>
      </c>
      <c r="L636" s="3" t="inlineStr">
        <is>
          <t>Média</t>
        </is>
      </c>
      <c r="M636" s="3" t="inlineStr">
        <is>
          <t>chave 635</t>
        </is>
      </c>
    </row>
    <row r="637">
      <c r="A637" s="2" t="n">
        <v>636</v>
      </c>
      <c r="B637" s="3" t="inlineStr">
        <is>
          <t xml:space="preserve">LAXMY PAPELARIA COMERCIO E DISTRIBUIDORA LTDA </t>
        </is>
      </c>
      <c r="C637" s="3" t="inlineStr">
        <is>
          <t>SUDESTE</t>
        </is>
      </c>
      <c r="D637" s="3" t="inlineStr">
        <is>
          <t>RJ</t>
        </is>
      </c>
      <c r="E637" s="3" t="inlineStr">
        <is>
          <t>RIO DAS OSTRAS</t>
        </is>
      </c>
      <c r="F637" s="3" t="inlineStr">
        <is>
          <t xml:space="preserve">JARDIM MARILEA </t>
        </is>
      </c>
      <c r="G637" s="3" t="inlineStr">
        <is>
          <t>28896070</t>
        </is>
      </c>
      <c r="H637" s="3" t="inlineStr">
        <is>
          <t>Andressa</t>
        </is>
      </c>
      <c r="I637" s="3" t="inlineStr">
        <is>
          <t>Médio</t>
        </is>
      </c>
      <c r="J637" s="2" t="n">
        <v>417</v>
      </c>
      <c r="K637" s="3" t="inlineStr">
        <is>
          <t>Semana 4</t>
        </is>
      </c>
      <c r="L637" s="3" t="inlineStr">
        <is>
          <t>Normal</t>
        </is>
      </c>
      <c r="M637" s="3" t="inlineStr">
        <is>
          <t>chave 636</t>
        </is>
      </c>
    </row>
    <row r="638">
      <c r="A638" s="2" t="n">
        <v>637</v>
      </c>
      <c r="B638" s="3" t="inlineStr">
        <is>
          <t xml:space="preserve">CONNECTION QUISSA COM. E SERV. LTDA </t>
        </is>
      </c>
      <c r="C638" s="3" t="inlineStr">
        <is>
          <t>SUDESTE</t>
        </is>
      </c>
      <c r="D638" s="3" t="inlineStr">
        <is>
          <t>RJ</t>
        </is>
      </c>
      <c r="E638" s="3" t="inlineStr">
        <is>
          <t>Quissamã</t>
        </is>
      </c>
      <c r="F638" s="3" t="inlineStr">
        <is>
          <t xml:space="preserve">CENTRO </t>
        </is>
      </c>
      <c r="G638" s="3" t="inlineStr">
        <is>
          <t>28735000</t>
        </is>
      </c>
      <c r="H638" s="3" t="inlineStr">
        <is>
          <t>Andressa</t>
        </is>
      </c>
      <c r="I638" s="3" t="inlineStr">
        <is>
          <t>Médio</t>
        </is>
      </c>
      <c r="J638" s="2" t="n">
        <v>417</v>
      </c>
      <c r="K638" s="3" t="inlineStr">
        <is>
          <t>Semana 4</t>
        </is>
      </c>
      <c r="L638" s="3" t="inlineStr">
        <is>
          <t>Normal</t>
        </is>
      </c>
      <c r="M638" s="3" t="inlineStr">
        <is>
          <t>chave 637</t>
        </is>
      </c>
    </row>
    <row r="639">
      <c r="A639" s="2" t="n">
        <v>638</v>
      </c>
      <c r="B639" s="3" t="inlineStr">
        <is>
          <t xml:space="preserve">S.P.S PRESENTES LTDA </t>
        </is>
      </c>
      <c r="C639" s="3" t="inlineStr">
        <is>
          <t>SUDESTE</t>
        </is>
      </c>
      <c r="D639" s="3" t="inlineStr">
        <is>
          <t>RJ</t>
        </is>
      </c>
      <c r="E639" s="3" t="inlineStr">
        <is>
          <t>RIO DE JANEIRO</t>
        </is>
      </c>
      <c r="F639" s="3" t="inlineStr">
        <is>
          <t xml:space="preserve">ILHA DO GOVERNADOR </t>
        </is>
      </c>
      <c r="G639" s="3" t="inlineStr">
        <is>
          <t>21921001</t>
        </is>
      </c>
      <c r="H639" s="3" t="inlineStr">
        <is>
          <t>Andre Pacheco</t>
        </is>
      </c>
      <c r="I639" s="3" t="inlineStr">
        <is>
          <t>Estratégico</t>
        </is>
      </c>
      <c r="J639" s="2" t="n">
        <v>417</v>
      </c>
      <c r="K639" s="3" t="inlineStr">
        <is>
          <t>Semana 2</t>
        </is>
      </c>
      <c r="L639" s="3" t="inlineStr">
        <is>
          <t>Alta</t>
        </is>
      </c>
      <c r="M639" s="3" t="inlineStr">
        <is>
          <t>chave 638</t>
        </is>
      </c>
    </row>
    <row r="640">
      <c r="A640" s="2" t="n">
        <v>639</v>
      </c>
      <c r="B640" s="3" t="inlineStr">
        <is>
          <t xml:space="preserve">DC ATACADO LTDA </t>
        </is>
      </c>
      <c r="C640" s="3" t="inlineStr">
        <is>
          <t>SUDESTE</t>
        </is>
      </c>
      <c r="D640" s="3" t="inlineStr">
        <is>
          <t>RJ</t>
        </is>
      </c>
      <c r="E640" s="3" t="inlineStr">
        <is>
          <t>SUMIDOURO</t>
        </is>
      </c>
      <c r="F640" s="3" t="inlineStr">
        <is>
          <t xml:space="preserve">ASA SUL </t>
        </is>
      </c>
      <c r="G640" s="3" t="inlineStr">
        <is>
          <t>28637000</t>
        </is>
      </c>
      <c r="H640" s="3" t="inlineStr">
        <is>
          <t>Andressa</t>
        </is>
      </c>
      <c r="I640" s="3" t="inlineStr">
        <is>
          <t>Médio</t>
        </is>
      </c>
      <c r="J640" s="2" t="n">
        <v>417</v>
      </c>
      <c r="K640" s="3" t="inlineStr">
        <is>
          <t>Semana 4</t>
        </is>
      </c>
      <c r="L640" s="3" t="inlineStr">
        <is>
          <t>Normal</t>
        </is>
      </c>
      <c r="M640" s="3" t="inlineStr">
        <is>
          <t>chave 639</t>
        </is>
      </c>
    </row>
    <row r="641">
      <c r="A641" s="2" t="n">
        <v>640</v>
      </c>
      <c r="B641" s="3" t="inlineStr">
        <is>
          <t xml:space="preserve">F. B. A. EMBALAGENS, DESCARTAVEIS E PAPELARIA LTDA </t>
        </is>
      </c>
      <c r="C641" s="3" t="inlineStr">
        <is>
          <t>SUDESTE</t>
        </is>
      </c>
      <c r="D641" s="3" t="inlineStr">
        <is>
          <t>RJ</t>
        </is>
      </c>
      <c r="E641" s="3" t="inlineStr">
        <is>
          <t>CAMPOS DOS GOYTACAZES</t>
        </is>
      </c>
      <c r="F641" s="3" t="inlineStr">
        <is>
          <t xml:space="preserve">PQ JARDIM CARIOCA </t>
        </is>
      </c>
      <c r="G641" s="3" t="inlineStr">
        <is>
          <t>28080425</t>
        </is>
      </c>
      <c r="H641" s="3" t="inlineStr">
        <is>
          <t>Andressa</t>
        </is>
      </c>
      <c r="I641" s="3" t="inlineStr">
        <is>
          <t>Forte</t>
        </is>
      </c>
      <c r="J641" s="2" t="n">
        <v>417</v>
      </c>
      <c r="K641" s="3" t="inlineStr">
        <is>
          <t>Semana 2</t>
        </is>
      </c>
      <c r="L641" s="3" t="inlineStr">
        <is>
          <t>Média</t>
        </is>
      </c>
      <c r="M641" s="3" t="inlineStr">
        <is>
          <t>chave 640</t>
        </is>
      </c>
    </row>
    <row r="642">
      <c r="A642" s="2" t="n">
        <v>641</v>
      </c>
      <c r="B642" s="3" t="inlineStr">
        <is>
          <t xml:space="preserve">MJS DUARTE LTDA </t>
        </is>
      </c>
      <c r="C642" s="3" t="inlineStr">
        <is>
          <t>SUDESTE</t>
        </is>
      </c>
      <c r="D642" s="3" t="inlineStr">
        <is>
          <t>RJ</t>
        </is>
      </c>
      <c r="E642" s="3" t="inlineStr">
        <is>
          <t>RIO DE JANEIRO</t>
        </is>
      </c>
      <c r="F642" s="3" t="inlineStr">
        <is>
          <t xml:space="preserve">CENTRO </t>
        </is>
      </c>
      <c r="G642" s="3" t="inlineStr">
        <is>
          <t>20081000</t>
        </is>
      </c>
      <c r="H642" s="3" t="inlineStr">
        <is>
          <t>Andre Pacheco</t>
        </is>
      </c>
      <c r="I642" s="3" t="inlineStr">
        <is>
          <t>Estratégico</t>
        </is>
      </c>
      <c r="J642" s="2" t="n">
        <v>417</v>
      </c>
      <c r="K642" s="3" t="inlineStr">
        <is>
          <t>Semana 2</t>
        </is>
      </c>
      <c r="L642" s="3" t="inlineStr">
        <is>
          <t>Alta</t>
        </is>
      </c>
      <c r="M642" s="3" t="inlineStr">
        <is>
          <t>chave 641</t>
        </is>
      </c>
    </row>
    <row r="643">
      <c r="A643" s="2" t="n">
        <v>642</v>
      </c>
      <c r="B643" s="3" t="inlineStr">
        <is>
          <t xml:space="preserve">GESSE CAITANO DE OLIVEIRA PAPELARIA </t>
        </is>
      </c>
      <c r="C643" s="3" t="inlineStr">
        <is>
          <t>SUDESTE</t>
        </is>
      </c>
      <c r="D643" s="3" t="inlineStr">
        <is>
          <t>RJ</t>
        </is>
      </c>
      <c r="E643" s="3" t="inlineStr">
        <is>
          <t>BELFORD ROXO</t>
        </is>
      </c>
      <c r="F643" s="3" t="inlineStr">
        <is>
          <t xml:space="preserve">PIAM </t>
        </is>
      </c>
      <c r="G643" s="3" t="inlineStr">
        <is>
          <t>26112180</t>
        </is>
      </c>
      <c r="H643" s="3" t="inlineStr">
        <is>
          <t>Andre Pacheco</t>
        </is>
      </c>
      <c r="I643" s="3" t="inlineStr">
        <is>
          <t>Médio</t>
        </is>
      </c>
      <c r="J643" s="2" t="n">
        <v>417</v>
      </c>
      <c r="K643" s="3" t="inlineStr">
        <is>
          <t>Semana 4</t>
        </is>
      </c>
      <c r="L643" s="3" t="inlineStr">
        <is>
          <t>Normal</t>
        </is>
      </c>
      <c r="M643" s="3" t="inlineStr">
        <is>
          <t>chave 642</t>
        </is>
      </c>
    </row>
    <row r="644">
      <c r="A644" s="2" t="n">
        <v>643</v>
      </c>
      <c r="B644" s="3" t="inlineStr">
        <is>
          <t xml:space="preserve">RAINHA DOS DOCES LTDA </t>
        </is>
      </c>
      <c r="C644" s="3" t="inlineStr">
        <is>
          <t>SUDESTE</t>
        </is>
      </c>
      <c r="D644" s="3" t="inlineStr">
        <is>
          <t>RJ</t>
        </is>
      </c>
      <c r="E644" s="3" t="inlineStr">
        <is>
          <t>CAMPOS DOS GOYTACAZES</t>
        </is>
      </c>
      <c r="F644" s="3" t="inlineStr">
        <is>
          <t xml:space="preserve">CENTRO </t>
        </is>
      </c>
      <c r="G644" s="3" t="inlineStr">
        <is>
          <t>28010802</t>
        </is>
      </c>
      <c r="H644" s="3" t="inlineStr">
        <is>
          <t>Andressa</t>
        </is>
      </c>
      <c r="I644" s="3" t="inlineStr">
        <is>
          <t>Forte</t>
        </is>
      </c>
      <c r="J644" s="2" t="n">
        <v>417</v>
      </c>
      <c r="K644" s="3" t="inlineStr">
        <is>
          <t>Semana 2</t>
        </is>
      </c>
      <c r="L644" s="3" t="inlineStr">
        <is>
          <t>Média</t>
        </is>
      </c>
      <c r="M644" s="3" t="inlineStr">
        <is>
          <t>chave 643</t>
        </is>
      </c>
    </row>
    <row r="645">
      <c r="A645" s="2" t="n">
        <v>644</v>
      </c>
      <c r="B645" s="3" t="inlineStr">
        <is>
          <t xml:space="preserve">P W DE SOUZA LTDA </t>
        </is>
      </c>
      <c r="C645" s="3" t="inlineStr">
        <is>
          <t>SUDESTE</t>
        </is>
      </c>
      <c r="D645" s="3" t="inlineStr">
        <is>
          <t>RJ</t>
        </is>
      </c>
      <c r="E645" s="3" t="inlineStr">
        <is>
          <t>São Fidélis</t>
        </is>
      </c>
      <c r="F645" s="3" t="inlineStr">
        <is>
          <t xml:space="preserve">CENTRO </t>
        </is>
      </c>
      <c r="G645" s="3" t="inlineStr">
        <is>
          <t>28400000</t>
        </is>
      </c>
      <c r="H645" s="3" t="inlineStr">
        <is>
          <t>Andressa</t>
        </is>
      </c>
      <c r="I645" s="3" t="inlineStr">
        <is>
          <t>Médio</t>
        </is>
      </c>
      <c r="J645" s="2" t="n">
        <v>417</v>
      </c>
      <c r="K645" s="3" t="inlineStr">
        <is>
          <t>Semana 4</t>
        </is>
      </c>
      <c r="L645" s="3" t="inlineStr">
        <is>
          <t>Normal</t>
        </is>
      </c>
      <c r="M645" s="3" t="inlineStr">
        <is>
          <t>chave 644</t>
        </is>
      </c>
    </row>
    <row r="646">
      <c r="A646" s="2" t="n">
        <v>645</v>
      </c>
      <c r="B646" s="3" t="inlineStr">
        <is>
          <t xml:space="preserve">HHR JW RIO DE JANEIRO INVESTIMENTOS HOTELEIROS LTDA </t>
        </is>
      </c>
      <c r="C646" s="3" t="inlineStr">
        <is>
          <t>SUDESTE</t>
        </is>
      </c>
      <c r="D646" s="3" t="inlineStr">
        <is>
          <t>RJ</t>
        </is>
      </c>
      <c r="E646" s="3" t="inlineStr">
        <is>
          <t>RIO DE JANEIRO</t>
        </is>
      </c>
      <c r="F646" s="3" t="inlineStr">
        <is>
          <t xml:space="preserve">COPACABANA </t>
        </is>
      </c>
      <c r="G646" s="3" t="inlineStr">
        <is>
          <t>22041001</t>
        </is>
      </c>
      <c r="H646" s="3" t="inlineStr">
        <is>
          <t>Andre Pacheco</t>
        </is>
      </c>
      <c r="I646" s="3" t="inlineStr">
        <is>
          <t>Estratégico</t>
        </is>
      </c>
      <c r="J646" s="2" t="n">
        <v>417</v>
      </c>
      <c r="K646" s="3" t="inlineStr">
        <is>
          <t>Semana 2</t>
        </is>
      </c>
      <c r="L646" s="3" t="inlineStr">
        <is>
          <t>Alta</t>
        </is>
      </c>
      <c r="M646" s="3" t="inlineStr">
        <is>
          <t>chave 645</t>
        </is>
      </c>
    </row>
    <row r="647">
      <c r="A647" s="2" t="n">
        <v>646</v>
      </c>
      <c r="B647" s="3" t="inlineStr">
        <is>
          <t xml:space="preserve">POLO DISTRIBUIDORA E PRESTADORA DE SERVICOS LTDA </t>
        </is>
      </c>
      <c r="C647" s="3" t="inlineStr">
        <is>
          <t>SUDESTE</t>
        </is>
      </c>
      <c r="D647" s="3" t="inlineStr">
        <is>
          <t>RJ</t>
        </is>
      </c>
      <c r="E647" s="3" t="inlineStr">
        <is>
          <t>Rio de Janeiro</t>
        </is>
      </c>
      <c r="F647" s="3" t="inlineStr">
        <is>
          <t xml:space="preserve">MAGALHAES BASTOS </t>
        </is>
      </c>
      <c r="G647" s="3" t="inlineStr">
        <is>
          <t>21750320</t>
        </is>
      </c>
      <c r="H647" s="3" t="inlineStr">
        <is>
          <t>Andre Pacheco</t>
        </is>
      </c>
      <c r="I647" s="3" t="inlineStr">
        <is>
          <t>Estratégico</t>
        </is>
      </c>
      <c r="J647" s="2" t="n">
        <v>417</v>
      </c>
      <c r="K647" s="3" t="inlineStr">
        <is>
          <t>Semana 3</t>
        </is>
      </c>
      <c r="L647" s="3" t="inlineStr">
        <is>
          <t>Alta</t>
        </is>
      </c>
      <c r="M647" s="3" t="inlineStr">
        <is>
          <t>chave 646</t>
        </is>
      </c>
    </row>
    <row r="648">
      <c r="A648" s="2" t="n">
        <v>647</v>
      </c>
      <c r="B648" s="3" t="inlineStr">
        <is>
          <t xml:space="preserve">COMERCIAL KING DE MADUREIRA LTDA </t>
        </is>
      </c>
      <c r="C648" s="3" t="inlineStr">
        <is>
          <t>SUDESTE</t>
        </is>
      </c>
      <c r="D648" s="3" t="inlineStr">
        <is>
          <t>RJ</t>
        </is>
      </c>
      <c r="E648" s="3" t="inlineStr">
        <is>
          <t>Rio de Janeiro</t>
        </is>
      </c>
      <c r="F648" s="3" t="inlineStr">
        <is>
          <t xml:space="preserve">MADUREIRA </t>
        </is>
      </c>
      <c r="G648" s="3" t="inlineStr">
        <is>
          <t>21360000</t>
        </is>
      </c>
      <c r="H648" s="3" t="inlineStr">
        <is>
          <t>Andre Pacheco</t>
        </is>
      </c>
      <c r="I648" s="3" t="inlineStr">
        <is>
          <t>Estratégico</t>
        </is>
      </c>
      <c r="J648" s="2" t="n">
        <v>417</v>
      </c>
      <c r="K648" s="3" t="inlineStr">
        <is>
          <t>Semana 3</t>
        </is>
      </c>
      <c r="L648" s="3" t="inlineStr">
        <is>
          <t>Alta</t>
        </is>
      </c>
      <c r="M648" s="3" t="inlineStr">
        <is>
          <t>chave 647</t>
        </is>
      </c>
    </row>
    <row r="649">
      <c r="A649" s="2" t="n">
        <v>648</v>
      </c>
      <c r="B649" s="3" t="inlineStr">
        <is>
          <t xml:space="preserve">IDEAL PAPEIS E CIA LTDA </t>
        </is>
      </c>
      <c r="C649" s="3" t="inlineStr">
        <is>
          <t>SUDESTE</t>
        </is>
      </c>
      <c r="D649" s="3" t="inlineStr">
        <is>
          <t>RJ</t>
        </is>
      </c>
      <c r="E649" s="3" t="inlineStr">
        <is>
          <t>CABO FRIO</t>
        </is>
      </c>
      <c r="F649" s="3" t="inlineStr">
        <is>
          <t xml:space="preserve">JARDIM ESPERANCA </t>
        </is>
      </c>
      <c r="G649" s="3" t="inlineStr">
        <is>
          <t>28920000</t>
        </is>
      </c>
      <c r="H649" s="3" t="inlineStr">
        <is>
          <t>Andressa</t>
        </is>
      </c>
      <c r="I649" s="3" t="inlineStr">
        <is>
          <t>Forte</t>
        </is>
      </c>
      <c r="J649" s="2" t="n">
        <v>417</v>
      </c>
      <c r="K649" s="3" t="inlineStr">
        <is>
          <t>Semana 2</t>
        </is>
      </c>
      <c r="L649" s="3" t="inlineStr">
        <is>
          <t>Média</t>
        </is>
      </c>
      <c r="M649" s="3" t="inlineStr">
        <is>
          <t>chave 648</t>
        </is>
      </c>
    </row>
    <row r="650">
      <c r="A650" s="2" t="n">
        <v>649</v>
      </c>
      <c r="B650" s="3" t="inlineStr">
        <is>
          <t xml:space="preserve">LUBAVAS FRIBURGO PAPELARIA LTDA </t>
        </is>
      </c>
      <c r="C650" s="3" t="inlineStr">
        <is>
          <t>SUDESTE</t>
        </is>
      </c>
      <c r="D650" s="3" t="inlineStr">
        <is>
          <t>RJ</t>
        </is>
      </c>
      <c r="E650" s="3" t="inlineStr">
        <is>
          <t>NOVA FRIBURGO</t>
        </is>
      </c>
      <c r="F650" s="3" t="inlineStr">
        <is>
          <t xml:space="preserve">CENTRO </t>
        </is>
      </c>
      <c r="G650" s="3" t="inlineStr">
        <is>
          <t>28610005</t>
        </is>
      </c>
      <c r="H650" s="3" t="inlineStr">
        <is>
          <t>Andressa</t>
        </is>
      </c>
      <c r="I650" s="3" t="inlineStr">
        <is>
          <t>Forte</t>
        </is>
      </c>
      <c r="J650" s="2" t="n">
        <v>417</v>
      </c>
      <c r="K650" s="3" t="inlineStr">
        <is>
          <t>Semana 2</t>
        </is>
      </c>
      <c r="L650" s="3" t="inlineStr">
        <is>
          <t>Média</t>
        </is>
      </c>
      <c r="M650" s="3" t="inlineStr">
        <is>
          <t>chave 649</t>
        </is>
      </c>
    </row>
    <row r="651">
      <c r="A651" s="2" t="n">
        <v>650</v>
      </c>
      <c r="B651" s="3" t="inlineStr">
        <is>
          <t xml:space="preserve">NEW PAPER PAPELARIA E UTILIDADES LTDA </t>
        </is>
      </c>
      <c r="C651" s="3" t="inlineStr">
        <is>
          <t>SUDESTE</t>
        </is>
      </c>
      <c r="D651" s="3" t="inlineStr">
        <is>
          <t>RJ</t>
        </is>
      </c>
      <c r="E651" s="3" t="inlineStr">
        <is>
          <t>Nova Friburgo</t>
        </is>
      </c>
      <c r="F651" s="3" t="inlineStr">
        <is>
          <t xml:space="preserve">CENTRO </t>
        </is>
      </c>
      <c r="G651" s="3" t="inlineStr">
        <is>
          <t>28610050</t>
        </is>
      </c>
      <c r="H651" s="3" t="inlineStr">
        <is>
          <t>Andressa</t>
        </is>
      </c>
      <c r="I651" s="3" t="inlineStr">
        <is>
          <t>Forte</t>
        </is>
      </c>
      <c r="J651" s="2" t="n">
        <v>417</v>
      </c>
      <c r="K651" s="3" t="inlineStr">
        <is>
          <t>Semana 2</t>
        </is>
      </c>
      <c r="L651" s="3" t="inlineStr">
        <is>
          <t>Média</t>
        </is>
      </c>
      <c r="M651" s="3" t="inlineStr">
        <is>
          <t>chave 650</t>
        </is>
      </c>
    </row>
    <row r="652">
      <c r="A652" s="2" t="n">
        <v>651</v>
      </c>
      <c r="B652" s="3" t="inlineStr">
        <is>
          <t xml:space="preserve">NOVA RIO CARGAS TRANSPORTE E LOGISTICA LTDA </t>
        </is>
      </c>
      <c r="C652" s="3" t="inlineStr">
        <is>
          <t>SUDESTE</t>
        </is>
      </c>
      <c r="D652" s="3" t="inlineStr">
        <is>
          <t>RJ</t>
        </is>
      </c>
      <c r="E652" s="3" t="inlineStr">
        <is>
          <t>RIO DE JANEIRO</t>
        </is>
      </c>
      <c r="F652" s="3" t="inlineStr">
        <is>
          <t xml:space="preserve">PAVUNA </t>
        </is>
      </c>
      <c r="G652" s="3" t="inlineStr">
        <is>
          <t>21535490</t>
        </is>
      </c>
      <c r="H652" s="3" t="inlineStr">
        <is>
          <t>Andre Pacheco</t>
        </is>
      </c>
      <c r="I652" s="3" t="inlineStr">
        <is>
          <t>Estratégico</t>
        </is>
      </c>
      <c r="J652" s="2" t="n">
        <v>417</v>
      </c>
      <c r="K652" s="3" t="inlineStr">
        <is>
          <t>Semana 2</t>
        </is>
      </c>
      <c r="L652" s="3" t="inlineStr">
        <is>
          <t>Alta</t>
        </is>
      </c>
      <c r="M652" s="3" t="inlineStr">
        <is>
          <t>chave 651</t>
        </is>
      </c>
    </row>
    <row r="653">
      <c r="A653" s="2" t="n">
        <v>652</v>
      </c>
      <c r="B653" s="3" t="inlineStr">
        <is>
          <t xml:space="preserve">STANFORD NORTE LIVRARIA E PAPELARIA LTDA EPP </t>
        </is>
      </c>
      <c r="C653" s="3" t="inlineStr">
        <is>
          <t>SUDESTE</t>
        </is>
      </c>
      <c r="D653" s="3" t="inlineStr">
        <is>
          <t>RJ</t>
        </is>
      </c>
      <c r="E653" s="3" t="inlineStr">
        <is>
          <t>RIO DE JANEIRO</t>
        </is>
      </c>
      <c r="F653" s="3" t="inlineStr">
        <is>
          <t xml:space="preserve">CACHAMBI </t>
        </is>
      </c>
      <c r="G653" s="3" t="inlineStr">
        <is>
          <t>20751003</t>
        </is>
      </c>
      <c r="H653" s="3" t="inlineStr">
        <is>
          <t>Andre Pacheco</t>
        </is>
      </c>
      <c r="I653" s="3" t="inlineStr">
        <is>
          <t>Estratégico</t>
        </is>
      </c>
      <c r="J653" s="2" t="n">
        <v>417</v>
      </c>
      <c r="K653" s="3" t="inlineStr">
        <is>
          <t>Semana 3</t>
        </is>
      </c>
      <c r="L653" s="3" t="inlineStr">
        <is>
          <t>Alta</t>
        </is>
      </c>
      <c r="M653" s="3" t="inlineStr">
        <is>
          <t>chave 652</t>
        </is>
      </c>
    </row>
    <row r="654">
      <c r="A654" s="2" t="n">
        <v>653</v>
      </c>
      <c r="B654" s="3" t="inlineStr">
        <is>
          <t xml:space="preserve">PAPELARIA ESCOLAR LTDA </t>
        </is>
      </c>
      <c r="C654" s="3" t="inlineStr">
        <is>
          <t>SUDESTE</t>
        </is>
      </c>
      <c r="D654" s="3" t="inlineStr">
        <is>
          <t>RJ</t>
        </is>
      </c>
      <c r="E654" s="3" t="inlineStr">
        <is>
          <t>VOLTA REDONDA</t>
        </is>
      </c>
      <c r="F654" s="3" t="inlineStr">
        <is>
          <t xml:space="preserve">STA CECILIA </t>
        </is>
      </c>
      <c r="G654" s="3" t="inlineStr">
        <is>
          <t>27211130</t>
        </is>
      </c>
      <c r="H654" s="3" t="inlineStr">
        <is>
          <t>Andressa</t>
        </is>
      </c>
      <c r="I654" s="3" t="inlineStr">
        <is>
          <t>Médio</t>
        </is>
      </c>
      <c r="J654" s="2" t="n">
        <v>417</v>
      </c>
      <c r="K654" s="3" t="inlineStr">
        <is>
          <t>Semana 4</t>
        </is>
      </c>
      <c r="L654" s="3" t="inlineStr">
        <is>
          <t>Normal</t>
        </is>
      </c>
      <c r="M654" s="3" t="inlineStr">
        <is>
          <t>chave 653</t>
        </is>
      </c>
    </row>
    <row r="655">
      <c r="A655" s="2" t="n">
        <v>654</v>
      </c>
      <c r="B655" s="3" t="inlineStr">
        <is>
          <t xml:space="preserve">S A B RAMOS COMERCIO DE UTILIDADES PARA O LAR LTDA </t>
        </is>
      </c>
      <c r="C655" s="3" t="inlineStr">
        <is>
          <t>SUDESTE</t>
        </is>
      </c>
      <c r="D655" s="3" t="inlineStr">
        <is>
          <t>RJ</t>
        </is>
      </c>
      <c r="E655" s="3" t="inlineStr">
        <is>
          <t>Macaé</t>
        </is>
      </c>
      <c r="F655" s="3" t="inlineStr">
        <is>
          <t xml:space="preserve">CENTRO </t>
        </is>
      </c>
      <c r="G655" s="3" t="inlineStr">
        <is>
          <t>27910110</t>
        </is>
      </c>
      <c r="H655" s="3" t="inlineStr">
        <is>
          <t>Andressa</t>
        </is>
      </c>
      <c r="I655" s="3" t="inlineStr">
        <is>
          <t>Forte</t>
        </is>
      </c>
      <c r="J655" s="2" t="n">
        <v>417</v>
      </c>
      <c r="K655" s="3" t="inlineStr">
        <is>
          <t>Semana 2</t>
        </is>
      </c>
      <c r="L655" s="3" t="inlineStr">
        <is>
          <t>Média</t>
        </is>
      </c>
      <c r="M655" s="3" t="inlineStr">
        <is>
          <t>chave 654</t>
        </is>
      </c>
    </row>
    <row r="656">
      <c r="A656" s="2" t="n">
        <v>655</v>
      </c>
      <c r="B656" s="3" t="inlineStr">
        <is>
          <t xml:space="preserve">BAZAR BEVERLY LTDA </t>
        </is>
      </c>
      <c r="C656" s="3" t="inlineStr">
        <is>
          <t>SUDESTE</t>
        </is>
      </c>
      <c r="D656" s="3" t="inlineStr">
        <is>
          <t>RJ</t>
        </is>
      </c>
      <c r="E656" s="3" t="inlineStr">
        <is>
          <t>MIRACEMA</t>
        </is>
      </c>
      <c r="F656" s="3" t="inlineStr">
        <is>
          <t xml:space="preserve">SANTA TERESA </t>
        </is>
      </c>
      <c r="G656" s="3" t="inlineStr">
        <is>
          <t>28460000</t>
        </is>
      </c>
      <c r="H656" s="3" t="inlineStr">
        <is>
          <t>Andressa</t>
        </is>
      </c>
      <c r="I656" s="3" t="inlineStr">
        <is>
          <t>Médio</t>
        </is>
      </c>
      <c r="J656" s="2" t="n">
        <v>417</v>
      </c>
      <c r="K656" s="3" t="inlineStr">
        <is>
          <t>Semana 4</t>
        </is>
      </c>
      <c r="L656" s="3" t="inlineStr">
        <is>
          <t>Normal</t>
        </is>
      </c>
      <c r="M656" s="3" t="inlineStr">
        <is>
          <t>chave 655</t>
        </is>
      </c>
    </row>
    <row r="657">
      <c r="A657" s="2" t="n">
        <v>656</v>
      </c>
      <c r="B657" s="3" t="inlineStr">
        <is>
          <t xml:space="preserve">OFFICE PAPER COMERCIO DE PAPEIS LTDA </t>
        </is>
      </c>
      <c r="C657" s="3" t="inlineStr">
        <is>
          <t>SUDESTE</t>
        </is>
      </c>
      <c r="D657" s="3" t="inlineStr">
        <is>
          <t>RJ</t>
        </is>
      </c>
      <c r="E657" s="3" t="inlineStr">
        <is>
          <t>São Fidélis</t>
        </is>
      </c>
      <c r="F657" s="3" t="inlineStr">
        <is>
          <t xml:space="preserve">CENTRO </t>
        </is>
      </c>
      <c r="G657" s="3" t="inlineStr">
        <is>
          <t>28400000</t>
        </is>
      </c>
      <c r="H657" s="3" t="inlineStr">
        <is>
          <t>Andressa</t>
        </is>
      </c>
      <c r="I657" s="3" t="inlineStr">
        <is>
          <t>Médio</t>
        </is>
      </c>
      <c r="J657" s="2" t="n">
        <v>417</v>
      </c>
      <c r="K657" s="3" t="inlineStr">
        <is>
          <t>Semana 4</t>
        </is>
      </c>
      <c r="L657" s="3" t="inlineStr">
        <is>
          <t>Normal</t>
        </is>
      </c>
      <c r="M657" s="3" t="inlineStr">
        <is>
          <t>chave 656</t>
        </is>
      </c>
    </row>
    <row r="658">
      <c r="A658" s="2" t="n">
        <v>657</v>
      </c>
      <c r="B658" s="3" t="inlineStr">
        <is>
          <t xml:space="preserve">AGM ATACADO DIGITAL LTDA </t>
        </is>
      </c>
      <c r="C658" s="3" t="inlineStr">
        <is>
          <t>SUDESTE</t>
        </is>
      </c>
      <c r="D658" s="3" t="inlineStr">
        <is>
          <t>RJ</t>
        </is>
      </c>
      <c r="E658" s="3" t="inlineStr">
        <is>
          <t>SÃO GONÇALO</t>
        </is>
      </c>
      <c r="F658" s="3" t="inlineStr">
        <is>
          <t xml:space="preserve">BARRO VERMELHO </t>
        </is>
      </c>
      <c r="G658" s="3" t="inlineStr">
        <is>
          <t>24416010</t>
        </is>
      </c>
      <c r="H658" s="3" t="inlineStr">
        <is>
          <t>Andre Pacheco</t>
        </is>
      </c>
      <c r="I658" s="3" t="inlineStr">
        <is>
          <t>Estratégico</t>
        </is>
      </c>
      <c r="J658" s="2" t="n">
        <v>417</v>
      </c>
      <c r="K658" s="3" t="inlineStr">
        <is>
          <t>Semana 4</t>
        </is>
      </c>
      <c r="L658" s="3" t="inlineStr">
        <is>
          <t>Alta</t>
        </is>
      </c>
      <c r="M658" s="3" t="inlineStr">
        <is>
          <t>chave 657</t>
        </is>
      </c>
    </row>
    <row r="659">
      <c r="A659" s="2" t="n">
        <v>658</v>
      </c>
      <c r="B659" s="3" t="inlineStr">
        <is>
          <t xml:space="preserve">PLASTIMARCOS COMERCIO DE EMBALAGENS LTDA </t>
        </is>
      </c>
      <c r="C659" s="3" t="inlineStr">
        <is>
          <t>SUDESTE</t>
        </is>
      </c>
      <c r="D659" s="3" t="inlineStr">
        <is>
          <t>RJ</t>
        </is>
      </c>
      <c r="E659" s="3" t="inlineStr">
        <is>
          <t>CAMPOS DOS GOYTACAZES</t>
        </is>
      </c>
      <c r="F659" s="3" t="inlineStr">
        <is>
          <t xml:space="preserve">PARQUE CALABOUCO </t>
        </is>
      </c>
      <c r="G659" s="3" t="inlineStr">
        <is>
          <t>28083102</t>
        </is>
      </c>
      <c r="H659" s="3" t="inlineStr">
        <is>
          <t>Andressa</t>
        </is>
      </c>
      <c r="I659" s="3" t="inlineStr">
        <is>
          <t>Forte</t>
        </is>
      </c>
      <c r="J659" s="2" t="n">
        <v>417</v>
      </c>
      <c r="K659" s="3" t="inlineStr">
        <is>
          <t>Semana 2</t>
        </is>
      </c>
      <c r="L659" s="3" t="inlineStr">
        <is>
          <t>Média</t>
        </is>
      </c>
      <c r="M659" s="3" t="inlineStr">
        <is>
          <t>chave 658</t>
        </is>
      </c>
    </row>
    <row r="660">
      <c r="A660" s="2" t="n">
        <v>659</v>
      </c>
      <c r="B660" s="3" t="inlineStr">
        <is>
          <t xml:space="preserve">HZINE VARIEDADES LTDA </t>
        </is>
      </c>
      <c r="C660" s="3" t="inlineStr">
        <is>
          <t>SUDESTE</t>
        </is>
      </c>
      <c r="D660" s="3" t="inlineStr">
        <is>
          <t>RJ</t>
        </is>
      </c>
      <c r="E660" s="3" t="inlineStr">
        <is>
          <t>NOVA FRIBURGO</t>
        </is>
      </c>
      <c r="F660" s="3" t="inlineStr">
        <is>
          <t xml:space="preserve">CENTRO </t>
        </is>
      </c>
      <c r="G660" s="3" t="inlineStr">
        <is>
          <t>28613210</t>
        </is>
      </c>
      <c r="H660" s="3" t="inlineStr">
        <is>
          <t>Andressa</t>
        </is>
      </c>
      <c r="I660" s="3" t="inlineStr">
        <is>
          <t>Forte</t>
        </is>
      </c>
      <c r="J660" s="2" t="n">
        <v>417</v>
      </c>
      <c r="K660" s="3" t="inlineStr">
        <is>
          <t>Semana 2</t>
        </is>
      </c>
      <c r="L660" s="3" t="inlineStr">
        <is>
          <t>Média</t>
        </is>
      </c>
      <c r="M660" s="3" t="inlineStr">
        <is>
          <t>chave 659</t>
        </is>
      </c>
    </row>
    <row r="661">
      <c r="A661" s="2" t="n">
        <v>660</v>
      </c>
      <c r="B661" s="3" t="inlineStr">
        <is>
          <t xml:space="preserve">HORIZONTE E-COMMERCE LTDA </t>
        </is>
      </c>
      <c r="C661" s="3" t="inlineStr">
        <is>
          <t>SUDESTE</t>
        </is>
      </c>
      <c r="D661" s="3" t="inlineStr">
        <is>
          <t>RJ</t>
        </is>
      </c>
      <c r="E661" s="3" t="inlineStr">
        <is>
          <t>DUQUE DE CAXIAS</t>
        </is>
      </c>
      <c r="F661" s="3" t="inlineStr">
        <is>
          <t xml:space="preserve">JD VINTE E CINCO DE AGOSTO </t>
        </is>
      </c>
      <c r="G661" s="3" t="inlineStr">
        <is>
          <t>25071112</t>
        </is>
      </c>
      <c r="H661" s="3" t="inlineStr">
        <is>
          <t>Andre Pacheco</t>
        </is>
      </c>
      <c r="I661" s="3" t="inlineStr">
        <is>
          <t>Estratégico</t>
        </is>
      </c>
      <c r="J661" s="2" t="n">
        <v>417</v>
      </c>
      <c r="K661" s="3" t="inlineStr">
        <is>
          <t>Semana 1</t>
        </is>
      </c>
      <c r="L661" s="3" t="inlineStr">
        <is>
          <t>Alta</t>
        </is>
      </c>
      <c r="M661" s="3" t="inlineStr">
        <is>
          <t>chave 660</t>
        </is>
      </c>
    </row>
    <row r="662">
      <c r="A662" s="2" t="n">
        <v>661</v>
      </c>
      <c r="B662" s="3" t="inlineStr">
        <is>
          <t xml:space="preserve">PRIMUS RIO COMERCIO DE UTILIDADES DO LAR LTDA </t>
        </is>
      </c>
      <c r="C662" s="3" t="inlineStr">
        <is>
          <t>SUDESTE</t>
        </is>
      </c>
      <c r="D662" s="3" t="inlineStr">
        <is>
          <t>RJ</t>
        </is>
      </c>
      <c r="E662" s="3" t="inlineStr">
        <is>
          <t>RIO DE JANEIRO</t>
        </is>
      </c>
      <c r="F662" s="3" t="inlineStr">
        <is>
          <t xml:space="preserve">VIGARIO GERAL </t>
        </is>
      </c>
      <c r="G662" s="3" t="inlineStr">
        <is>
          <t>21241180</t>
        </is>
      </c>
      <c r="H662" s="3" t="inlineStr">
        <is>
          <t>Andre Pacheco</t>
        </is>
      </c>
      <c r="I662" s="3" t="inlineStr">
        <is>
          <t>Estratégico</t>
        </is>
      </c>
      <c r="J662" s="2" t="n">
        <v>417</v>
      </c>
      <c r="K662" s="3" t="inlineStr">
        <is>
          <t>Semana 3</t>
        </is>
      </c>
      <c r="L662" s="3" t="inlineStr">
        <is>
          <t>Alta</t>
        </is>
      </c>
      <c r="M662" s="3" t="inlineStr">
        <is>
          <t>chave 661</t>
        </is>
      </c>
    </row>
    <row r="663">
      <c r="A663" s="2" t="n">
        <v>662</v>
      </c>
      <c r="B663" s="3" t="inlineStr">
        <is>
          <t xml:space="preserve">CATE PAPELARIA E PRESENTES LTDA </t>
        </is>
      </c>
      <c r="C663" s="3" t="inlineStr">
        <is>
          <t>SUDESTE</t>
        </is>
      </c>
      <c r="D663" s="3" t="inlineStr">
        <is>
          <t>RJ</t>
        </is>
      </c>
      <c r="E663" s="3" t="inlineStr">
        <is>
          <t>BARRA MANSA</t>
        </is>
      </c>
      <c r="F663" s="3" t="inlineStr">
        <is>
          <t xml:space="preserve">CENTRO </t>
        </is>
      </c>
      <c r="G663" s="3" t="inlineStr">
        <is>
          <t>27345310</t>
        </is>
      </c>
      <c r="H663" s="3" t="inlineStr">
        <is>
          <t>Andressa</t>
        </is>
      </c>
      <c r="I663" s="3" t="inlineStr">
        <is>
          <t>Médio</t>
        </is>
      </c>
      <c r="J663" s="2" t="n">
        <v>417</v>
      </c>
      <c r="K663" s="3" t="inlineStr">
        <is>
          <t>Semana 4</t>
        </is>
      </c>
      <c r="L663" s="3" t="inlineStr">
        <is>
          <t>Normal</t>
        </is>
      </c>
      <c r="M663" s="3" t="inlineStr">
        <is>
          <t>chave 662</t>
        </is>
      </c>
    </row>
    <row r="664">
      <c r="A664" s="2" t="n">
        <v>663</v>
      </c>
      <c r="B664" s="3" t="inlineStr">
        <is>
          <t xml:space="preserve">ALEGRIA E FESTA LTDA </t>
        </is>
      </c>
      <c r="C664" s="3" t="inlineStr">
        <is>
          <t>SUDESTE</t>
        </is>
      </c>
      <c r="D664" s="3" t="inlineStr">
        <is>
          <t>RJ</t>
        </is>
      </c>
      <c r="E664" s="3" t="inlineStr">
        <is>
          <t>RIO DAS OSTRAS</t>
        </is>
      </c>
      <c r="F664" s="3" t="inlineStr">
        <is>
          <t xml:space="preserve">NOVO RIO DAS OSTRAS </t>
        </is>
      </c>
      <c r="G664" s="3" t="inlineStr">
        <is>
          <t>28893473</t>
        </is>
      </c>
      <c r="H664" s="3" t="inlineStr">
        <is>
          <t>Andressa</t>
        </is>
      </c>
      <c r="I664" s="3" t="inlineStr">
        <is>
          <t>Médio</t>
        </is>
      </c>
      <c r="J664" s="2" t="n">
        <v>417</v>
      </c>
      <c r="K664" s="3" t="inlineStr">
        <is>
          <t>Semana 4</t>
        </is>
      </c>
      <c r="L664" s="3" t="inlineStr">
        <is>
          <t>Normal</t>
        </is>
      </c>
      <c r="M664" s="3" t="inlineStr">
        <is>
          <t>chave 663</t>
        </is>
      </c>
    </row>
    <row r="665">
      <c r="A665" s="2" t="n">
        <v>664</v>
      </c>
      <c r="B665" s="3" t="inlineStr">
        <is>
          <t xml:space="preserve">MARIA JOSE DISTRIBUIDORA DE ARTIGOS EVANGELICOS </t>
        </is>
      </c>
      <c r="C665" s="3" t="inlineStr">
        <is>
          <t>SUDESTE</t>
        </is>
      </c>
      <c r="D665" s="3" t="inlineStr">
        <is>
          <t>RJ</t>
        </is>
      </c>
      <c r="E665" s="3" t="inlineStr">
        <is>
          <t>ANGRA DOS REIS</t>
        </is>
      </c>
      <c r="F665" s="3" t="inlineStr">
        <is>
          <t xml:space="preserve">VILA NOVA </t>
        </is>
      </c>
      <c r="G665" s="3" t="inlineStr">
        <is>
          <t>23934005</t>
        </is>
      </c>
      <c r="H665" s="3" t="inlineStr">
        <is>
          <t>Andressa</t>
        </is>
      </c>
      <c r="I665" s="3" t="inlineStr">
        <is>
          <t>Médio</t>
        </is>
      </c>
      <c r="J665" s="2" t="n">
        <v>417</v>
      </c>
      <c r="K665" s="3" t="inlineStr">
        <is>
          <t>Semana 4</t>
        </is>
      </c>
      <c r="L665" s="3" t="inlineStr">
        <is>
          <t>Normal</t>
        </is>
      </c>
      <c r="M665" s="3" t="inlineStr">
        <is>
          <t>chave 664</t>
        </is>
      </c>
    </row>
    <row r="666">
      <c r="A666" s="2" t="n">
        <v>665</v>
      </c>
      <c r="B666" s="3" t="inlineStr">
        <is>
          <t xml:space="preserve">GLOBAL ATACADAO COMERCIO LTDA </t>
        </is>
      </c>
      <c r="C666" s="3" t="inlineStr">
        <is>
          <t>SUDESTE</t>
        </is>
      </c>
      <c r="D666" s="3" t="inlineStr">
        <is>
          <t>RJ</t>
        </is>
      </c>
      <c r="E666" s="3" t="inlineStr">
        <is>
          <t>DUQUE DE CAXIAS</t>
        </is>
      </c>
      <c r="F666" s="3" t="inlineStr">
        <is>
          <t xml:space="preserve">PARQUE ELDORADO </t>
        </is>
      </c>
      <c r="G666" s="3" t="inlineStr">
        <is>
          <t>25240005</t>
        </is>
      </c>
      <c r="H666" s="3" t="inlineStr">
        <is>
          <t>Andre Pacheco</t>
        </is>
      </c>
      <c r="I666" s="3" t="inlineStr">
        <is>
          <t>Estratégico</t>
        </is>
      </c>
      <c r="J666" s="2" t="n">
        <v>417</v>
      </c>
      <c r="K666" s="3" t="inlineStr">
        <is>
          <t>Semana 1</t>
        </is>
      </c>
      <c r="L666" s="3" t="inlineStr">
        <is>
          <t>Alta</t>
        </is>
      </c>
      <c r="M666" s="3" t="inlineStr">
        <is>
          <t>chave 665</t>
        </is>
      </c>
    </row>
    <row r="667">
      <c r="A667" s="2" t="n">
        <v>666</v>
      </c>
      <c r="B667" s="3" t="inlineStr">
        <is>
          <t xml:space="preserve">LIDER COPY LTDA </t>
        </is>
      </c>
      <c r="C667" s="3" t="inlineStr">
        <is>
          <t>SUDESTE</t>
        </is>
      </c>
      <c r="D667" s="3" t="inlineStr">
        <is>
          <t>RJ</t>
        </is>
      </c>
      <c r="E667" s="3" t="inlineStr">
        <is>
          <t>PINHEIRAL</t>
        </is>
      </c>
      <c r="F667" s="3" t="inlineStr">
        <is>
          <t xml:space="preserve">CENTRO </t>
        </is>
      </c>
      <c r="G667" s="3" t="inlineStr">
        <is>
          <t>27197000</t>
        </is>
      </c>
      <c r="H667" s="3" t="inlineStr">
        <is>
          <t>Andressa</t>
        </is>
      </c>
      <c r="I667" s="3" t="inlineStr">
        <is>
          <t>Médio</t>
        </is>
      </c>
      <c r="J667" s="2" t="n">
        <v>417</v>
      </c>
      <c r="K667" s="3" t="inlineStr">
        <is>
          <t>Semana 4</t>
        </is>
      </c>
      <c r="L667" s="3" t="inlineStr">
        <is>
          <t>Normal</t>
        </is>
      </c>
      <c r="M667" s="3" t="inlineStr">
        <is>
          <t>chave 666</t>
        </is>
      </c>
    </row>
    <row r="668">
      <c r="A668" s="2" t="n">
        <v>667</v>
      </c>
      <c r="B668" s="3" t="inlineStr">
        <is>
          <t xml:space="preserve">PAPELARIA SU-ROSSETO LTDA </t>
        </is>
      </c>
      <c r="C668" s="3" t="inlineStr">
        <is>
          <t>SUDESTE</t>
        </is>
      </c>
      <c r="D668" s="3" t="inlineStr">
        <is>
          <t>RJ</t>
        </is>
      </c>
      <c r="E668" s="3" t="inlineStr">
        <is>
          <t>BELFORD ROXO</t>
        </is>
      </c>
      <c r="F668" s="3" t="inlineStr">
        <is>
          <t xml:space="preserve">CENTRO </t>
        </is>
      </c>
      <c r="G668" s="3" t="inlineStr">
        <is>
          <t>26130050</t>
        </is>
      </c>
      <c r="H668" s="3" t="inlineStr">
        <is>
          <t>Andre Pacheco</t>
        </is>
      </c>
      <c r="I668" s="3" t="inlineStr">
        <is>
          <t>Médio</t>
        </is>
      </c>
      <c r="J668" s="2" t="n">
        <v>417</v>
      </c>
      <c r="K668" s="3" t="inlineStr">
        <is>
          <t>Semana 4</t>
        </is>
      </c>
      <c r="L668" s="3" t="inlineStr">
        <is>
          <t>Normal</t>
        </is>
      </c>
      <c r="M668" s="3" t="inlineStr">
        <is>
          <t>chave 667</t>
        </is>
      </c>
    </row>
    <row r="669">
      <c r="A669" s="2" t="n">
        <v>668</v>
      </c>
      <c r="B669" s="3" t="inlineStr">
        <is>
          <t xml:space="preserve">ENCANTERIA PAPELARIA E PRESENTES LTDA </t>
        </is>
      </c>
      <c r="C669" s="3" t="inlineStr">
        <is>
          <t>SUDESTE</t>
        </is>
      </c>
      <c r="D669" s="3" t="inlineStr">
        <is>
          <t>RJ</t>
        </is>
      </c>
      <c r="E669" s="3" t="inlineStr">
        <is>
          <t>MARICÁ</t>
        </is>
      </c>
      <c r="F669" s="3" t="inlineStr">
        <is>
          <t xml:space="preserve">CHACARAS DE INOA </t>
        </is>
      </c>
      <c r="G669" s="3" t="inlineStr">
        <is>
          <t>24940653</t>
        </is>
      </c>
      <c r="H669" s="3" t="inlineStr">
        <is>
          <t>Andressa</t>
        </is>
      </c>
      <c r="I669" s="3" t="inlineStr">
        <is>
          <t>Médio</t>
        </is>
      </c>
      <c r="J669" s="2" t="n">
        <v>417</v>
      </c>
      <c r="K669" s="3" t="inlineStr">
        <is>
          <t>Semana 4</t>
        </is>
      </c>
      <c r="L669" s="3" t="inlineStr">
        <is>
          <t>Normal</t>
        </is>
      </c>
      <c r="M669" s="3" t="inlineStr">
        <is>
          <t>chave 668</t>
        </is>
      </c>
    </row>
    <row r="670">
      <c r="A670" s="2" t="n">
        <v>669</v>
      </c>
      <c r="B670" s="3" t="inlineStr">
        <is>
          <t xml:space="preserve">SILVIO DE CARVALHO AFONSO BAZAR E PAPELARIA </t>
        </is>
      </c>
      <c r="C670" s="3" t="inlineStr">
        <is>
          <t>SUDESTE</t>
        </is>
      </c>
      <c r="D670" s="3" t="inlineStr">
        <is>
          <t>RJ</t>
        </is>
      </c>
      <c r="E670" s="3" t="inlineStr">
        <is>
          <t>RIO DE JANEIRO</t>
        </is>
      </c>
      <c r="F670" s="3" t="inlineStr">
        <is>
          <t xml:space="preserve">MADUREIRA </t>
        </is>
      </c>
      <c r="G670" s="3" t="inlineStr">
        <is>
          <t>21360901</t>
        </is>
      </c>
      <c r="H670" s="3" t="inlineStr">
        <is>
          <t>Andre Pacheco</t>
        </is>
      </c>
      <c r="I670" s="3" t="inlineStr">
        <is>
          <t>Estratégico</t>
        </is>
      </c>
      <c r="J670" s="2" t="n">
        <v>417</v>
      </c>
      <c r="K670" s="3" t="inlineStr">
        <is>
          <t>Semana 3</t>
        </is>
      </c>
      <c r="L670" s="3" t="inlineStr">
        <is>
          <t>Alta</t>
        </is>
      </c>
      <c r="M670" s="3" t="inlineStr">
        <is>
          <t>chave 669</t>
        </is>
      </c>
    </row>
    <row r="671">
      <c r="A671" s="2" t="n">
        <v>670</v>
      </c>
      <c r="B671" s="3" t="inlineStr">
        <is>
          <t xml:space="preserve">PAPER PAPELARIA E PRESENTE LTDA </t>
        </is>
      </c>
      <c r="C671" s="3" t="inlineStr">
        <is>
          <t>SUDESTE</t>
        </is>
      </c>
      <c r="D671" s="3" t="inlineStr">
        <is>
          <t>RJ</t>
        </is>
      </c>
      <c r="E671" s="3" t="inlineStr">
        <is>
          <t>RIO DE JANEIRO</t>
        </is>
      </c>
      <c r="F671" s="3" t="inlineStr">
        <is>
          <t xml:space="preserve">CENTRO </t>
        </is>
      </c>
      <c r="G671" s="3" t="inlineStr">
        <is>
          <t>20040901</t>
        </is>
      </c>
      <c r="H671" s="3" t="inlineStr">
        <is>
          <t>Andre Pacheco</t>
        </is>
      </c>
      <c r="I671" s="3" t="inlineStr">
        <is>
          <t>Estratégico</t>
        </is>
      </c>
      <c r="J671" s="2" t="n">
        <v>417</v>
      </c>
      <c r="K671" s="3" t="inlineStr">
        <is>
          <t>Semana 3</t>
        </is>
      </c>
      <c r="L671" s="3" t="inlineStr">
        <is>
          <t>Alta</t>
        </is>
      </c>
      <c r="M671" s="3" t="inlineStr">
        <is>
          <t>chave 670</t>
        </is>
      </c>
    </row>
    <row r="672">
      <c r="A672" s="2" t="n">
        <v>671</v>
      </c>
      <c r="B672" s="3" t="inlineStr">
        <is>
          <t xml:space="preserve">PAPELARIA GRADIM 2093 LTDA </t>
        </is>
      </c>
      <c r="C672" s="3" t="inlineStr">
        <is>
          <t>SUDESTE</t>
        </is>
      </c>
      <c r="D672" s="3" t="inlineStr">
        <is>
          <t>RJ</t>
        </is>
      </c>
      <c r="E672" s="3" t="inlineStr">
        <is>
          <t>São Gonçalo</t>
        </is>
      </c>
      <c r="F672" s="3" t="inlineStr">
        <is>
          <t xml:space="preserve">PARAISO </t>
        </is>
      </c>
      <c r="G672" s="3" t="inlineStr">
        <is>
          <t>24431005</t>
        </is>
      </c>
      <c r="H672" s="3" t="inlineStr">
        <is>
          <t>Andre Pacheco</t>
        </is>
      </c>
      <c r="I672" s="3" t="inlineStr">
        <is>
          <t>Estratégico</t>
        </is>
      </c>
      <c r="J672" s="2" t="n">
        <v>417</v>
      </c>
      <c r="K672" s="3" t="inlineStr">
        <is>
          <t>Semana 4</t>
        </is>
      </c>
      <c r="L672" s="3" t="inlineStr">
        <is>
          <t>Alta</t>
        </is>
      </c>
      <c r="M672" s="3" t="inlineStr">
        <is>
          <t>chave 671</t>
        </is>
      </c>
    </row>
    <row r="673">
      <c r="A673" s="2" t="n">
        <v>672</v>
      </c>
      <c r="B673" s="3" t="inlineStr">
        <is>
          <t xml:space="preserve">POLIGRAFICA BAZAR LTDA </t>
        </is>
      </c>
      <c r="C673" s="3" t="inlineStr">
        <is>
          <t>SUDESTE</t>
        </is>
      </c>
      <c r="D673" s="3" t="inlineStr">
        <is>
          <t>RJ</t>
        </is>
      </c>
      <c r="E673" s="3" t="inlineStr">
        <is>
          <t>RIO DE JANEIRO</t>
        </is>
      </c>
      <c r="F673" s="3" t="inlineStr">
        <is>
          <t xml:space="preserve">BARRA DA TIJUCA </t>
        </is>
      </c>
      <c r="G673" s="3" t="inlineStr">
        <is>
          <t>22631003</t>
        </is>
      </c>
      <c r="H673" s="3" t="inlineStr">
        <is>
          <t>Andre Pacheco</t>
        </is>
      </c>
      <c r="I673" s="3" t="inlineStr">
        <is>
          <t>Estratégico</t>
        </is>
      </c>
      <c r="J673" s="2" t="n">
        <v>417</v>
      </c>
      <c r="K673" s="3" t="inlineStr">
        <is>
          <t>Semana 3</t>
        </is>
      </c>
      <c r="L673" s="3" t="inlineStr">
        <is>
          <t>Alta</t>
        </is>
      </c>
      <c r="M673" s="3" t="inlineStr">
        <is>
          <t>chave 672</t>
        </is>
      </c>
    </row>
    <row r="674">
      <c r="A674" s="2" t="n">
        <v>673</v>
      </c>
      <c r="B674" s="3" t="inlineStr">
        <is>
          <t xml:space="preserve">DANNEMANN,SIEMSEN,BIGLER E IPANEMA MOREIRA PROPRIEDADE INDUSTRIAL LTDA </t>
        </is>
      </c>
      <c r="C674" s="3" t="inlineStr">
        <is>
          <t>SUDESTE</t>
        </is>
      </c>
      <c r="D674" s="3" t="inlineStr">
        <is>
          <t>RJ</t>
        </is>
      </c>
      <c r="E674" s="3" t="inlineStr">
        <is>
          <t>RIO DE JANEIRO</t>
        </is>
      </c>
      <c r="F674" s="3" t="inlineStr">
        <is>
          <t xml:space="preserve">BARRA DA TIJUCA </t>
        </is>
      </c>
      <c r="G674" s="3" t="inlineStr">
        <is>
          <t>22620350</t>
        </is>
      </c>
      <c r="H674" s="3" t="inlineStr">
        <is>
          <t>Andre Pacheco</t>
        </is>
      </c>
      <c r="I674" s="3" t="inlineStr">
        <is>
          <t>Estratégico</t>
        </is>
      </c>
      <c r="J674" s="2" t="n">
        <v>417</v>
      </c>
      <c r="K674" s="3" t="inlineStr">
        <is>
          <t>Semana 3</t>
        </is>
      </c>
      <c r="L674" s="3" t="inlineStr">
        <is>
          <t>Alta</t>
        </is>
      </c>
      <c r="M674" s="3" t="inlineStr">
        <is>
          <t>chave 673</t>
        </is>
      </c>
    </row>
    <row r="675">
      <c r="A675" s="2" t="n">
        <v>674</v>
      </c>
      <c r="B675" s="3" t="inlineStr">
        <is>
          <t xml:space="preserve">FS BUSATO PAPELARIA LTDA </t>
        </is>
      </c>
      <c r="C675" s="3" t="inlineStr">
        <is>
          <t>SUDESTE</t>
        </is>
      </c>
      <c r="D675" s="3" t="inlineStr">
        <is>
          <t>RJ</t>
        </is>
      </c>
      <c r="E675" s="3" t="inlineStr">
        <is>
          <t>Petrópolis</t>
        </is>
      </c>
      <c r="F675" s="3" t="inlineStr">
        <is>
          <t xml:space="preserve">ITAIPAVA </t>
        </is>
      </c>
      <c r="G675" s="3" t="inlineStr">
        <is>
          <t>25750225</t>
        </is>
      </c>
      <c r="H675" s="3" t="inlineStr">
        <is>
          <t>Andressa</t>
        </is>
      </c>
      <c r="I675" s="3" t="inlineStr">
        <is>
          <t>Forte</t>
        </is>
      </c>
      <c r="J675" s="2" t="n">
        <v>417</v>
      </c>
      <c r="K675" s="3" t="inlineStr">
        <is>
          <t>Semana 2</t>
        </is>
      </c>
      <c r="L675" s="3" t="inlineStr">
        <is>
          <t>Média</t>
        </is>
      </c>
      <c r="M675" s="3" t="inlineStr">
        <is>
          <t>chave 674</t>
        </is>
      </c>
    </row>
    <row r="676">
      <c r="A676" s="2" t="n">
        <v>675</v>
      </c>
      <c r="B676" s="3" t="inlineStr">
        <is>
          <t xml:space="preserve">BAZAR LELIVIA LTDA </t>
        </is>
      </c>
      <c r="C676" s="3" t="inlineStr">
        <is>
          <t>SUDESTE</t>
        </is>
      </c>
      <c r="D676" s="3" t="inlineStr">
        <is>
          <t>RJ</t>
        </is>
      </c>
      <c r="E676" s="3" t="inlineStr">
        <is>
          <t>NOVA FRIBURGO</t>
        </is>
      </c>
      <c r="F676" s="3" t="inlineStr">
        <is>
          <t xml:space="preserve">CONSELHEIRO PAULINO </t>
        </is>
      </c>
      <c r="G676" s="3" t="inlineStr">
        <is>
          <t>28635460</t>
        </is>
      </c>
      <c r="H676" s="3" t="inlineStr">
        <is>
          <t>Andressa</t>
        </is>
      </c>
      <c r="I676" s="3" t="inlineStr">
        <is>
          <t>Forte</t>
        </is>
      </c>
      <c r="J676" s="2" t="n">
        <v>417</v>
      </c>
      <c r="K676" s="3" t="inlineStr">
        <is>
          <t>Semana 2</t>
        </is>
      </c>
      <c r="L676" s="3" t="inlineStr">
        <is>
          <t>Média</t>
        </is>
      </c>
      <c r="M676" s="3" t="inlineStr">
        <is>
          <t>chave 675</t>
        </is>
      </c>
    </row>
    <row r="677">
      <c r="A677" s="2" t="n">
        <v>676</v>
      </c>
      <c r="B677" s="3" t="inlineStr">
        <is>
          <t xml:space="preserve">JB BETA  BAZAR E PAPELARIA LTDA </t>
        </is>
      </c>
      <c r="C677" s="3" t="inlineStr">
        <is>
          <t>SUDESTE</t>
        </is>
      </c>
      <c r="D677" s="3" t="inlineStr">
        <is>
          <t>RJ</t>
        </is>
      </c>
      <c r="E677" s="3" t="inlineStr">
        <is>
          <t>ARARUAMA</t>
        </is>
      </c>
      <c r="F677" s="3" t="inlineStr">
        <is>
          <t xml:space="preserve">CENTRO </t>
        </is>
      </c>
      <c r="G677" s="3" t="inlineStr">
        <is>
          <t>28979102</t>
        </is>
      </c>
      <c r="H677" s="3" t="inlineStr">
        <is>
          <t>Andressa</t>
        </is>
      </c>
      <c r="I677" s="3" t="inlineStr">
        <is>
          <t>Médio</t>
        </is>
      </c>
      <c r="J677" s="2" t="n">
        <v>417</v>
      </c>
      <c r="K677" s="3" t="inlineStr">
        <is>
          <t>Semana 4</t>
        </is>
      </c>
      <c r="L677" s="3" t="inlineStr">
        <is>
          <t>Normal</t>
        </is>
      </c>
      <c r="M677" s="3" t="inlineStr">
        <is>
          <t>chave 676</t>
        </is>
      </c>
    </row>
    <row r="678">
      <c r="A678" s="2" t="n">
        <v>677</v>
      </c>
      <c r="B678" s="3" t="inlineStr">
        <is>
          <t xml:space="preserve">PAPELARIA E BAZAR POLGRYMAS LTDA </t>
        </is>
      </c>
      <c r="C678" s="3" t="inlineStr">
        <is>
          <t>SUDESTE</t>
        </is>
      </c>
      <c r="D678" s="3" t="inlineStr">
        <is>
          <t>SP</t>
        </is>
      </c>
      <c r="E678" s="3" t="inlineStr">
        <is>
          <t>São Paulo</t>
        </is>
      </c>
      <c r="F678" s="3" t="inlineStr">
        <is>
          <t xml:space="preserve">VILA ZELINA </t>
        </is>
      </c>
      <c r="G678" s="3" t="inlineStr">
        <is>
          <t>03141080</t>
        </is>
      </c>
      <c r="H678" s="3" t="inlineStr">
        <is>
          <t>Fernanda</t>
        </is>
      </c>
      <c r="I678" s="3" t="inlineStr">
        <is>
          <t>Estratégico</t>
        </is>
      </c>
      <c r="J678" s="2" t="n">
        <v>0</v>
      </c>
      <c r="K678" s="3" t="inlineStr">
        <is>
          <t>Semana 1</t>
        </is>
      </c>
      <c r="L678" s="3" t="inlineStr">
        <is>
          <t>Alta</t>
        </is>
      </c>
      <c r="M678" s="3" t="inlineStr">
        <is>
          <t>chave 677</t>
        </is>
      </c>
    </row>
    <row r="679">
      <c r="A679" s="2" t="n">
        <v>678</v>
      </c>
      <c r="B679" s="3" t="inlineStr">
        <is>
          <t xml:space="preserve">T RODRIGUES DA SILVA COMERCIO </t>
        </is>
      </c>
      <c r="C679" s="3" t="inlineStr">
        <is>
          <t>SUDESTE</t>
        </is>
      </c>
      <c r="D679" s="3" t="inlineStr">
        <is>
          <t>SP</t>
        </is>
      </c>
      <c r="E679" s="3" t="inlineStr">
        <is>
          <t>SANTO ANDRÉ</t>
        </is>
      </c>
      <c r="F679" s="3" t="inlineStr">
        <is>
          <t xml:space="preserve">PARQUE ORATORIO </t>
        </is>
      </c>
      <c r="G679" s="3" t="inlineStr">
        <is>
          <t>09251110</t>
        </is>
      </c>
      <c r="H679" s="3" t="inlineStr">
        <is>
          <t>Denilson</t>
        </is>
      </c>
      <c r="I679" s="3" t="inlineStr">
        <is>
          <t>Estratégico</t>
        </is>
      </c>
      <c r="J679" s="2" t="n">
        <v>748</v>
      </c>
      <c r="K679" s="3" t="inlineStr">
        <is>
          <t>Semana 1</t>
        </is>
      </c>
      <c r="L679" s="3" t="inlineStr">
        <is>
          <t>Alta</t>
        </is>
      </c>
      <c r="M679" s="3" t="inlineStr">
        <is>
          <t>chave 678</t>
        </is>
      </c>
    </row>
    <row r="680">
      <c r="A680" s="2" t="n">
        <v>679</v>
      </c>
      <c r="B680" s="3" t="inlineStr">
        <is>
          <t xml:space="preserve">SUPRICORP SUPRIMENTOS LTDA </t>
        </is>
      </c>
      <c r="C680" s="3" t="inlineStr">
        <is>
          <t>SUDESTE</t>
        </is>
      </c>
      <c r="D680" s="3" t="inlineStr">
        <is>
          <t>SP</t>
        </is>
      </c>
      <c r="E680" s="3" t="inlineStr">
        <is>
          <t>BARUERI</t>
        </is>
      </c>
      <c r="F680" s="3" t="inlineStr">
        <is>
          <t xml:space="preserve">JD. BELVAL </t>
        </is>
      </c>
      <c r="G680" s="3" t="inlineStr">
        <is>
          <t>06422122</t>
        </is>
      </c>
      <c r="H680" s="3" t="inlineStr">
        <is>
          <t>Fernanda</t>
        </is>
      </c>
      <c r="I680" s="3" t="inlineStr">
        <is>
          <t>Médio</t>
        </is>
      </c>
      <c r="J680" s="2" t="n">
        <v>0</v>
      </c>
      <c r="K680" s="3" t="inlineStr">
        <is>
          <t>Semana 3</t>
        </is>
      </c>
      <c r="L680" s="3" t="inlineStr">
        <is>
          <t>Normal</t>
        </is>
      </c>
      <c r="M680" s="3" t="inlineStr">
        <is>
          <t>chave 679</t>
        </is>
      </c>
    </row>
    <row r="681">
      <c r="A681" s="2" t="n">
        <v>680</v>
      </c>
      <c r="B681" s="3" t="inlineStr">
        <is>
          <t xml:space="preserve">NAZIH TAHA GHUNEIM LTDA </t>
        </is>
      </c>
      <c r="C681" s="3" t="inlineStr">
        <is>
          <t>SUDESTE</t>
        </is>
      </c>
      <c r="D681" s="3" t="inlineStr">
        <is>
          <t>SP</t>
        </is>
      </c>
      <c r="E681" s="3" t="inlineStr">
        <is>
          <t>São Paulo</t>
        </is>
      </c>
      <c r="F681" s="3" t="inlineStr">
        <is>
          <t xml:space="preserve">CENTRO </t>
        </is>
      </c>
      <c r="G681" s="3" t="inlineStr">
        <is>
          <t>01023001</t>
        </is>
      </c>
      <c r="H681" s="3" t="inlineStr">
        <is>
          <t>Fernanda</t>
        </is>
      </c>
      <c r="I681" s="3" t="inlineStr">
        <is>
          <t>Estratégico</t>
        </is>
      </c>
      <c r="J681" s="2" t="n">
        <v>0</v>
      </c>
      <c r="K681" s="3" t="inlineStr">
        <is>
          <t>Semana 2</t>
        </is>
      </c>
      <c r="L681" s="3" t="inlineStr">
        <is>
          <t>Alta</t>
        </is>
      </c>
      <c r="M681" s="3" t="inlineStr">
        <is>
          <t>chave 680</t>
        </is>
      </c>
    </row>
    <row r="682">
      <c r="A682" s="2" t="n">
        <v>681</v>
      </c>
      <c r="B682" s="3" t="inlineStr">
        <is>
          <t xml:space="preserve">LOJA TENDTUDO UTILIDADES LTDA </t>
        </is>
      </c>
      <c r="C682" s="3" t="inlineStr">
        <is>
          <t>SUDESTE</t>
        </is>
      </c>
      <c r="D682" s="3" t="inlineStr">
        <is>
          <t>SP</t>
        </is>
      </c>
      <c r="E682" s="3" t="inlineStr">
        <is>
          <t>São Paulo</t>
        </is>
      </c>
      <c r="F682" s="3" t="inlineStr">
        <is>
          <t xml:space="preserve">PARQUE SAO DOMINGOS </t>
        </is>
      </c>
      <c r="G682" s="3" t="inlineStr">
        <is>
          <t>05122070</t>
        </is>
      </c>
      <c r="H682" s="3" t="inlineStr">
        <is>
          <t>Fernanda</t>
        </is>
      </c>
      <c r="I682" s="3" t="inlineStr">
        <is>
          <t>Estratégico</t>
        </is>
      </c>
      <c r="J682" s="2" t="n">
        <v>0</v>
      </c>
      <c r="K682" s="3" t="inlineStr">
        <is>
          <t>Semana 2</t>
        </is>
      </c>
      <c r="L682" s="3" t="inlineStr">
        <is>
          <t>Alta</t>
        </is>
      </c>
      <c r="M682" s="3" t="inlineStr">
        <is>
          <t>chave 681</t>
        </is>
      </c>
    </row>
    <row r="683">
      <c r="A683" s="2" t="n">
        <v>682</v>
      </c>
      <c r="B683" s="3" t="inlineStr">
        <is>
          <t xml:space="preserve">SUPRI PERDIZES PAPELARIA E INFORMATICA LTDA </t>
        </is>
      </c>
      <c r="C683" s="3" t="inlineStr">
        <is>
          <t>SUDESTE</t>
        </is>
      </c>
      <c r="D683" s="3" t="inlineStr">
        <is>
          <t>SP</t>
        </is>
      </c>
      <c r="E683" s="3" t="inlineStr">
        <is>
          <t>São Paulo</t>
        </is>
      </c>
      <c r="F683" s="3" t="inlineStr">
        <is>
          <t xml:space="preserve">PERDIZES </t>
        </is>
      </c>
      <c r="G683" s="3" t="inlineStr">
        <is>
          <t>05013000</t>
        </is>
      </c>
      <c r="H683" s="3" t="inlineStr">
        <is>
          <t>Fernanda</t>
        </is>
      </c>
      <c r="I683" s="3" t="inlineStr">
        <is>
          <t>Estratégico</t>
        </is>
      </c>
      <c r="J683" s="2" t="n">
        <v>0</v>
      </c>
      <c r="K683" s="3" t="inlineStr">
        <is>
          <t>Semana 2</t>
        </is>
      </c>
      <c r="L683" s="3" t="inlineStr">
        <is>
          <t>Alta</t>
        </is>
      </c>
      <c r="M683" s="3" t="inlineStr">
        <is>
          <t>chave 682</t>
        </is>
      </c>
    </row>
    <row r="684">
      <c r="A684" s="2" t="n">
        <v>683</v>
      </c>
      <c r="B684" s="3" t="inlineStr">
        <is>
          <t xml:space="preserve">ADRSTORE COMERCIO EM GERAL LTDA </t>
        </is>
      </c>
      <c r="C684" s="3" t="inlineStr">
        <is>
          <t>SUDESTE</t>
        </is>
      </c>
      <c r="D684" s="3" t="inlineStr">
        <is>
          <t>SP</t>
        </is>
      </c>
      <c r="E684" s="3" t="inlineStr">
        <is>
          <t>SÃO PAULO</t>
        </is>
      </c>
      <c r="F684" s="3" t="inlineStr">
        <is>
          <t xml:space="preserve">VILA PAULO SILAS </t>
        </is>
      </c>
      <c r="G684" s="3" t="inlineStr">
        <is>
          <t>03264000</t>
        </is>
      </c>
      <c r="H684" s="3" t="inlineStr">
        <is>
          <t>Fernanda</t>
        </is>
      </c>
      <c r="I684" s="3" t="inlineStr">
        <is>
          <t>Estratégico</t>
        </is>
      </c>
      <c r="J684" s="2" t="n">
        <v>0</v>
      </c>
      <c r="K684" s="3" t="inlineStr">
        <is>
          <t>Semana 1</t>
        </is>
      </c>
      <c r="L684" s="3" t="inlineStr">
        <is>
          <t>Alta</t>
        </is>
      </c>
      <c r="M684" s="3" t="inlineStr">
        <is>
          <t>chave 683</t>
        </is>
      </c>
    </row>
    <row r="685">
      <c r="A685" s="2" t="n">
        <v>684</v>
      </c>
      <c r="B685" s="3" t="inlineStr">
        <is>
          <t xml:space="preserve">MONIMAQ CONFECCOES E COMERCIO LTDA </t>
        </is>
      </c>
      <c r="C685" s="3" t="inlineStr">
        <is>
          <t>SUDESTE</t>
        </is>
      </c>
      <c r="D685" s="3" t="inlineStr">
        <is>
          <t>SP</t>
        </is>
      </c>
      <c r="E685" s="3" t="inlineStr">
        <is>
          <t>SÃO PAULO</t>
        </is>
      </c>
      <c r="F685" s="3" t="inlineStr">
        <is>
          <t xml:space="preserve">VILA PAULO SILAS </t>
        </is>
      </c>
      <c r="G685" s="3" t="inlineStr">
        <is>
          <t>03264000</t>
        </is>
      </c>
      <c r="H685" s="3" t="inlineStr">
        <is>
          <t>Fernanda</t>
        </is>
      </c>
      <c r="I685" s="3" t="inlineStr">
        <is>
          <t>Estratégico</t>
        </is>
      </c>
      <c r="J685" s="2" t="n">
        <v>0</v>
      </c>
      <c r="K685" s="3" t="inlineStr">
        <is>
          <t>Semana 1</t>
        </is>
      </c>
      <c r="L685" s="3" t="inlineStr">
        <is>
          <t>Alta</t>
        </is>
      </c>
      <c r="M685" s="3" t="inlineStr">
        <is>
          <t>chave 684</t>
        </is>
      </c>
    </row>
    <row r="686">
      <c r="A686" s="2" t="n">
        <v>685</v>
      </c>
      <c r="B686" s="3" t="inlineStr">
        <is>
          <t xml:space="preserve">FONTES CRISOSTOMO COM SERV E TRANSP.LTDA </t>
        </is>
      </c>
      <c r="C686" s="3" t="inlineStr">
        <is>
          <t>SUDESTE</t>
        </is>
      </c>
      <c r="D686" s="3" t="inlineStr">
        <is>
          <t>SP</t>
        </is>
      </c>
      <c r="E686" s="3" t="inlineStr">
        <is>
          <t>GUARULHOS</t>
        </is>
      </c>
      <c r="F686" s="3" t="inlineStr">
        <is>
          <t xml:space="preserve">JARDIM OTTAWA </t>
        </is>
      </c>
      <c r="G686" s="3" t="inlineStr">
        <is>
          <t>07230270</t>
        </is>
      </c>
      <c r="H686" s="3" t="inlineStr">
        <is>
          <t>Denilson</t>
        </is>
      </c>
      <c r="I686" s="3" t="inlineStr">
        <is>
          <t>Estratégico</t>
        </is>
      </c>
      <c r="J686" s="2" t="n">
        <v>748</v>
      </c>
      <c r="K686" s="3" t="inlineStr">
        <is>
          <t>Semana 1</t>
        </is>
      </c>
      <c r="L686" s="3" t="inlineStr">
        <is>
          <t>Alta</t>
        </is>
      </c>
      <c r="M686" s="3" t="inlineStr">
        <is>
          <t>chave 685</t>
        </is>
      </c>
    </row>
    <row r="687">
      <c r="A687" s="2" t="n">
        <v>686</v>
      </c>
      <c r="B687" s="3" t="inlineStr">
        <is>
          <t xml:space="preserve">ENCANTADA PAPELARIA E PRESENTES LTDA </t>
        </is>
      </c>
      <c r="C687" s="3" t="inlineStr">
        <is>
          <t>SUDESTE</t>
        </is>
      </c>
      <c r="D687" s="3" t="inlineStr">
        <is>
          <t>SP</t>
        </is>
      </c>
      <c r="E687" s="3" t="inlineStr">
        <is>
          <t>São Paulo</t>
        </is>
      </c>
      <c r="F687" s="3" t="inlineStr">
        <is>
          <t xml:space="preserve">JARDIM PLANALTO </t>
        </is>
      </c>
      <c r="G687" s="3" t="inlineStr">
        <is>
          <t>03988000</t>
        </is>
      </c>
      <c r="H687" s="3" t="inlineStr">
        <is>
          <t>Fernanda</t>
        </is>
      </c>
      <c r="I687" s="3" t="inlineStr">
        <is>
          <t>Estratégico</t>
        </is>
      </c>
      <c r="J687" s="2" t="n">
        <v>0</v>
      </c>
      <c r="K687" s="3" t="inlineStr">
        <is>
          <t>Semana 2</t>
        </is>
      </c>
      <c r="L687" s="3" t="inlineStr">
        <is>
          <t>Alta</t>
        </is>
      </c>
      <c r="M687" s="3" t="inlineStr">
        <is>
          <t>chave 686</t>
        </is>
      </c>
    </row>
    <row r="688">
      <c r="A688" s="2" t="n">
        <v>687</v>
      </c>
      <c r="B688" s="3" t="inlineStr">
        <is>
          <t xml:space="preserve">PARIZOTTO COMERCIO DE PAPEIS LTDA </t>
        </is>
      </c>
      <c r="C688" s="3" t="inlineStr">
        <is>
          <t>SUDESTE</t>
        </is>
      </c>
      <c r="D688" s="3" t="inlineStr">
        <is>
          <t>SP</t>
        </is>
      </c>
      <c r="E688" s="3" t="inlineStr">
        <is>
          <t>OSASCO</t>
        </is>
      </c>
      <c r="F688" s="3" t="inlineStr">
        <is>
          <t xml:space="preserve">JD. CIPAVA </t>
        </is>
      </c>
      <c r="G688" s="3" t="inlineStr">
        <is>
          <t>06053000</t>
        </is>
      </c>
      <c r="H688" s="3" t="inlineStr">
        <is>
          <t>Fernanda</t>
        </is>
      </c>
      <c r="I688" s="3" t="inlineStr">
        <is>
          <t>Médio</t>
        </is>
      </c>
      <c r="J688" s="2" t="n">
        <v>0</v>
      </c>
      <c r="K688" s="3" t="inlineStr">
        <is>
          <t>Semana 4</t>
        </is>
      </c>
      <c r="L688" s="3" t="inlineStr">
        <is>
          <t>Normal</t>
        </is>
      </c>
      <c r="M688" s="3" t="inlineStr">
        <is>
          <t>chave 687</t>
        </is>
      </c>
    </row>
    <row r="689">
      <c r="A689" s="2" t="n">
        <v>688</v>
      </c>
      <c r="B689" s="3" t="inlineStr">
        <is>
          <t xml:space="preserve">TANBY COMERCIO DE PAPEIS LIMITADA </t>
        </is>
      </c>
      <c r="C689" s="3" t="inlineStr">
        <is>
          <t>SUDESTE</t>
        </is>
      </c>
      <c r="D689" s="3" t="inlineStr">
        <is>
          <t>SP</t>
        </is>
      </c>
      <c r="E689" s="3" t="inlineStr">
        <is>
          <t>São José dos Campos</t>
        </is>
      </c>
      <c r="F689" s="3" t="inlineStr">
        <is>
          <t xml:space="preserve">JD VALE PARAISO </t>
        </is>
      </c>
      <c r="G689" s="3" t="inlineStr">
        <is>
          <t>12245031</t>
        </is>
      </c>
      <c r="H689" s="3" t="inlineStr">
        <is>
          <t>Denilson</t>
        </is>
      </c>
      <c r="I689" s="3" t="inlineStr">
        <is>
          <t>Forte</t>
        </is>
      </c>
      <c r="J689" s="2" t="n">
        <v>748</v>
      </c>
      <c r="K689" s="3" t="inlineStr">
        <is>
          <t>Semana 2</t>
        </is>
      </c>
      <c r="L689" s="3" t="inlineStr">
        <is>
          <t>Média</t>
        </is>
      </c>
      <c r="M689" s="3" t="inlineStr">
        <is>
          <t>chave 688</t>
        </is>
      </c>
    </row>
    <row r="690">
      <c r="A690" s="2" t="n">
        <v>689</v>
      </c>
      <c r="B690" s="3" t="inlineStr">
        <is>
          <t xml:space="preserve">BRASILFIJ DISTRIBUIDORA LTDA </t>
        </is>
      </c>
      <c r="C690" s="3" t="inlineStr">
        <is>
          <t>SUDESTE</t>
        </is>
      </c>
      <c r="D690" s="3" t="inlineStr">
        <is>
          <t>SP</t>
        </is>
      </c>
      <c r="E690" s="3" t="inlineStr">
        <is>
          <t>Igaratá</t>
        </is>
      </c>
      <c r="F690" s="3" t="inlineStr">
        <is>
          <t xml:space="preserve">CENTRO </t>
        </is>
      </c>
      <c r="G690" s="3" t="inlineStr">
        <is>
          <t>12350000</t>
        </is>
      </c>
      <c r="H690" s="3" t="inlineStr">
        <is>
          <t>Fernanda</t>
        </is>
      </c>
      <c r="I690" s="3" t="inlineStr">
        <is>
          <t>Médio</t>
        </is>
      </c>
      <c r="J690" s="2" t="n">
        <v>0</v>
      </c>
      <c r="K690" s="3" t="inlineStr">
        <is>
          <t>Semana 4</t>
        </is>
      </c>
      <c r="L690" s="3" t="inlineStr">
        <is>
          <t>Normal</t>
        </is>
      </c>
      <c r="M690" s="3" t="inlineStr">
        <is>
          <t>chave 689</t>
        </is>
      </c>
    </row>
    <row r="691">
      <c r="A691" s="2" t="n">
        <v>690</v>
      </c>
      <c r="B691" s="3" t="inlineStr">
        <is>
          <t xml:space="preserve">PIPASAN COMERCIAL LTDA </t>
        </is>
      </c>
      <c r="C691" s="3" t="inlineStr">
        <is>
          <t>SUDESTE</t>
        </is>
      </c>
      <c r="D691" s="3" t="inlineStr">
        <is>
          <t>SP</t>
        </is>
      </c>
      <c r="E691" s="3" t="inlineStr">
        <is>
          <t>São Paulo</t>
        </is>
      </c>
      <c r="F691" s="3" t="inlineStr">
        <is>
          <t xml:space="preserve">PARQUE EDU CHAVES </t>
        </is>
      </c>
      <c r="G691" s="3" t="inlineStr">
        <is>
          <t>02229000</t>
        </is>
      </c>
      <c r="H691" s="3" t="inlineStr">
        <is>
          <t>Fernanda</t>
        </is>
      </c>
      <c r="I691" s="3" t="inlineStr">
        <is>
          <t>Estratégico</t>
        </is>
      </c>
      <c r="J691" s="2" t="n">
        <v>0</v>
      </c>
      <c r="K691" s="3" t="inlineStr">
        <is>
          <t>Semana 2</t>
        </is>
      </c>
      <c r="L691" s="3" t="inlineStr">
        <is>
          <t>Alta</t>
        </is>
      </c>
      <c r="M691" s="3" t="inlineStr">
        <is>
          <t>chave 690</t>
        </is>
      </c>
    </row>
    <row r="692">
      <c r="A692" s="2" t="n">
        <v>691</v>
      </c>
      <c r="B692" s="3" t="inlineStr">
        <is>
          <t xml:space="preserve">MPH SILVA </t>
        </is>
      </c>
      <c r="C692" s="3" t="inlineStr">
        <is>
          <t>SUDESTE</t>
        </is>
      </c>
      <c r="D692" s="3" t="inlineStr">
        <is>
          <t>SP</t>
        </is>
      </c>
      <c r="E692" s="3" t="inlineStr">
        <is>
          <t>SÃO JOSÉ DOS CAMPOS</t>
        </is>
      </c>
      <c r="F692" s="3" t="inlineStr">
        <is>
          <t xml:space="preserve">VILA TATETUBA </t>
        </is>
      </c>
      <c r="G692" s="3" t="inlineStr">
        <is>
          <t>12220230</t>
        </is>
      </c>
      <c r="H692" s="3" t="inlineStr">
        <is>
          <t>Denilson</t>
        </is>
      </c>
      <c r="I692" s="3" t="inlineStr">
        <is>
          <t>Forte</t>
        </is>
      </c>
      <c r="J692" s="2" t="n">
        <v>748</v>
      </c>
      <c r="K692" s="3" t="inlineStr">
        <is>
          <t>Semana 2</t>
        </is>
      </c>
      <c r="L692" s="3" t="inlineStr">
        <is>
          <t>Média</t>
        </is>
      </c>
      <c r="M692" s="3" t="inlineStr">
        <is>
          <t>chave 691</t>
        </is>
      </c>
    </row>
    <row r="693">
      <c r="A693" s="2" t="n">
        <v>692</v>
      </c>
      <c r="B693" s="3" t="inlineStr">
        <is>
          <t xml:space="preserve">FUNDACAO JOAO PAULO II </t>
        </is>
      </c>
      <c r="C693" s="3" t="inlineStr">
        <is>
          <t>SUDESTE</t>
        </is>
      </c>
      <c r="D693" s="3" t="inlineStr">
        <is>
          <t>SP</t>
        </is>
      </c>
      <c r="E693" s="3" t="inlineStr">
        <is>
          <t>CACHOEIRA PAULISTA</t>
        </is>
      </c>
      <c r="F693" s="3" t="inlineStr">
        <is>
          <t xml:space="preserve">ALTO BELA VISTA </t>
        </is>
      </c>
      <c r="G693" s="3" t="inlineStr">
        <is>
          <t>12630000</t>
        </is>
      </c>
      <c r="H693" s="3" t="inlineStr">
        <is>
          <t>Denilson</t>
        </is>
      </c>
      <c r="I693" s="3" t="inlineStr">
        <is>
          <t>Médio</t>
        </is>
      </c>
      <c r="J693" s="2" t="n">
        <v>748</v>
      </c>
      <c r="K693" s="3" t="inlineStr">
        <is>
          <t>Semana 3</t>
        </is>
      </c>
      <c r="L693" s="3" t="inlineStr">
        <is>
          <t>Normal</t>
        </is>
      </c>
      <c r="M693" s="3" t="inlineStr">
        <is>
          <t>chave 692</t>
        </is>
      </c>
    </row>
    <row r="694">
      <c r="A694" s="2" t="n">
        <v>693</v>
      </c>
      <c r="B694" s="3" t="inlineStr">
        <is>
          <t xml:space="preserve">A. F. ACIOLI &amp; COMPANHIA LTDA. </t>
        </is>
      </c>
      <c r="C694" s="3" t="inlineStr">
        <is>
          <t>SUDESTE</t>
        </is>
      </c>
      <c r="D694" s="3" t="inlineStr">
        <is>
          <t>SP</t>
        </is>
      </c>
      <c r="E694" s="3" t="inlineStr">
        <is>
          <t>São Sebastião</t>
        </is>
      </c>
      <c r="F694" s="3" t="inlineStr">
        <is>
          <t xml:space="preserve">MORRO DO ABRIGO </t>
        </is>
      </c>
      <c r="G694" s="3" t="inlineStr">
        <is>
          <t>11600200</t>
        </is>
      </c>
      <c r="H694" s="3" t="inlineStr">
        <is>
          <t>Fernanda</t>
        </is>
      </c>
      <c r="I694" s="3" t="inlineStr">
        <is>
          <t>Médio</t>
        </is>
      </c>
      <c r="J694" s="2" t="n">
        <v>0</v>
      </c>
      <c r="K694" s="3" t="inlineStr">
        <is>
          <t>Semana 4</t>
        </is>
      </c>
      <c r="L694" s="3" t="inlineStr">
        <is>
          <t>Normal</t>
        </is>
      </c>
      <c r="M694" s="3" t="inlineStr">
        <is>
          <t>chave 693</t>
        </is>
      </c>
    </row>
    <row r="695">
      <c r="A695" s="2" t="n">
        <v>694</v>
      </c>
      <c r="B695" s="3" t="inlineStr">
        <is>
          <t xml:space="preserve">FRONT ARQUITETURA E CONSTRUCAO LTDA </t>
        </is>
      </c>
      <c r="C695" s="3" t="inlineStr">
        <is>
          <t>SUDESTE</t>
        </is>
      </c>
      <c r="D695" s="3" t="inlineStr">
        <is>
          <t>SP</t>
        </is>
      </c>
      <c r="E695" s="3" t="inlineStr">
        <is>
          <t>SÃO PAULO</t>
        </is>
      </c>
      <c r="F695" s="3" t="inlineStr">
        <is>
          <t xml:space="preserve">VILA ROMANA </t>
        </is>
      </c>
      <c r="G695" s="3" t="inlineStr">
        <is>
          <t>05043020</t>
        </is>
      </c>
      <c r="H695" s="3" t="inlineStr">
        <is>
          <t>Fernanda</t>
        </is>
      </c>
      <c r="I695" s="3" t="inlineStr">
        <is>
          <t>Estratégico</t>
        </is>
      </c>
      <c r="J695" s="2" t="n">
        <v>0</v>
      </c>
      <c r="K695" s="3" t="inlineStr">
        <is>
          <t>Semana 1</t>
        </is>
      </c>
      <c r="L695" s="3" t="inlineStr">
        <is>
          <t>Alta</t>
        </is>
      </c>
      <c r="M695" s="3" t="inlineStr">
        <is>
          <t>chave 694</t>
        </is>
      </c>
    </row>
    <row r="696">
      <c r="A696" s="2" t="n">
        <v>695</v>
      </c>
      <c r="B696" s="3" t="inlineStr">
        <is>
          <t xml:space="preserve">M8 DISTRIBUIDORA DE PRODUTOS LTDA </t>
        </is>
      </c>
      <c r="C696" s="3" t="inlineStr">
        <is>
          <t>SUDESTE</t>
        </is>
      </c>
      <c r="D696" s="3" t="inlineStr">
        <is>
          <t>SP</t>
        </is>
      </c>
      <c r="E696" s="3" t="inlineStr">
        <is>
          <t>SÃO CAETANO DO SUL</t>
        </is>
      </c>
      <c r="F696" s="3" t="inlineStr">
        <is>
          <t xml:space="preserve">CENTRO </t>
        </is>
      </c>
      <c r="G696" s="3" t="inlineStr">
        <is>
          <t>09521005</t>
        </is>
      </c>
      <c r="H696" s="3" t="inlineStr">
        <is>
          <t>Fernanda</t>
        </is>
      </c>
      <c r="I696" s="3" t="inlineStr">
        <is>
          <t>Médio</t>
        </is>
      </c>
      <c r="J696" s="2" t="n">
        <v>0</v>
      </c>
      <c r="K696" s="3" t="inlineStr">
        <is>
          <t>Semana 4</t>
        </is>
      </c>
      <c r="L696" s="3" t="inlineStr">
        <is>
          <t>Normal</t>
        </is>
      </c>
      <c r="M696" s="3" t="inlineStr">
        <is>
          <t>chave 695</t>
        </is>
      </c>
    </row>
    <row r="697">
      <c r="A697" s="2" t="n">
        <v>696</v>
      </c>
      <c r="B697" s="3" t="inlineStr">
        <is>
          <t xml:space="preserve">REYNAL COMERCIO DE PAPEIS LTDA </t>
        </is>
      </c>
      <c r="C697" s="3" t="inlineStr">
        <is>
          <t>SUDESTE</t>
        </is>
      </c>
      <c r="D697" s="3" t="inlineStr">
        <is>
          <t>SP</t>
        </is>
      </c>
      <c r="E697" s="3" t="inlineStr">
        <is>
          <t>São Paulo</t>
        </is>
      </c>
      <c r="F697" s="3" t="inlineStr">
        <is>
          <t xml:space="preserve">VL N CACHOEIRINHA </t>
        </is>
      </c>
      <c r="G697" s="3" t="inlineStr">
        <is>
          <t>02721200</t>
        </is>
      </c>
      <c r="H697" s="3" t="inlineStr">
        <is>
          <t>Fernanda</t>
        </is>
      </c>
      <c r="I697" s="3" t="inlineStr">
        <is>
          <t>Estratégico</t>
        </is>
      </c>
      <c r="J697" s="2" t="n">
        <v>0</v>
      </c>
      <c r="K697" s="3" t="inlineStr">
        <is>
          <t>Semana 2</t>
        </is>
      </c>
      <c r="L697" s="3" t="inlineStr">
        <is>
          <t>Alta</t>
        </is>
      </c>
      <c r="M697" s="3" t="inlineStr">
        <is>
          <t>chave 696</t>
        </is>
      </c>
    </row>
    <row r="698">
      <c r="A698" s="2" t="n">
        <v>697</v>
      </c>
      <c r="B698" s="3" t="inlineStr">
        <is>
          <t xml:space="preserve">PROJETA PUBLICIDADE E COMUNICACAO LTDA </t>
        </is>
      </c>
      <c r="C698" s="3" t="inlineStr">
        <is>
          <t>SUDESTE</t>
        </is>
      </c>
      <c r="D698" s="3" t="inlineStr">
        <is>
          <t>SP</t>
        </is>
      </c>
      <c r="E698" s="3" t="inlineStr">
        <is>
          <t>São Paulo</t>
        </is>
      </c>
      <c r="F698" s="3" t="inlineStr">
        <is>
          <t xml:space="preserve">JD PARAISO </t>
        </is>
      </c>
      <c r="G698" s="3" t="inlineStr">
        <is>
          <t>02417180</t>
        </is>
      </c>
      <c r="H698" s="3" t="inlineStr">
        <is>
          <t>Fernanda</t>
        </is>
      </c>
      <c r="I698" s="3" t="inlineStr">
        <is>
          <t>Estratégico</t>
        </is>
      </c>
      <c r="J698" s="2" t="n">
        <v>0</v>
      </c>
      <c r="K698" s="3" t="inlineStr">
        <is>
          <t>Semana 2</t>
        </is>
      </c>
      <c r="L698" s="3" t="inlineStr">
        <is>
          <t>Alta</t>
        </is>
      </c>
      <c r="M698" s="3" t="inlineStr">
        <is>
          <t>chave 697</t>
        </is>
      </c>
    </row>
    <row r="699">
      <c r="A699" s="2" t="n">
        <v>698</v>
      </c>
      <c r="B699" s="3" t="inlineStr">
        <is>
          <t xml:space="preserve">DIGITRON DISTRIBUIDORA TECNOLOGICAS LTDA </t>
        </is>
      </c>
      <c r="C699" s="3" t="inlineStr">
        <is>
          <t>SUDESTE</t>
        </is>
      </c>
      <c r="D699" s="3" t="inlineStr">
        <is>
          <t>SP</t>
        </is>
      </c>
      <c r="E699" s="3" t="inlineStr">
        <is>
          <t>SÃO PAULO</t>
        </is>
      </c>
      <c r="F699" s="3" t="inlineStr">
        <is>
          <t xml:space="preserve">JD ARPOADOR </t>
        </is>
      </c>
      <c r="G699" s="3" t="inlineStr">
        <is>
          <t>05565180</t>
        </is>
      </c>
      <c r="H699" s="3" t="inlineStr">
        <is>
          <t>Fernanda</t>
        </is>
      </c>
      <c r="I699" s="3" t="inlineStr">
        <is>
          <t>Estratégico</t>
        </is>
      </c>
      <c r="J699" s="2" t="n">
        <v>0</v>
      </c>
      <c r="K699" s="3" t="inlineStr">
        <is>
          <t>Semana 1</t>
        </is>
      </c>
      <c r="L699" s="3" t="inlineStr">
        <is>
          <t>Alta</t>
        </is>
      </c>
      <c r="M699" s="3" t="inlineStr">
        <is>
          <t>chave 698</t>
        </is>
      </c>
    </row>
    <row r="700">
      <c r="A700" s="2" t="n">
        <v>699</v>
      </c>
      <c r="B700" s="3" t="inlineStr">
        <is>
          <t xml:space="preserve">TOK E LEVE PAP.E SUPRIM. P/INFORMATICA LTDA </t>
        </is>
      </c>
      <c r="C700" s="3" t="inlineStr">
        <is>
          <t>SUDESTE</t>
        </is>
      </c>
      <c r="D700" s="3" t="inlineStr">
        <is>
          <t>SP</t>
        </is>
      </c>
      <c r="E700" s="3" t="inlineStr">
        <is>
          <t>DIADEMA</t>
        </is>
      </c>
      <c r="F700" s="3" t="inlineStr">
        <is>
          <t xml:space="preserve">SERRARIA </t>
        </is>
      </c>
      <c r="G700" s="3" t="inlineStr">
        <is>
          <t>09981420</t>
        </is>
      </c>
      <c r="H700" s="3" t="inlineStr">
        <is>
          <t>Denilson</t>
        </is>
      </c>
      <c r="I700" s="3" t="inlineStr">
        <is>
          <t>Médio</t>
        </is>
      </c>
      <c r="J700" s="2" t="n">
        <v>748</v>
      </c>
      <c r="K700" s="3" t="inlineStr">
        <is>
          <t>Semana 3</t>
        </is>
      </c>
      <c r="L700" s="3" t="inlineStr">
        <is>
          <t>Normal</t>
        </is>
      </c>
      <c r="M700" s="3" t="inlineStr">
        <is>
          <t>chave 699</t>
        </is>
      </c>
    </row>
    <row r="701">
      <c r="A701" s="2" t="n">
        <v>700</v>
      </c>
      <c r="B701" s="3" t="inlineStr">
        <is>
          <t xml:space="preserve">J S YOU PRESENTES </t>
        </is>
      </c>
      <c r="C701" s="3" t="inlineStr">
        <is>
          <t>SUDESTE</t>
        </is>
      </c>
      <c r="D701" s="3" t="inlineStr">
        <is>
          <t>SP</t>
        </is>
      </c>
      <c r="E701" s="3" t="inlineStr">
        <is>
          <t>São Paulo</t>
        </is>
      </c>
      <c r="F701" s="3" t="inlineStr">
        <is>
          <t xml:space="preserve">PARELHEIROS </t>
        </is>
      </c>
      <c r="G701" s="3" t="inlineStr">
        <is>
          <t>04892000</t>
        </is>
      </c>
      <c r="H701" s="3" t="inlineStr">
        <is>
          <t>Fernanda</t>
        </is>
      </c>
      <c r="I701" s="3" t="inlineStr">
        <is>
          <t>Estratégico</t>
        </is>
      </c>
      <c r="J701" s="2" t="n">
        <v>0</v>
      </c>
      <c r="K701" s="3" t="inlineStr">
        <is>
          <t>Semana 2</t>
        </is>
      </c>
      <c r="L701" s="3" t="inlineStr">
        <is>
          <t>Alta</t>
        </is>
      </c>
      <c r="M701" s="3" t="inlineStr">
        <is>
          <t>chave 700</t>
        </is>
      </c>
    </row>
    <row r="702">
      <c r="A702" s="2" t="n">
        <v>701</v>
      </c>
      <c r="B702" s="3" t="inlineStr">
        <is>
          <t xml:space="preserve">DAMARIS RODRIGUES INDUSTRIA, COMERCIO E IMPORTACAO LTDA </t>
        </is>
      </c>
      <c r="C702" s="3" t="inlineStr">
        <is>
          <t>SUDESTE</t>
        </is>
      </c>
      <c r="D702" s="3" t="inlineStr">
        <is>
          <t>SP</t>
        </is>
      </c>
      <c r="E702" s="3" t="inlineStr">
        <is>
          <t>Ribeirão Preto</t>
        </is>
      </c>
      <c r="F702" s="3" t="inlineStr">
        <is>
          <t xml:space="preserve">RESIDENCIAL PRQ DOS SERVIDORES </t>
        </is>
      </c>
      <c r="G702" s="3" t="inlineStr">
        <is>
          <t>14094234</t>
        </is>
      </c>
      <c r="H702" s="3" t="inlineStr">
        <is>
          <t>Denilson</t>
        </is>
      </c>
      <c r="I702" s="3" t="inlineStr">
        <is>
          <t>Forte</t>
        </is>
      </c>
      <c r="J702" s="2" t="n">
        <v>748</v>
      </c>
      <c r="K702" s="3" t="inlineStr">
        <is>
          <t>Semana 1</t>
        </is>
      </c>
      <c r="L702" s="3" t="inlineStr">
        <is>
          <t>Média</t>
        </is>
      </c>
      <c r="M702" s="3" t="inlineStr">
        <is>
          <t>chave 701</t>
        </is>
      </c>
    </row>
    <row r="703">
      <c r="A703" s="2" t="n">
        <v>702</v>
      </c>
      <c r="B703" s="3" t="inlineStr">
        <is>
          <t xml:space="preserve">MIMO BOM DISTRIBUIDORA LTDA </t>
        </is>
      </c>
      <c r="C703" s="3" t="inlineStr">
        <is>
          <t>SUDESTE</t>
        </is>
      </c>
      <c r="D703" s="3" t="inlineStr">
        <is>
          <t>SP</t>
        </is>
      </c>
      <c r="E703" s="3" t="inlineStr">
        <is>
          <t>ITAPECERICA DA SERRA</t>
        </is>
      </c>
      <c r="F703" s="3" t="inlineStr">
        <is>
          <t xml:space="preserve">JARDIM VALO VELHO </t>
        </is>
      </c>
      <c r="G703" s="3" t="inlineStr">
        <is>
          <t>06856700</t>
        </is>
      </c>
      <c r="H703" s="3" t="inlineStr">
        <is>
          <t>Fernanda</t>
        </is>
      </c>
      <c r="I703" s="3" t="inlineStr">
        <is>
          <t>Médio</t>
        </is>
      </c>
      <c r="J703" s="2" t="n">
        <v>0</v>
      </c>
      <c r="K703" s="3" t="inlineStr">
        <is>
          <t>Semana 4</t>
        </is>
      </c>
      <c r="L703" s="3" t="inlineStr">
        <is>
          <t>Normal</t>
        </is>
      </c>
      <c r="M703" s="3" t="inlineStr">
        <is>
          <t>chave 702</t>
        </is>
      </c>
    </row>
    <row r="704">
      <c r="A704" s="2" t="n">
        <v>703</v>
      </c>
      <c r="B704" s="3" t="inlineStr">
        <is>
          <t xml:space="preserve">FATIMA APARECIDA CALLEGARI PICCININ </t>
        </is>
      </c>
      <c r="C704" s="3" t="inlineStr">
        <is>
          <t>SUDESTE</t>
        </is>
      </c>
      <c r="D704" s="3" t="inlineStr">
        <is>
          <t>SP</t>
        </is>
      </c>
      <c r="E704" s="3" t="inlineStr">
        <is>
          <t>Sumaré</t>
        </is>
      </c>
      <c r="F704" s="3" t="inlineStr">
        <is>
          <t xml:space="preserve">NOVA VENEZA </t>
        </is>
      </c>
      <c r="G704" s="3" t="inlineStr">
        <is>
          <t>13177050</t>
        </is>
      </c>
      <c r="H704" s="3" t="inlineStr">
        <is>
          <t>Fernanda</t>
        </is>
      </c>
      <c r="I704" s="3" t="inlineStr">
        <is>
          <t>Médio</t>
        </is>
      </c>
      <c r="J704" s="2" t="n">
        <v>0</v>
      </c>
      <c r="K704" s="3" t="inlineStr">
        <is>
          <t>Semana 4</t>
        </is>
      </c>
      <c r="L704" s="3" t="inlineStr">
        <is>
          <t>Normal</t>
        </is>
      </c>
      <c r="M704" s="3" t="inlineStr">
        <is>
          <t>chave 703</t>
        </is>
      </c>
    </row>
    <row r="705">
      <c r="A705" s="2" t="n">
        <v>704</v>
      </c>
      <c r="B705" s="3" t="inlineStr">
        <is>
          <t xml:space="preserve">LOJA LUCKY LTDA </t>
        </is>
      </c>
      <c r="C705" s="3" t="inlineStr">
        <is>
          <t>SUDESTE</t>
        </is>
      </c>
      <c r="D705" s="3" t="inlineStr">
        <is>
          <t>SP</t>
        </is>
      </c>
      <c r="E705" s="3" t="inlineStr">
        <is>
          <t>São Paulo</t>
        </is>
      </c>
      <c r="F705" s="3" t="inlineStr">
        <is>
          <t xml:space="preserve">JARDIM REGINA </t>
        </is>
      </c>
      <c r="G705" s="3" t="inlineStr">
        <is>
          <t>05174000</t>
        </is>
      </c>
      <c r="H705" s="3" t="inlineStr">
        <is>
          <t>Fernanda</t>
        </is>
      </c>
      <c r="I705" s="3" t="inlineStr">
        <is>
          <t>Estratégico</t>
        </is>
      </c>
      <c r="J705" s="2" t="n">
        <v>0</v>
      </c>
      <c r="K705" s="3" t="inlineStr">
        <is>
          <t>Semana 2</t>
        </is>
      </c>
      <c r="L705" s="3" t="inlineStr">
        <is>
          <t>Alta</t>
        </is>
      </c>
      <c r="M705" s="3" t="inlineStr">
        <is>
          <t>chave 704</t>
        </is>
      </c>
    </row>
    <row r="706">
      <c r="A706" s="2" t="n">
        <v>705</v>
      </c>
      <c r="B706" s="3" t="inlineStr">
        <is>
          <t xml:space="preserve">BAZAR XERETA LTDA </t>
        </is>
      </c>
      <c r="C706" s="3" t="inlineStr">
        <is>
          <t>SUDESTE</t>
        </is>
      </c>
      <c r="D706" s="3" t="inlineStr">
        <is>
          <t>SP</t>
        </is>
      </c>
      <c r="E706" s="3" t="inlineStr">
        <is>
          <t>ITAQUAQUECETUBA</t>
        </is>
      </c>
      <c r="F706" s="3" t="inlineStr">
        <is>
          <t xml:space="preserve">VILA VIRGINIA </t>
        </is>
      </c>
      <c r="G706" s="3" t="inlineStr">
        <is>
          <t>08573000</t>
        </is>
      </c>
      <c r="H706" s="3" t="inlineStr">
        <is>
          <t>Denilson</t>
        </is>
      </c>
      <c r="I706" s="3" t="inlineStr">
        <is>
          <t>Médio</t>
        </is>
      </c>
      <c r="J706" s="2" t="n">
        <v>748</v>
      </c>
      <c r="K706" s="3" t="inlineStr">
        <is>
          <t>Semana 4</t>
        </is>
      </c>
      <c r="L706" s="3" t="inlineStr">
        <is>
          <t>Normal</t>
        </is>
      </c>
      <c r="M706" s="3" t="inlineStr">
        <is>
          <t>chave 705</t>
        </is>
      </c>
    </row>
    <row r="707">
      <c r="A707" s="2" t="n">
        <v>706</v>
      </c>
      <c r="B707" s="3" t="inlineStr">
        <is>
          <t xml:space="preserve">SHOPP CLICK ECOMMERCE LTDA </t>
        </is>
      </c>
      <c r="C707" s="3" t="inlineStr">
        <is>
          <t>SUDESTE</t>
        </is>
      </c>
      <c r="D707" s="3" t="inlineStr">
        <is>
          <t>SP</t>
        </is>
      </c>
      <c r="E707" s="3" t="inlineStr">
        <is>
          <t>JUNDIAI</t>
        </is>
      </c>
      <c r="F707" s="3" t="inlineStr">
        <is>
          <t xml:space="preserve">JARDIM FLORIDA </t>
        </is>
      </c>
      <c r="G707" s="3" t="inlineStr">
        <is>
          <t>13208703</t>
        </is>
      </c>
      <c r="H707" s="3" t="inlineStr">
        <is>
          <t>Denilson</t>
        </is>
      </c>
      <c r="I707" s="3" t="inlineStr">
        <is>
          <t>Forte</t>
        </is>
      </c>
      <c r="J707" s="2" t="n">
        <v>748</v>
      </c>
      <c r="K707" s="3" t="inlineStr">
        <is>
          <t>Semana 1</t>
        </is>
      </c>
      <c r="L707" s="3" t="inlineStr">
        <is>
          <t>Média</t>
        </is>
      </c>
      <c r="M707" s="3" t="inlineStr">
        <is>
          <t>chave 706</t>
        </is>
      </c>
    </row>
    <row r="708">
      <c r="A708" s="2" t="n">
        <v>707</v>
      </c>
      <c r="B708" s="3" t="inlineStr">
        <is>
          <t xml:space="preserve">DUARTECH COMERCIAL LTDA </t>
        </is>
      </c>
      <c r="C708" s="3" t="inlineStr">
        <is>
          <t>SUDESTE</t>
        </is>
      </c>
      <c r="D708" s="3" t="inlineStr">
        <is>
          <t>SP</t>
        </is>
      </c>
      <c r="E708" s="3" t="inlineStr">
        <is>
          <t>Sorocaba</t>
        </is>
      </c>
      <c r="F708" s="3" t="inlineStr">
        <is>
          <t xml:space="preserve">JARDIM LEOCADIA </t>
        </is>
      </c>
      <c r="G708" s="3" t="inlineStr">
        <is>
          <t>18085450</t>
        </is>
      </c>
      <c r="H708" s="3" t="inlineStr">
        <is>
          <t>Denilson</t>
        </is>
      </c>
      <c r="I708" s="3" t="inlineStr">
        <is>
          <t>Forte</t>
        </is>
      </c>
      <c r="J708" s="2" t="n">
        <v>748</v>
      </c>
      <c r="K708" s="3" t="inlineStr">
        <is>
          <t>Semana 2</t>
        </is>
      </c>
      <c r="L708" s="3" t="inlineStr">
        <is>
          <t>Média</t>
        </is>
      </c>
      <c r="M708" s="3" t="inlineStr">
        <is>
          <t>chave 707</t>
        </is>
      </c>
    </row>
    <row r="709">
      <c r="A709" s="2" t="n">
        <v>708</v>
      </c>
      <c r="B709" s="3" t="inlineStr">
        <is>
          <t xml:space="preserve">BIG NUNES COMERCIAL LTDA </t>
        </is>
      </c>
      <c r="C709" s="3" t="inlineStr">
        <is>
          <t>SUDESTE</t>
        </is>
      </c>
      <c r="D709" s="3" t="inlineStr">
        <is>
          <t>SP</t>
        </is>
      </c>
      <c r="E709" s="3" t="inlineStr">
        <is>
          <t>São Paulo</t>
        </is>
      </c>
      <c r="F709" s="3" t="inlineStr">
        <is>
          <t xml:space="preserve">CENTRO </t>
        </is>
      </c>
      <c r="G709" s="3" t="inlineStr">
        <is>
          <t>01025001</t>
        </is>
      </c>
      <c r="H709" s="3" t="inlineStr">
        <is>
          <t>Fernanda</t>
        </is>
      </c>
      <c r="I709" s="3" t="inlineStr">
        <is>
          <t>Estratégico</t>
        </is>
      </c>
      <c r="J709" s="2" t="n">
        <v>0</v>
      </c>
      <c r="K709" s="3" t="inlineStr">
        <is>
          <t>Semana 2</t>
        </is>
      </c>
      <c r="L709" s="3" t="inlineStr">
        <is>
          <t>Alta</t>
        </is>
      </c>
      <c r="M709" s="3" t="inlineStr">
        <is>
          <t>chave 708</t>
        </is>
      </c>
    </row>
    <row r="710">
      <c r="A710" s="2" t="n">
        <v>709</v>
      </c>
      <c r="B710" s="3" t="inlineStr">
        <is>
          <t xml:space="preserve">MATRIZ COMERCIO DE PAPEIS LTDA </t>
        </is>
      </c>
      <c r="C710" s="3" t="inlineStr">
        <is>
          <t>SUDESTE</t>
        </is>
      </c>
      <c r="D710" s="3" t="inlineStr">
        <is>
          <t>SP</t>
        </is>
      </c>
      <c r="E710" s="3" t="inlineStr">
        <is>
          <t>São Paulo</t>
        </is>
      </c>
      <c r="F710" s="3" t="inlineStr">
        <is>
          <t xml:space="preserve">SANTO AMARO </t>
        </is>
      </c>
      <c r="G710" s="3" t="inlineStr">
        <is>
          <t>04746000</t>
        </is>
      </c>
      <c r="H710" s="3" t="inlineStr">
        <is>
          <t>Fernanda</t>
        </is>
      </c>
      <c r="I710" s="3" t="inlineStr">
        <is>
          <t>Estratégico</t>
        </is>
      </c>
      <c r="J710" s="2" t="n">
        <v>0</v>
      </c>
      <c r="K710" s="3" t="inlineStr">
        <is>
          <t>Semana 2</t>
        </is>
      </c>
      <c r="L710" s="3" t="inlineStr">
        <is>
          <t>Alta</t>
        </is>
      </c>
      <c r="M710" s="3" t="inlineStr">
        <is>
          <t>chave 709</t>
        </is>
      </c>
    </row>
    <row r="711">
      <c r="A711" s="2" t="n">
        <v>710</v>
      </c>
      <c r="B711" s="3" t="inlineStr">
        <is>
          <t xml:space="preserve">STARCAD BRASIL IND E COM DE CONFECCOES LTDA </t>
        </is>
      </c>
      <c r="C711" s="3" t="inlineStr">
        <is>
          <t>SUDESTE</t>
        </is>
      </c>
      <c r="D711" s="3" t="inlineStr">
        <is>
          <t>SP</t>
        </is>
      </c>
      <c r="E711" s="3" t="inlineStr">
        <is>
          <t>Santo André</t>
        </is>
      </c>
      <c r="F711" s="3" t="inlineStr">
        <is>
          <t xml:space="preserve">PARQUE ORATORIO </t>
        </is>
      </c>
      <c r="G711" s="3" t="inlineStr">
        <is>
          <t>09251100</t>
        </is>
      </c>
      <c r="H711" s="3" t="inlineStr">
        <is>
          <t>Denilson</t>
        </is>
      </c>
      <c r="I711" s="3" t="inlineStr">
        <is>
          <t>Estratégico</t>
        </is>
      </c>
      <c r="J711" s="2" t="n">
        <v>748</v>
      </c>
      <c r="K711" s="3" t="inlineStr">
        <is>
          <t>Semana 1</t>
        </is>
      </c>
      <c r="L711" s="3" t="inlineStr">
        <is>
          <t>Alta</t>
        </is>
      </c>
      <c r="M711" s="3" t="inlineStr">
        <is>
          <t>chave 710</t>
        </is>
      </c>
    </row>
    <row r="712">
      <c r="A712" s="2" t="n">
        <v>711</v>
      </c>
      <c r="B712" s="3" t="inlineStr">
        <is>
          <t xml:space="preserve">STEFFANY BIJUTERIAS, PRES E UTILIDADES LTDA </t>
        </is>
      </c>
      <c r="C712" s="3" t="inlineStr">
        <is>
          <t>SUDESTE</t>
        </is>
      </c>
      <c r="D712" s="3" t="inlineStr">
        <is>
          <t>SP</t>
        </is>
      </c>
      <c r="E712" s="3" t="inlineStr">
        <is>
          <t>Marília</t>
        </is>
      </c>
      <c r="F712" s="3" t="inlineStr">
        <is>
          <t xml:space="preserve">CENTRO </t>
        </is>
      </c>
      <c r="G712" s="3" t="inlineStr">
        <is>
          <t>17500120</t>
        </is>
      </c>
      <c r="H712" s="3" t="inlineStr">
        <is>
          <t>Denilson</t>
        </is>
      </c>
      <c r="I712" s="3" t="inlineStr">
        <is>
          <t>Médio</t>
        </is>
      </c>
      <c r="J712" s="2" t="n">
        <v>748</v>
      </c>
      <c r="K712" s="3" t="inlineStr">
        <is>
          <t>Semana 4</t>
        </is>
      </c>
      <c r="L712" s="3" t="inlineStr">
        <is>
          <t>Normal</t>
        </is>
      </c>
      <c r="M712" s="3" t="inlineStr">
        <is>
          <t>chave 711</t>
        </is>
      </c>
    </row>
    <row r="713">
      <c r="A713" s="2" t="n">
        <v>712</v>
      </c>
      <c r="B713" s="3" t="inlineStr">
        <is>
          <t xml:space="preserve">LOURDES P S MARTINS PAPELARIA LTDA </t>
        </is>
      </c>
      <c r="C713" s="3" t="inlineStr">
        <is>
          <t>SUDESTE</t>
        </is>
      </c>
      <c r="D713" s="3" t="inlineStr">
        <is>
          <t>SP</t>
        </is>
      </c>
      <c r="E713" s="3" t="inlineStr">
        <is>
          <t>MOGI DAS CRUZES</t>
        </is>
      </c>
      <c r="F713" s="3" t="inlineStr">
        <is>
          <t xml:space="preserve">BRAZ CUBAS </t>
        </is>
      </c>
      <c r="G713" s="3" t="inlineStr">
        <is>
          <t>08740010</t>
        </is>
      </c>
      <c r="H713" s="3" t="inlineStr">
        <is>
          <t>Fernanda</t>
        </is>
      </c>
      <c r="I713" s="3" t="inlineStr">
        <is>
          <t>Médio</t>
        </is>
      </c>
      <c r="J713" s="2" t="n">
        <v>0</v>
      </c>
      <c r="K713" s="3" t="inlineStr">
        <is>
          <t>Semana 4</t>
        </is>
      </c>
      <c r="L713" s="3" t="inlineStr">
        <is>
          <t>Normal</t>
        </is>
      </c>
      <c r="M713" s="3" t="inlineStr">
        <is>
          <t>chave 712</t>
        </is>
      </c>
    </row>
    <row r="714">
      <c r="A714" s="2" t="n">
        <v>713</v>
      </c>
      <c r="B714" s="3" t="inlineStr">
        <is>
          <t xml:space="preserve">ALAN DE SOUZA ARAUJO JORNALEIRO </t>
        </is>
      </c>
      <c r="C714" s="3" t="inlineStr">
        <is>
          <t>SUDESTE</t>
        </is>
      </c>
      <c r="D714" s="3" t="inlineStr">
        <is>
          <t>SP</t>
        </is>
      </c>
      <c r="E714" s="3" t="inlineStr">
        <is>
          <t>São Paulo</t>
        </is>
      </c>
      <c r="F714" s="3" t="inlineStr">
        <is>
          <t xml:space="preserve">JARDIM MYRNA </t>
        </is>
      </c>
      <c r="G714" s="3" t="inlineStr">
        <is>
          <t>04856070</t>
        </is>
      </c>
      <c r="H714" s="3" t="inlineStr">
        <is>
          <t>Fernanda</t>
        </is>
      </c>
      <c r="I714" s="3" t="inlineStr">
        <is>
          <t>Estratégico</t>
        </is>
      </c>
      <c r="J714" s="2" t="n">
        <v>0</v>
      </c>
      <c r="K714" s="3" t="inlineStr">
        <is>
          <t>Semana 2</t>
        </is>
      </c>
      <c r="L714" s="3" t="inlineStr">
        <is>
          <t>Alta</t>
        </is>
      </c>
      <c r="M714" s="3" t="inlineStr">
        <is>
          <t>chave 713</t>
        </is>
      </c>
    </row>
    <row r="715">
      <c r="A715" s="2" t="n">
        <v>714</v>
      </c>
      <c r="B715" s="3" t="inlineStr">
        <is>
          <t xml:space="preserve">MERAKI PORCELANAS E MATERIAIS ARTISTICOS LTDA </t>
        </is>
      </c>
      <c r="C715" s="3" t="inlineStr">
        <is>
          <t>SUDESTE</t>
        </is>
      </c>
      <c r="D715" s="3" t="inlineStr">
        <is>
          <t>SP</t>
        </is>
      </c>
      <c r="E715" s="3" t="inlineStr">
        <is>
          <t>AMERICANA</t>
        </is>
      </c>
      <c r="F715" s="3" t="inlineStr">
        <is>
          <t xml:space="preserve">JARDIM IPIRANGA </t>
        </is>
      </c>
      <c r="G715" s="3" t="inlineStr">
        <is>
          <t>13468560</t>
        </is>
      </c>
      <c r="H715" s="3" t="inlineStr">
        <is>
          <t>Denilson</t>
        </is>
      </c>
      <c r="I715" s="3" t="inlineStr">
        <is>
          <t>Médio</t>
        </is>
      </c>
      <c r="J715" s="2" t="n">
        <v>748</v>
      </c>
      <c r="K715" s="3" t="inlineStr">
        <is>
          <t>Semana 3</t>
        </is>
      </c>
      <c r="L715" s="3" t="inlineStr">
        <is>
          <t>Normal</t>
        </is>
      </c>
      <c r="M715" s="3" t="inlineStr">
        <is>
          <t>chave 714</t>
        </is>
      </c>
    </row>
    <row r="716">
      <c r="A716" s="2" t="n">
        <v>715</v>
      </c>
      <c r="B716" s="3" t="inlineStr">
        <is>
          <t xml:space="preserve">ARMARINHO JORGE LTDA </t>
        </is>
      </c>
      <c r="C716" s="3" t="inlineStr">
        <is>
          <t>SUDESTE</t>
        </is>
      </c>
      <c r="D716" s="3" t="inlineStr">
        <is>
          <t>SP</t>
        </is>
      </c>
      <c r="E716" s="3" t="inlineStr">
        <is>
          <t>São Paulo</t>
        </is>
      </c>
      <c r="F716" s="3" t="inlineStr">
        <is>
          <t xml:space="preserve">CENTRO </t>
        </is>
      </c>
      <c r="G716" s="3" t="inlineStr">
        <is>
          <t>01025000</t>
        </is>
      </c>
      <c r="H716" s="3" t="inlineStr">
        <is>
          <t>Fernanda</t>
        </is>
      </c>
      <c r="I716" s="3" t="inlineStr">
        <is>
          <t>Estratégico</t>
        </is>
      </c>
      <c r="J716" s="2" t="n">
        <v>0</v>
      </c>
      <c r="K716" s="3" t="inlineStr">
        <is>
          <t>Semana 2</t>
        </is>
      </c>
      <c r="L716" s="3" t="inlineStr">
        <is>
          <t>Alta</t>
        </is>
      </c>
      <c r="M716" s="3" t="inlineStr">
        <is>
          <t>chave 715</t>
        </is>
      </c>
    </row>
    <row r="717">
      <c r="A717" s="2" t="n">
        <v>716</v>
      </c>
      <c r="B717" s="3" t="inlineStr">
        <is>
          <t xml:space="preserve">SUPPORT EDITORA E PAPELARIA LTDA </t>
        </is>
      </c>
      <c r="C717" s="3" t="inlineStr">
        <is>
          <t>SUDESTE</t>
        </is>
      </c>
      <c r="D717" s="3" t="inlineStr">
        <is>
          <t>SP</t>
        </is>
      </c>
      <c r="E717" s="3" t="inlineStr">
        <is>
          <t>SÃO PAULO</t>
        </is>
      </c>
      <c r="F717" s="3" t="inlineStr">
        <is>
          <t xml:space="preserve">VILA MARIANA </t>
        </is>
      </c>
      <c r="G717" s="3" t="inlineStr">
        <is>
          <t>04112002</t>
        </is>
      </c>
      <c r="H717" s="3" t="inlineStr">
        <is>
          <t>Fernanda</t>
        </is>
      </c>
      <c r="I717" s="3" t="inlineStr">
        <is>
          <t>Estratégico</t>
        </is>
      </c>
      <c r="J717" s="2" t="n">
        <v>0</v>
      </c>
      <c r="K717" s="3" t="inlineStr">
        <is>
          <t>Semana 1</t>
        </is>
      </c>
      <c r="L717" s="3" t="inlineStr">
        <is>
          <t>Alta</t>
        </is>
      </c>
      <c r="M717" s="3" t="inlineStr">
        <is>
          <t>chave 716</t>
        </is>
      </c>
    </row>
    <row r="718">
      <c r="A718" s="2" t="n">
        <v>717</v>
      </c>
      <c r="B718" s="3" t="inlineStr">
        <is>
          <t xml:space="preserve">LAPAPEL COMERCIO DE PAPEIS LTDA </t>
        </is>
      </c>
      <c r="C718" s="3" t="inlineStr">
        <is>
          <t>SUDESTE</t>
        </is>
      </c>
      <c r="D718" s="3" t="inlineStr">
        <is>
          <t>SP</t>
        </is>
      </c>
      <c r="E718" s="3" t="inlineStr">
        <is>
          <t>São Paulo</t>
        </is>
      </c>
      <c r="F718" s="3" t="inlineStr">
        <is>
          <t xml:space="preserve">LAPA </t>
        </is>
      </c>
      <c r="G718" s="3" t="inlineStr">
        <is>
          <t>05050020</t>
        </is>
      </c>
      <c r="H718" s="3" t="inlineStr">
        <is>
          <t>Fernanda</t>
        </is>
      </c>
      <c r="I718" s="3" t="inlineStr">
        <is>
          <t>Estratégico</t>
        </is>
      </c>
      <c r="J718" s="2" t="n">
        <v>0</v>
      </c>
      <c r="K718" s="3" t="inlineStr">
        <is>
          <t>Semana 2</t>
        </is>
      </c>
      <c r="L718" s="3" t="inlineStr">
        <is>
          <t>Alta</t>
        </is>
      </c>
      <c r="M718" s="3" t="inlineStr">
        <is>
          <t>chave 717</t>
        </is>
      </c>
    </row>
    <row r="719">
      <c r="A719" s="2" t="n">
        <v>718</v>
      </c>
      <c r="B719" s="3" t="inlineStr">
        <is>
          <t xml:space="preserve">RENEI - COMERCIAL PAPELARIA, INFORMATICA E DOCERIA LTDA </t>
        </is>
      </c>
      <c r="C719" s="3" t="inlineStr">
        <is>
          <t>SUDESTE</t>
        </is>
      </c>
      <c r="D719" s="3" t="inlineStr">
        <is>
          <t>SP</t>
        </is>
      </c>
      <c r="E719" s="3" t="inlineStr">
        <is>
          <t>SÃO PAULO</t>
        </is>
      </c>
      <c r="F719" s="3" t="inlineStr">
        <is>
          <t xml:space="preserve">VILA ISA </t>
        </is>
      </c>
      <c r="G719" s="3" t="inlineStr">
        <is>
          <t>04686001</t>
        </is>
      </c>
      <c r="H719" s="3" t="inlineStr">
        <is>
          <t>Fernanda</t>
        </is>
      </c>
      <c r="I719" s="3" t="inlineStr">
        <is>
          <t>Estratégico</t>
        </is>
      </c>
      <c r="J719" s="2" t="n">
        <v>0</v>
      </c>
      <c r="K719" s="3" t="inlineStr">
        <is>
          <t>Semana 1</t>
        </is>
      </c>
      <c r="L719" s="3" t="inlineStr">
        <is>
          <t>Alta</t>
        </is>
      </c>
      <c r="M719" s="3" t="inlineStr">
        <is>
          <t>chave 718</t>
        </is>
      </c>
    </row>
    <row r="720">
      <c r="A720" s="2" t="n">
        <v>719</v>
      </c>
      <c r="B720" s="3" t="inlineStr">
        <is>
          <t xml:space="preserve">FUNDACAO JOAO PAULO II </t>
        </is>
      </c>
      <c r="C720" s="3" t="inlineStr">
        <is>
          <t>SUDESTE</t>
        </is>
      </c>
      <c r="D720" s="3" t="inlineStr">
        <is>
          <t>SP</t>
        </is>
      </c>
      <c r="E720" s="3" t="inlineStr">
        <is>
          <t>Cajamar</t>
        </is>
      </c>
      <c r="F720" s="3" t="inlineStr">
        <is>
          <t xml:space="preserve">EMPRESARIAL ANHANGUERA </t>
        </is>
      </c>
      <c r="G720" s="3" t="inlineStr">
        <is>
          <t>07753580</t>
        </is>
      </c>
      <c r="H720" s="3" t="inlineStr">
        <is>
          <t>Denilson</t>
        </is>
      </c>
      <c r="I720" s="3" t="inlineStr">
        <is>
          <t>Médio</t>
        </is>
      </c>
      <c r="J720" s="2" t="n">
        <v>748</v>
      </c>
      <c r="K720" s="3" t="inlineStr">
        <is>
          <t>Semana 3</t>
        </is>
      </c>
      <c r="L720" s="3" t="inlineStr">
        <is>
          <t>Normal</t>
        </is>
      </c>
      <c r="M720" s="3" t="inlineStr">
        <is>
          <t>chave 719</t>
        </is>
      </c>
    </row>
    <row r="721">
      <c r="A721" s="2" t="n">
        <v>720</v>
      </c>
      <c r="B721" s="3" t="inlineStr">
        <is>
          <t xml:space="preserve">VINICIUS VASQUES MORAES </t>
        </is>
      </c>
      <c r="C721" s="3" t="inlineStr">
        <is>
          <t>SUDESTE</t>
        </is>
      </c>
      <c r="D721" s="3" t="inlineStr">
        <is>
          <t>SP</t>
        </is>
      </c>
      <c r="E721" s="3" t="inlineStr">
        <is>
          <t>BARRETOS</t>
        </is>
      </c>
      <c r="F721" s="3" t="inlineStr">
        <is>
          <t xml:space="preserve">JOCKEY CLUB </t>
        </is>
      </c>
      <c r="G721" s="3" t="inlineStr">
        <is>
          <t>14787270</t>
        </is>
      </c>
      <c r="H721" s="3" t="inlineStr">
        <is>
          <t>Denilson</t>
        </is>
      </c>
      <c r="I721" s="3" t="inlineStr">
        <is>
          <t>Médio</t>
        </is>
      </c>
      <c r="J721" s="2" t="n">
        <v>748</v>
      </c>
      <c r="K721" s="3" t="inlineStr">
        <is>
          <t>Semana 3</t>
        </is>
      </c>
      <c r="L721" s="3" t="inlineStr">
        <is>
          <t>Normal</t>
        </is>
      </c>
      <c r="M721" s="3" t="inlineStr">
        <is>
          <t>chave 720</t>
        </is>
      </c>
    </row>
    <row r="722">
      <c r="A722" s="2" t="n">
        <v>721</v>
      </c>
      <c r="B722" s="3" t="inlineStr">
        <is>
          <t xml:space="preserve">ILUMINARE ESCOLA INTERNACIONAL LTDA </t>
        </is>
      </c>
      <c r="C722" s="3" t="inlineStr">
        <is>
          <t>SUDESTE</t>
        </is>
      </c>
      <c r="D722" s="3" t="inlineStr">
        <is>
          <t>SP</t>
        </is>
      </c>
      <c r="E722" s="3" t="inlineStr">
        <is>
          <t>SÃO PAULO</t>
        </is>
      </c>
      <c r="F722" s="3" t="inlineStr">
        <is>
          <t xml:space="preserve">PINHEIROS </t>
        </is>
      </c>
      <c r="G722" s="3" t="inlineStr">
        <is>
          <t>05422011</t>
        </is>
      </c>
      <c r="H722" s="3" t="inlineStr">
        <is>
          <t>Fernanda</t>
        </is>
      </c>
      <c r="I722" s="3" t="inlineStr">
        <is>
          <t>Estratégico</t>
        </is>
      </c>
      <c r="J722" s="2" t="n">
        <v>0</v>
      </c>
      <c r="K722" s="3" t="inlineStr">
        <is>
          <t>Semana 1</t>
        </is>
      </c>
      <c r="L722" s="3" t="inlineStr">
        <is>
          <t>Alta</t>
        </is>
      </c>
      <c r="M722" s="3" t="inlineStr">
        <is>
          <t>chave 721</t>
        </is>
      </c>
    </row>
    <row r="723">
      <c r="A723" s="2" t="n">
        <v>722</v>
      </c>
      <c r="B723" s="3" t="inlineStr">
        <is>
          <t xml:space="preserve">PAPELARIA NOSSA SENHORA DA LAPA LTDA </t>
        </is>
      </c>
      <c r="C723" s="3" t="inlineStr">
        <is>
          <t>SUDESTE</t>
        </is>
      </c>
      <c r="D723" s="3" t="inlineStr">
        <is>
          <t>SP</t>
        </is>
      </c>
      <c r="E723" s="3" t="inlineStr">
        <is>
          <t>São Paulo</t>
        </is>
      </c>
      <c r="F723" s="3" t="inlineStr">
        <is>
          <t xml:space="preserve">LAPA </t>
        </is>
      </c>
      <c r="G723" s="3" t="inlineStr">
        <is>
          <t>05074020</t>
        </is>
      </c>
      <c r="H723" s="3" t="inlineStr">
        <is>
          <t>Fernanda</t>
        </is>
      </c>
      <c r="I723" s="3" t="inlineStr">
        <is>
          <t>Estratégico</t>
        </is>
      </c>
      <c r="J723" s="2" t="n">
        <v>0</v>
      </c>
      <c r="K723" s="3" t="inlineStr">
        <is>
          <t>Semana 2</t>
        </is>
      </c>
      <c r="L723" s="3" t="inlineStr">
        <is>
          <t>Alta</t>
        </is>
      </c>
      <c r="M723" s="3" t="inlineStr">
        <is>
          <t>chave 722</t>
        </is>
      </c>
    </row>
    <row r="724">
      <c r="A724" s="2" t="n">
        <v>723</v>
      </c>
      <c r="B724" s="3" t="inlineStr">
        <is>
          <t xml:space="preserve">BAZAR TUCANO LTDA </t>
        </is>
      </c>
      <c r="C724" s="3" t="inlineStr">
        <is>
          <t>SUDESTE</t>
        </is>
      </c>
      <c r="D724" s="3" t="inlineStr">
        <is>
          <t>SP</t>
        </is>
      </c>
      <c r="E724" s="3" t="inlineStr">
        <is>
          <t>São Paulo</t>
        </is>
      </c>
      <c r="F724" s="3" t="inlineStr">
        <is>
          <t xml:space="preserve">CIDADE ADEMAR </t>
        </is>
      </c>
      <c r="G724" s="3" t="inlineStr">
        <is>
          <t>04366000</t>
        </is>
      </c>
      <c r="H724" s="3" t="inlineStr">
        <is>
          <t>Fernanda</t>
        </is>
      </c>
      <c r="I724" s="3" t="inlineStr">
        <is>
          <t>Estratégico</t>
        </is>
      </c>
      <c r="J724" s="2" t="n">
        <v>0</v>
      </c>
      <c r="K724" s="3" t="inlineStr">
        <is>
          <t>Semana 3</t>
        </is>
      </c>
      <c r="L724" s="3" t="inlineStr">
        <is>
          <t>Alta</t>
        </is>
      </c>
      <c r="M724" s="3" t="inlineStr">
        <is>
          <t>chave 723</t>
        </is>
      </c>
    </row>
    <row r="725">
      <c r="A725" s="2" t="n">
        <v>724</v>
      </c>
      <c r="B725" s="3" t="inlineStr">
        <is>
          <t xml:space="preserve">REAL MIX COM DE UTILIDADE  DOMESTICA LTDA </t>
        </is>
      </c>
      <c r="C725" s="3" t="inlineStr">
        <is>
          <t>SUDESTE</t>
        </is>
      </c>
      <c r="D725" s="3" t="inlineStr">
        <is>
          <t>SP</t>
        </is>
      </c>
      <c r="E725" s="3" t="inlineStr">
        <is>
          <t>São Paulo</t>
        </is>
      </c>
      <c r="F725" s="3" t="inlineStr">
        <is>
          <t xml:space="preserve">PIRAJUSSARA </t>
        </is>
      </c>
      <c r="G725" s="3" t="inlineStr">
        <is>
          <t>05789001</t>
        </is>
      </c>
      <c r="H725" s="3" t="inlineStr">
        <is>
          <t>Fernanda</t>
        </is>
      </c>
      <c r="I725" s="3" t="inlineStr">
        <is>
          <t>Estratégico</t>
        </is>
      </c>
      <c r="J725" s="2" t="n">
        <v>0</v>
      </c>
      <c r="K725" s="3" t="inlineStr">
        <is>
          <t>Semana 3</t>
        </is>
      </c>
      <c r="L725" s="3" t="inlineStr">
        <is>
          <t>Alta</t>
        </is>
      </c>
      <c r="M725" s="3" t="inlineStr">
        <is>
          <t>chave 724</t>
        </is>
      </c>
    </row>
    <row r="726">
      <c r="A726" s="2" t="n">
        <v>725</v>
      </c>
      <c r="B726" s="3" t="inlineStr">
        <is>
          <t xml:space="preserve">49.940.084 MATHEUS KAUAN GONCALVES LEITE </t>
        </is>
      </c>
      <c r="C726" s="3" t="inlineStr">
        <is>
          <t>SUDESTE</t>
        </is>
      </c>
      <c r="D726" s="3" t="inlineStr">
        <is>
          <t>SP</t>
        </is>
      </c>
      <c r="E726" s="3" t="inlineStr">
        <is>
          <t>Hortolândia</t>
        </is>
      </c>
      <c r="F726" s="3" t="inlineStr">
        <is>
          <t xml:space="preserve">JARDIM DAS FIGUEIRAS II </t>
        </is>
      </c>
      <c r="G726" s="3" t="inlineStr">
        <is>
          <t>13187249</t>
        </is>
      </c>
      <c r="H726" s="3" t="inlineStr">
        <is>
          <t>Denilson</t>
        </is>
      </c>
      <c r="I726" s="3" t="inlineStr">
        <is>
          <t>Médio</t>
        </is>
      </c>
      <c r="J726" s="2" t="n">
        <v>748</v>
      </c>
      <c r="K726" s="3" t="inlineStr">
        <is>
          <t>Semana 3</t>
        </is>
      </c>
      <c r="L726" s="3" t="inlineStr">
        <is>
          <t>Normal</t>
        </is>
      </c>
      <c r="M726" s="3" t="inlineStr">
        <is>
          <t>chave 725</t>
        </is>
      </c>
    </row>
    <row r="727">
      <c r="A727" s="2" t="n">
        <v>726</v>
      </c>
      <c r="B727" s="3" t="inlineStr">
        <is>
          <t xml:space="preserve">NIVALMIX LOJA DE DEPARTAMENTOS LTDA </t>
        </is>
      </c>
      <c r="C727" s="3" t="inlineStr">
        <is>
          <t>SUDESTE</t>
        </is>
      </c>
      <c r="D727" s="3" t="inlineStr">
        <is>
          <t>SP</t>
        </is>
      </c>
      <c r="E727" s="3" t="inlineStr">
        <is>
          <t>São Bernardo do Campo</t>
        </is>
      </c>
      <c r="F727" s="3" t="inlineStr">
        <is>
          <t xml:space="preserve">CENTRO </t>
        </is>
      </c>
      <c r="G727" s="3" t="inlineStr">
        <is>
          <t>09710001</t>
        </is>
      </c>
      <c r="H727" s="3" t="inlineStr">
        <is>
          <t>Denilson</t>
        </is>
      </c>
      <c r="I727" s="3" t="inlineStr">
        <is>
          <t>Estratégico</t>
        </is>
      </c>
      <c r="J727" s="2" t="n">
        <v>748</v>
      </c>
      <c r="K727" s="3" t="inlineStr">
        <is>
          <t>Semana 1</t>
        </is>
      </c>
      <c r="L727" s="3" t="inlineStr">
        <is>
          <t>Alta</t>
        </is>
      </c>
      <c r="M727" s="3" t="inlineStr">
        <is>
          <t>chave 726</t>
        </is>
      </c>
    </row>
    <row r="728">
      <c r="A728" s="2" t="n">
        <v>727</v>
      </c>
      <c r="B728" s="3" t="inlineStr">
        <is>
          <t xml:space="preserve">COMERCIAL PAPELARY CAPIVARI LTDA </t>
        </is>
      </c>
      <c r="C728" s="3" t="inlineStr">
        <is>
          <t>SUDESTE</t>
        </is>
      </c>
      <c r="D728" s="3" t="inlineStr">
        <is>
          <t>SP</t>
        </is>
      </c>
      <c r="E728" s="3" t="inlineStr">
        <is>
          <t>CAPIVARI</t>
        </is>
      </c>
      <c r="F728" s="3" t="inlineStr">
        <is>
          <t xml:space="preserve">CENTRO </t>
        </is>
      </c>
      <c r="G728" s="3" t="inlineStr">
        <is>
          <t>13360000</t>
        </is>
      </c>
      <c r="H728" s="3" t="inlineStr">
        <is>
          <t>Denilson</t>
        </is>
      </c>
      <c r="I728" s="3" t="inlineStr">
        <is>
          <t>Médio</t>
        </is>
      </c>
      <c r="J728" s="2" t="n">
        <v>748</v>
      </c>
      <c r="K728" s="3" t="inlineStr">
        <is>
          <t>Semana 3</t>
        </is>
      </c>
      <c r="L728" s="3" t="inlineStr">
        <is>
          <t>Normal</t>
        </is>
      </c>
      <c r="M728" s="3" t="inlineStr">
        <is>
          <t>chave 727</t>
        </is>
      </c>
    </row>
    <row r="729">
      <c r="A729" s="2" t="n">
        <v>728</v>
      </c>
      <c r="B729" s="3" t="inlineStr">
        <is>
          <t xml:space="preserve">AKAI KB MAGAZINE E COSMETICOS LTDA </t>
        </is>
      </c>
      <c r="C729" s="3" t="inlineStr">
        <is>
          <t>SUDESTE</t>
        </is>
      </c>
      <c r="D729" s="3" t="inlineStr">
        <is>
          <t>SP</t>
        </is>
      </c>
      <c r="E729" s="3" t="inlineStr">
        <is>
          <t>SÃO VICENTE</t>
        </is>
      </c>
      <c r="F729" s="3" t="inlineStr">
        <is>
          <t xml:space="preserve">CENTRO </t>
        </is>
      </c>
      <c r="G729" s="3" t="inlineStr">
        <is>
          <t>11310000</t>
        </is>
      </c>
      <c r="H729" s="3" t="inlineStr">
        <is>
          <t>Denilson</t>
        </is>
      </c>
      <c r="I729" s="3" t="inlineStr">
        <is>
          <t>Médio</t>
        </is>
      </c>
      <c r="J729" s="2" t="n">
        <v>748</v>
      </c>
      <c r="K729" s="3" t="inlineStr">
        <is>
          <t>Semana 4</t>
        </is>
      </c>
      <c r="L729" s="3" t="inlineStr">
        <is>
          <t>Normal</t>
        </is>
      </c>
      <c r="M729" s="3" t="inlineStr">
        <is>
          <t>chave 728</t>
        </is>
      </c>
    </row>
    <row r="730">
      <c r="A730" s="2" t="n">
        <v>729</v>
      </c>
      <c r="B730" s="3" t="inlineStr">
        <is>
          <t xml:space="preserve">GAZOLLI E CIA LTDA </t>
        </is>
      </c>
      <c r="C730" s="3" t="inlineStr">
        <is>
          <t>SUDESTE</t>
        </is>
      </c>
      <c r="D730" s="3" t="inlineStr">
        <is>
          <t>SP</t>
        </is>
      </c>
      <c r="E730" s="3" t="inlineStr">
        <is>
          <t>São Paulo</t>
        </is>
      </c>
      <c r="F730" s="3" t="inlineStr">
        <is>
          <t xml:space="preserve">JD AIMORE </t>
        </is>
      </c>
      <c r="G730" s="3" t="inlineStr">
        <is>
          <t>08110430</t>
        </is>
      </c>
      <c r="H730" s="3" t="inlineStr">
        <is>
          <t>Fernanda</t>
        </is>
      </c>
      <c r="I730" s="3" t="inlineStr">
        <is>
          <t>Estratégico</t>
        </is>
      </c>
      <c r="J730" s="2" t="n">
        <v>0</v>
      </c>
      <c r="K730" s="3" t="inlineStr">
        <is>
          <t>Semana 3</t>
        </is>
      </c>
      <c r="L730" s="3" t="inlineStr">
        <is>
          <t>Alta</t>
        </is>
      </c>
      <c r="M730" s="3" t="inlineStr">
        <is>
          <t>chave 729</t>
        </is>
      </c>
    </row>
    <row r="731">
      <c r="A731" s="2" t="n">
        <v>730</v>
      </c>
      <c r="B731" s="3" t="inlineStr">
        <is>
          <t xml:space="preserve">NEW HIGIPEL COMERCIAL LTDA </t>
        </is>
      </c>
      <c r="C731" s="3" t="inlineStr">
        <is>
          <t>SUDESTE</t>
        </is>
      </c>
      <c r="D731" s="3" t="inlineStr">
        <is>
          <t>SP</t>
        </is>
      </c>
      <c r="E731" s="3" t="inlineStr">
        <is>
          <t>Ribeirão Preto</t>
        </is>
      </c>
      <c r="F731" s="3" t="inlineStr">
        <is>
          <t xml:space="preserve">PQ RES.CANDIDO PORTINARI </t>
        </is>
      </c>
      <c r="G731" s="3" t="inlineStr">
        <is>
          <t>14093526</t>
        </is>
      </c>
      <c r="H731" s="3" t="inlineStr">
        <is>
          <t>Denilson</t>
        </is>
      </c>
      <c r="I731" s="3" t="inlineStr">
        <is>
          <t>Forte</t>
        </is>
      </c>
      <c r="J731" s="2" t="n">
        <v>748</v>
      </c>
      <c r="K731" s="3" t="inlineStr">
        <is>
          <t>Semana 1</t>
        </is>
      </c>
      <c r="L731" s="3" t="inlineStr">
        <is>
          <t>Média</t>
        </is>
      </c>
      <c r="M731" s="3" t="inlineStr">
        <is>
          <t>chave 730</t>
        </is>
      </c>
    </row>
    <row r="732">
      <c r="A732" s="2" t="n">
        <v>731</v>
      </c>
      <c r="B732" s="3" t="inlineStr">
        <is>
          <t xml:space="preserve">COMERCIO DE PAPELARIA ZONA LESTE LTDA </t>
        </is>
      </c>
      <c r="C732" s="3" t="inlineStr">
        <is>
          <t>SUDESTE</t>
        </is>
      </c>
      <c r="D732" s="3" t="inlineStr">
        <is>
          <t>SP</t>
        </is>
      </c>
      <c r="E732" s="3" t="inlineStr">
        <is>
          <t>São Paulo</t>
        </is>
      </c>
      <c r="F732" s="3" t="inlineStr">
        <is>
          <t xml:space="preserve">VILA RE </t>
        </is>
      </c>
      <c r="G732" s="3" t="inlineStr">
        <is>
          <t>03658001</t>
        </is>
      </c>
      <c r="H732" s="3" t="inlineStr">
        <is>
          <t>Fernanda</t>
        </is>
      </c>
      <c r="I732" s="3" t="inlineStr">
        <is>
          <t>Estratégico</t>
        </is>
      </c>
      <c r="J732" s="2" t="n">
        <v>0</v>
      </c>
      <c r="K732" s="3" t="inlineStr">
        <is>
          <t>Semana 3</t>
        </is>
      </c>
      <c r="L732" s="3" t="inlineStr">
        <is>
          <t>Alta</t>
        </is>
      </c>
      <c r="M732" s="3" t="inlineStr">
        <is>
          <t>chave 731</t>
        </is>
      </c>
    </row>
    <row r="733">
      <c r="A733" s="2" t="n">
        <v>732</v>
      </c>
      <c r="B733" s="3" t="inlineStr">
        <is>
          <t xml:space="preserve">COMERCIAL BRAZ RAIMUNDO LTDA </t>
        </is>
      </c>
      <c r="C733" s="3" t="inlineStr">
        <is>
          <t>SUDESTE</t>
        </is>
      </c>
      <c r="D733" s="3" t="inlineStr">
        <is>
          <t>SP</t>
        </is>
      </c>
      <c r="E733" s="3" t="inlineStr">
        <is>
          <t>PRAIA GRANDE</t>
        </is>
      </c>
      <c r="F733" s="3" t="inlineStr">
        <is>
          <t xml:space="preserve">VILA SONIA </t>
        </is>
      </c>
      <c r="G733" s="3" t="inlineStr">
        <is>
          <t>11722000</t>
        </is>
      </c>
      <c r="H733" s="3" t="inlineStr">
        <is>
          <t>Denilson</t>
        </is>
      </c>
      <c r="I733" s="3" t="inlineStr">
        <is>
          <t>Médio</t>
        </is>
      </c>
      <c r="J733" s="2" t="n">
        <v>748</v>
      </c>
      <c r="K733" s="3" t="inlineStr">
        <is>
          <t>Semana 4</t>
        </is>
      </c>
      <c r="L733" s="3" t="inlineStr">
        <is>
          <t>Normal</t>
        </is>
      </c>
      <c r="M733" s="3" t="inlineStr">
        <is>
          <t>chave 732</t>
        </is>
      </c>
    </row>
    <row r="734">
      <c r="A734" s="2" t="n">
        <v>733</v>
      </c>
      <c r="B734" s="3" t="inlineStr">
        <is>
          <t xml:space="preserve">MAURICIO WAGNER DE OLIVEIRA RODRIGUES </t>
        </is>
      </c>
      <c r="C734" s="3" t="inlineStr">
        <is>
          <t>SUDESTE</t>
        </is>
      </c>
      <c r="D734" s="3" t="inlineStr">
        <is>
          <t>SP</t>
        </is>
      </c>
      <c r="E734" s="3" t="inlineStr">
        <is>
          <t>LEME</t>
        </is>
      </c>
      <c r="F734" s="3" t="inlineStr">
        <is>
          <t xml:space="preserve">CENTRO </t>
        </is>
      </c>
      <c r="G734" s="3" t="inlineStr">
        <is>
          <t>13610030</t>
        </is>
      </c>
      <c r="H734" s="3" t="inlineStr">
        <is>
          <t>Fernanda</t>
        </is>
      </c>
      <c r="I734" s="3" t="inlineStr">
        <is>
          <t>Médio</t>
        </is>
      </c>
      <c r="J734" s="2" t="n">
        <v>0</v>
      </c>
      <c r="K734" s="3" t="inlineStr">
        <is>
          <t>Semana 4</t>
        </is>
      </c>
      <c r="L734" s="3" t="inlineStr">
        <is>
          <t>Normal</t>
        </is>
      </c>
      <c r="M734" s="3" t="inlineStr">
        <is>
          <t>chave 733</t>
        </is>
      </c>
    </row>
    <row r="735">
      <c r="A735" s="2" t="n">
        <v>734</v>
      </c>
      <c r="B735" s="3" t="inlineStr">
        <is>
          <t xml:space="preserve">ATACADO LILIKA UTILIDADES E PRESENTES LTDA </t>
        </is>
      </c>
      <c r="C735" s="3" t="inlineStr">
        <is>
          <t>SUDESTE</t>
        </is>
      </c>
      <c r="D735" s="3" t="inlineStr">
        <is>
          <t>SP</t>
        </is>
      </c>
      <c r="E735" s="3" t="inlineStr">
        <is>
          <t>SÃO JOSÉ DO RIO PRETO</t>
        </is>
      </c>
      <c r="F735" s="3" t="inlineStr">
        <is>
          <t xml:space="preserve">JARDIM PLANALTO </t>
        </is>
      </c>
      <c r="G735" s="3" t="inlineStr">
        <is>
          <t>15046619</t>
        </is>
      </c>
      <c r="H735" s="3" t="inlineStr">
        <is>
          <t>Denilson</t>
        </is>
      </c>
      <c r="I735" s="3" t="inlineStr">
        <is>
          <t>Médio</t>
        </is>
      </c>
      <c r="J735" s="2" t="n">
        <v>748</v>
      </c>
      <c r="K735" s="3" t="inlineStr">
        <is>
          <t>Semana 4</t>
        </is>
      </c>
      <c r="L735" s="3" t="inlineStr">
        <is>
          <t>Normal</t>
        </is>
      </c>
      <c r="M735" s="3" t="inlineStr">
        <is>
          <t>chave 734</t>
        </is>
      </c>
    </row>
    <row r="736">
      <c r="A736" s="2" t="n">
        <v>735</v>
      </c>
      <c r="B736" s="3" t="inlineStr">
        <is>
          <t xml:space="preserve">ECOL COLEGIO E PRE VESTIBULAR LTDA </t>
        </is>
      </c>
      <c r="C736" s="3" t="inlineStr">
        <is>
          <t>SUDESTE</t>
        </is>
      </c>
      <c r="D736" s="3" t="inlineStr">
        <is>
          <t>SP</t>
        </is>
      </c>
      <c r="E736" s="3" t="inlineStr">
        <is>
          <t>CAMPINAS</t>
        </is>
      </c>
      <c r="F736" s="3" t="inlineStr">
        <is>
          <t xml:space="preserve">PQ RURAL FAZ SANTA CANDIDA </t>
        </is>
      </c>
      <c r="G736" s="3" t="inlineStr">
        <is>
          <t>13087560</t>
        </is>
      </c>
      <c r="H736" s="3" t="inlineStr">
        <is>
          <t>Denilson</t>
        </is>
      </c>
      <c r="I736" s="3" t="inlineStr">
        <is>
          <t>Estratégico</t>
        </is>
      </c>
      <c r="J736" s="2" t="n">
        <v>748</v>
      </c>
      <c r="K736" s="3" t="inlineStr">
        <is>
          <t>Semana 1</t>
        </is>
      </c>
      <c r="L736" s="3" t="inlineStr">
        <is>
          <t>Alta</t>
        </is>
      </c>
      <c r="M736" s="3" t="inlineStr">
        <is>
          <t>chave 735</t>
        </is>
      </c>
    </row>
    <row r="737">
      <c r="A737" s="2" t="n">
        <v>736</v>
      </c>
      <c r="B737" s="3" t="inlineStr">
        <is>
          <t xml:space="preserve">J. P. DA CRUZ GONCALVES MANUTENCAO E CONSERVACAO DE IMOVEIS </t>
        </is>
      </c>
      <c r="C737" s="3" t="inlineStr">
        <is>
          <t>SUDESTE</t>
        </is>
      </c>
      <c r="D737" s="3" t="inlineStr">
        <is>
          <t>SP</t>
        </is>
      </c>
      <c r="E737" s="3" t="inlineStr">
        <is>
          <t>SÃO PAULO</t>
        </is>
      </c>
      <c r="F737" s="3" t="inlineStr">
        <is>
          <t xml:space="preserve">VILA HELENA </t>
        </is>
      </c>
      <c r="G737" s="3" t="inlineStr">
        <is>
          <t>08081250</t>
        </is>
      </c>
      <c r="H737" s="3" t="inlineStr">
        <is>
          <t>Fernanda</t>
        </is>
      </c>
      <c r="I737" s="3" t="inlineStr">
        <is>
          <t>Estratégico</t>
        </is>
      </c>
      <c r="J737" s="2" t="n">
        <v>0</v>
      </c>
      <c r="K737" s="3" t="inlineStr">
        <is>
          <t>Semana 1</t>
        </is>
      </c>
      <c r="L737" s="3" t="inlineStr">
        <is>
          <t>Alta</t>
        </is>
      </c>
      <c r="M737" s="3" t="inlineStr">
        <is>
          <t>chave 736</t>
        </is>
      </c>
    </row>
    <row r="738">
      <c r="A738" s="2" t="n">
        <v>737</v>
      </c>
      <c r="B738" s="3" t="inlineStr">
        <is>
          <t xml:space="preserve">RAMOS ACIOLI COMERCIO DE ARTIGOS DE PAPELARIA LTDA </t>
        </is>
      </c>
      <c r="C738" s="3" t="inlineStr">
        <is>
          <t>SUDESTE</t>
        </is>
      </c>
      <c r="D738" s="3" t="inlineStr">
        <is>
          <t>SP</t>
        </is>
      </c>
      <c r="E738" s="3" t="inlineStr">
        <is>
          <t>Peruíbe</t>
        </is>
      </c>
      <c r="F738" s="3" t="inlineStr">
        <is>
          <t xml:space="preserve">CIDADE BALNEARIA PERUIBE </t>
        </is>
      </c>
      <c r="G738" s="3" t="inlineStr">
        <is>
          <t>11770266</t>
        </is>
      </c>
      <c r="H738" s="3" t="inlineStr">
        <is>
          <t>Fernanda</t>
        </is>
      </c>
      <c r="I738" s="3" t="inlineStr">
        <is>
          <t>Médio</t>
        </is>
      </c>
      <c r="J738" s="2" t="n">
        <v>0</v>
      </c>
      <c r="K738" s="3" t="inlineStr">
        <is>
          <t>Semana 4</t>
        </is>
      </c>
      <c r="L738" s="3" t="inlineStr">
        <is>
          <t>Normal</t>
        </is>
      </c>
      <c r="M738" s="3" t="inlineStr">
        <is>
          <t>chave 737</t>
        </is>
      </c>
    </row>
    <row r="739">
      <c r="A739" s="2" t="n">
        <v>738</v>
      </c>
      <c r="B739" s="3" t="inlineStr">
        <is>
          <t xml:space="preserve">YAOYAO WANG LTDA </t>
        </is>
      </c>
      <c r="C739" s="3" t="inlineStr">
        <is>
          <t>SUDESTE</t>
        </is>
      </c>
      <c r="D739" s="3" t="inlineStr">
        <is>
          <t>SP</t>
        </is>
      </c>
      <c r="E739" s="3" t="inlineStr">
        <is>
          <t>PORTO FERREIRA</t>
        </is>
      </c>
      <c r="F739" s="3" t="inlineStr">
        <is>
          <t xml:space="preserve">CENTRO </t>
        </is>
      </c>
      <c r="G739" s="3" t="inlineStr">
        <is>
          <t>13660039</t>
        </is>
      </c>
      <c r="H739" s="3" t="inlineStr">
        <is>
          <t>Fernanda</t>
        </is>
      </c>
      <c r="I739" s="3" t="inlineStr">
        <is>
          <t>Médio</t>
        </is>
      </c>
      <c r="J739" s="2" t="n">
        <v>0</v>
      </c>
      <c r="K739" s="3" t="inlineStr">
        <is>
          <t>Semana 4</t>
        </is>
      </c>
      <c r="L739" s="3" t="inlineStr">
        <is>
          <t>Normal</t>
        </is>
      </c>
      <c r="M739" s="3" t="inlineStr">
        <is>
          <t>chave 738</t>
        </is>
      </c>
    </row>
    <row r="740">
      <c r="A740" s="2" t="n">
        <v>739</v>
      </c>
      <c r="B740" s="3" t="inlineStr">
        <is>
          <t xml:space="preserve">LILISSA PRESENTES LTDA </t>
        </is>
      </c>
      <c r="C740" s="3" t="inlineStr">
        <is>
          <t>SUDESTE</t>
        </is>
      </c>
      <c r="D740" s="3" t="inlineStr">
        <is>
          <t>SP</t>
        </is>
      </c>
      <c r="E740" s="3" t="inlineStr">
        <is>
          <t>São José do Rio Preto</t>
        </is>
      </c>
      <c r="F740" s="3" t="inlineStr">
        <is>
          <t xml:space="preserve">CENTRO </t>
        </is>
      </c>
      <c r="G740" s="3" t="inlineStr">
        <is>
          <t>15010010</t>
        </is>
      </c>
      <c r="H740" s="3" t="inlineStr">
        <is>
          <t>Denilson</t>
        </is>
      </c>
      <c r="I740" s="3" t="inlineStr">
        <is>
          <t>Médio</t>
        </is>
      </c>
      <c r="J740" s="2" t="n">
        <v>748</v>
      </c>
      <c r="K740" s="3" t="inlineStr">
        <is>
          <t>Semana 4</t>
        </is>
      </c>
      <c r="L740" s="3" t="inlineStr">
        <is>
          <t>Normal</t>
        </is>
      </c>
      <c r="M740" s="3" t="inlineStr">
        <is>
          <t>chave 739</t>
        </is>
      </c>
    </row>
    <row r="741">
      <c r="A741" s="2" t="n">
        <v>740</v>
      </c>
      <c r="B741" s="3" t="inlineStr">
        <is>
          <t xml:space="preserve">KM BIJUTERIAS MODA E ACESSORIOS LTDA </t>
        </is>
      </c>
      <c r="C741" s="3" t="inlineStr">
        <is>
          <t>SUDESTE</t>
        </is>
      </c>
      <c r="D741" s="3" t="inlineStr">
        <is>
          <t>SP</t>
        </is>
      </c>
      <c r="E741" s="3" t="inlineStr">
        <is>
          <t>ARARAS</t>
        </is>
      </c>
      <c r="F741" s="3" t="inlineStr">
        <is>
          <t xml:space="preserve">CENTRO </t>
        </is>
      </c>
      <c r="G741" s="3" t="inlineStr">
        <is>
          <t>13600070</t>
        </is>
      </c>
      <c r="H741" s="3" t="inlineStr">
        <is>
          <t>Fernanda</t>
        </is>
      </c>
      <c r="I741" s="3" t="inlineStr">
        <is>
          <t>Médio</t>
        </is>
      </c>
      <c r="J741" s="2" t="n">
        <v>0</v>
      </c>
      <c r="K741" s="3" t="inlineStr">
        <is>
          <t>Semana 3</t>
        </is>
      </c>
      <c r="L741" s="3" t="inlineStr">
        <is>
          <t>Normal</t>
        </is>
      </c>
      <c r="M741" s="3" t="inlineStr">
        <is>
          <t>chave 740</t>
        </is>
      </c>
    </row>
    <row r="742">
      <c r="A742" s="2" t="n">
        <v>741</v>
      </c>
      <c r="B742" s="3" t="inlineStr">
        <is>
          <t xml:space="preserve">J LI COMERCIO DE UTILIDADES E PRESENTES LTDA </t>
        </is>
      </c>
      <c r="C742" s="3" t="inlineStr">
        <is>
          <t>SUDESTE</t>
        </is>
      </c>
      <c r="D742" s="3" t="inlineStr">
        <is>
          <t>SP</t>
        </is>
      </c>
      <c r="E742" s="3" t="inlineStr">
        <is>
          <t>Paulínia</t>
        </is>
      </c>
      <c r="F742" s="3" t="inlineStr">
        <is>
          <t xml:space="preserve">JARDIM DOS CALEGARIS </t>
        </is>
      </c>
      <c r="G742" s="3" t="inlineStr">
        <is>
          <t>13140080</t>
        </is>
      </c>
      <c r="H742" s="3" t="inlineStr">
        <is>
          <t>Fernanda</t>
        </is>
      </c>
      <c r="I742" s="3" t="inlineStr">
        <is>
          <t>Médio</t>
        </is>
      </c>
      <c r="J742" s="2" t="n">
        <v>0</v>
      </c>
      <c r="K742" s="3" t="inlineStr">
        <is>
          <t>Semana 4</t>
        </is>
      </c>
      <c r="L742" s="3" t="inlineStr">
        <is>
          <t>Normal</t>
        </is>
      </c>
      <c r="M742" s="3" t="inlineStr">
        <is>
          <t>chave 741</t>
        </is>
      </c>
    </row>
    <row r="743">
      <c r="A743" s="2" t="n">
        <v>742</v>
      </c>
      <c r="B743" s="3" t="inlineStr">
        <is>
          <t xml:space="preserve">UM MUNDO DE VARIEDADES LTDA </t>
        </is>
      </c>
      <c r="C743" s="3" t="inlineStr">
        <is>
          <t>SUDESTE</t>
        </is>
      </c>
      <c r="D743" s="3" t="inlineStr">
        <is>
          <t>SP</t>
        </is>
      </c>
      <c r="E743" s="3" t="inlineStr">
        <is>
          <t>SÃO PAULO</t>
        </is>
      </c>
      <c r="F743" s="3" t="inlineStr">
        <is>
          <t xml:space="preserve">CAMPO BELO </t>
        </is>
      </c>
      <c r="G743" s="3" t="inlineStr">
        <is>
          <t>04617006</t>
        </is>
      </c>
      <c r="H743" s="3" t="inlineStr">
        <is>
          <t>Fernanda</t>
        </is>
      </c>
      <c r="I743" s="3" t="inlineStr">
        <is>
          <t>Estratégico</t>
        </is>
      </c>
      <c r="J743" s="2" t="n">
        <v>0</v>
      </c>
      <c r="K743" s="3" t="inlineStr">
        <is>
          <t>Semana 1</t>
        </is>
      </c>
      <c r="L743" s="3" t="inlineStr">
        <is>
          <t>Alta</t>
        </is>
      </c>
      <c r="M743" s="3" t="inlineStr">
        <is>
          <t>chave 742</t>
        </is>
      </c>
    </row>
    <row r="744">
      <c r="A744" s="2" t="n">
        <v>743</v>
      </c>
      <c r="B744" s="3" t="inlineStr">
        <is>
          <t xml:space="preserve">NATALIA OCHOA DA COSTA </t>
        </is>
      </c>
      <c r="C744" s="3" t="inlineStr">
        <is>
          <t>SUDESTE</t>
        </is>
      </c>
      <c r="D744" s="3" t="inlineStr">
        <is>
          <t>SP</t>
        </is>
      </c>
      <c r="E744" s="3" t="inlineStr">
        <is>
          <t>Embu</t>
        </is>
      </c>
      <c r="F744" s="3" t="inlineStr">
        <is>
          <t xml:space="preserve">JARDIM DOM JOSE </t>
        </is>
      </c>
      <c r="G744" s="3" t="inlineStr">
        <is>
          <t>06823301</t>
        </is>
      </c>
      <c r="H744" s="3" t="inlineStr">
        <is>
          <t>Denilson</t>
        </is>
      </c>
      <c r="I744" s="3" t="inlineStr">
        <is>
          <t>Médio</t>
        </is>
      </c>
      <c r="J744" s="2" t="n">
        <v>748</v>
      </c>
      <c r="K744" s="3" t="inlineStr">
        <is>
          <t>Semana 3</t>
        </is>
      </c>
      <c r="L744" s="3" t="inlineStr">
        <is>
          <t>Normal</t>
        </is>
      </c>
      <c r="M744" s="3" t="inlineStr">
        <is>
          <t>chave 743</t>
        </is>
      </c>
    </row>
    <row r="745">
      <c r="A745" s="2" t="n">
        <v>744</v>
      </c>
      <c r="B745" s="3" t="inlineStr">
        <is>
          <t xml:space="preserve">COMERCIAL MARTINS &amp; MARTINS LTDA </t>
        </is>
      </c>
      <c r="C745" s="3" t="inlineStr">
        <is>
          <t>SUDESTE</t>
        </is>
      </c>
      <c r="D745" s="3" t="inlineStr">
        <is>
          <t>SP</t>
        </is>
      </c>
      <c r="E745" s="3" t="inlineStr">
        <is>
          <t>São Vicente</t>
        </is>
      </c>
      <c r="F745" s="3" t="inlineStr">
        <is>
          <t xml:space="preserve">CONJ RES HUMAITA </t>
        </is>
      </c>
      <c r="G745" s="3" t="inlineStr">
        <is>
          <t>11349000</t>
        </is>
      </c>
      <c r="H745" s="3" t="inlineStr">
        <is>
          <t>Denilson</t>
        </is>
      </c>
      <c r="I745" s="3" t="inlineStr">
        <is>
          <t>Médio</t>
        </is>
      </c>
      <c r="J745" s="2" t="n">
        <v>748</v>
      </c>
      <c r="K745" s="3" t="inlineStr">
        <is>
          <t>Semana 4</t>
        </is>
      </c>
      <c r="L745" s="3" t="inlineStr">
        <is>
          <t>Normal</t>
        </is>
      </c>
      <c r="M745" s="3" t="inlineStr">
        <is>
          <t>chave 744</t>
        </is>
      </c>
    </row>
    <row r="746">
      <c r="A746" s="2" t="n">
        <v>745</v>
      </c>
      <c r="B746" s="3" t="inlineStr">
        <is>
          <t xml:space="preserve">AIRTON AMARO PAPELARIA LTDA </t>
        </is>
      </c>
      <c r="C746" s="3" t="inlineStr">
        <is>
          <t>SUDESTE</t>
        </is>
      </c>
      <c r="D746" s="3" t="inlineStr">
        <is>
          <t>SP</t>
        </is>
      </c>
      <c r="E746" s="3" t="inlineStr">
        <is>
          <t>Jundiaí</t>
        </is>
      </c>
      <c r="F746" s="3" t="inlineStr">
        <is>
          <t xml:space="preserve">VILA HORTOLANDIA </t>
        </is>
      </c>
      <c r="G746" s="3" t="inlineStr">
        <is>
          <t>13214101</t>
        </is>
      </c>
      <c r="H746" s="3" t="inlineStr">
        <is>
          <t>Fernanda</t>
        </is>
      </c>
      <c r="I746" s="3" t="inlineStr">
        <is>
          <t>Forte</t>
        </is>
      </c>
      <c r="J746" s="2" t="n">
        <v>0</v>
      </c>
      <c r="K746" s="3" t="inlineStr">
        <is>
          <t>Semana 3</t>
        </is>
      </c>
      <c r="L746" s="3" t="inlineStr">
        <is>
          <t>Média</t>
        </is>
      </c>
      <c r="M746" s="3" t="inlineStr">
        <is>
          <t>chave 745</t>
        </is>
      </c>
    </row>
    <row r="747">
      <c r="A747" s="2" t="n">
        <v>746</v>
      </c>
      <c r="B747" s="3" t="inlineStr">
        <is>
          <t xml:space="preserve">JANETE TANZI PEREIRA DOS SANTOS 07289255836 </t>
        </is>
      </c>
      <c r="C747" s="3" t="inlineStr">
        <is>
          <t>SUDESTE</t>
        </is>
      </c>
      <c r="D747" s="3" t="inlineStr">
        <is>
          <t>SP</t>
        </is>
      </c>
      <c r="E747" s="3" t="inlineStr">
        <is>
          <t>SÃO JOSÉ DOS CAMPOS</t>
        </is>
      </c>
      <c r="F747" s="3" t="inlineStr">
        <is>
          <t xml:space="preserve">JD NOVA MICHIGAN II </t>
        </is>
      </c>
      <c r="G747" s="3" t="inlineStr">
        <is>
          <t>12225423</t>
        </is>
      </c>
      <c r="H747" s="3" t="inlineStr">
        <is>
          <t>Denilson</t>
        </is>
      </c>
      <c r="I747" s="3" t="inlineStr">
        <is>
          <t>Forte</t>
        </is>
      </c>
      <c r="J747" s="2" t="n">
        <v>748</v>
      </c>
      <c r="K747" s="3" t="inlineStr">
        <is>
          <t>Semana 2</t>
        </is>
      </c>
      <c r="L747" s="3" t="inlineStr">
        <is>
          <t>Média</t>
        </is>
      </c>
      <c r="M747" s="3" t="inlineStr">
        <is>
          <t>chave 746</t>
        </is>
      </c>
    </row>
    <row r="748">
      <c r="A748" s="2" t="n">
        <v>747</v>
      </c>
      <c r="B748" s="3" t="inlineStr">
        <is>
          <t xml:space="preserve">MEC TOCA COMERCIAL DISTRIBUIDORA LTDA </t>
        </is>
      </c>
      <c r="C748" s="3" t="inlineStr">
        <is>
          <t>SUDESTE</t>
        </is>
      </c>
      <c r="D748" s="3" t="inlineStr">
        <is>
          <t>SP</t>
        </is>
      </c>
      <c r="E748" s="3" t="inlineStr">
        <is>
          <t>Ribeirão Preto</t>
        </is>
      </c>
      <c r="F748" s="3" t="inlineStr">
        <is>
          <t xml:space="preserve">CENTRO </t>
        </is>
      </c>
      <c r="G748" s="3" t="inlineStr">
        <is>
          <t>14015060</t>
        </is>
      </c>
      <c r="H748" s="3" t="inlineStr">
        <is>
          <t>Denilson</t>
        </is>
      </c>
      <c r="I748" s="3" t="inlineStr">
        <is>
          <t>Forte</t>
        </is>
      </c>
      <c r="J748" s="2" t="n">
        <v>748</v>
      </c>
      <c r="K748" s="3" t="inlineStr">
        <is>
          <t>Semana 1</t>
        </is>
      </c>
      <c r="L748" s="3" t="inlineStr">
        <is>
          <t>Média</t>
        </is>
      </c>
      <c r="M748" s="3" t="inlineStr">
        <is>
          <t>chave 747</t>
        </is>
      </c>
    </row>
    <row r="749">
      <c r="A749" s="2" t="n">
        <v>748</v>
      </c>
      <c r="B749" s="3" t="inlineStr">
        <is>
          <t xml:space="preserve">BAZAR E PAPELARIA TAKAHASHI LTDA </t>
        </is>
      </c>
      <c r="C749" s="3" t="inlineStr">
        <is>
          <t>SUDESTE</t>
        </is>
      </c>
      <c r="D749" s="3" t="inlineStr">
        <is>
          <t>SP</t>
        </is>
      </c>
      <c r="E749" s="3" t="inlineStr">
        <is>
          <t>ITAPECERICA DA SERRA</t>
        </is>
      </c>
      <c r="F749" s="3" t="inlineStr">
        <is>
          <t xml:space="preserve">CENTRO </t>
        </is>
      </c>
      <c r="G749" s="3" t="inlineStr">
        <is>
          <t>06850040</t>
        </is>
      </c>
      <c r="H749" s="3" t="inlineStr">
        <is>
          <t>Fernanda</t>
        </is>
      </c>
      <c r="I749" s="3" t="inlineStr">
        <is>
          <t>Médio</t>
        </is>
      </c>
      <c r="J749" s="2" t="n">
        <v>0</v>
      </c>
      <c r="K749" s="3" t="inlineStr">
        <is>
          <t>Semana 4</t>
        </is>
      </c>
      <c r="L749" s="3" t="inlineStr">
        <is>
          <t>Normal</t>
        </is>
      </c>
      <c r="M749" s="3" t="inlineStr">
        <is>
          <t>chave 748</t>
        </is>
      </c>
    </row>
    <row r="750">
      <c r="A750" s="2" t="n">
        <v>749</v>
      </c>
      <c r="B750" s="3" t="inlineStr">
        <is>
          <t xml:space="preserve">MARK PAPELARIA E PRESENTES LTDA </t>
        </is>
      </c>
      <c r="C750" s="3" t="inlineStr">
        <is>
          <t>SUDESTE</t>
        </is>
      </c>
      <c r="D750" s="3" t="inlineStr">
        <is>
          <t>SP</t>
        </is>
      </c>
      <c r="E750" s="3" t="inlineStr">
        <is>
          <t>MIRASSOL</t>
        </is>
      </c>
      <c r="F750" s="3" t="inlineStr">
        <is>
          <t xml:space="preserve">CENTRO </t>
        </is>
      </c>
      <c r="G750" s="3" t="inlineStr">
        <is>
          <t>15130000</t>
        </is>
      </c>
      <c r="H750" s="3" t="inlineStr">
        <is>
          <t>Denilson</t>
        </is>
      </c>
      <c r="I750" s="3" t="inlineStr">
        <is>
          <t>Médio</t>
        </is>
      </c>
      <c r="J750" s="2" t="n">
        <v>748</v>
      </c>
      <c r="K750" s="3" t="inlineStr">
        <is>
          <t>Semana 4</t>
        </is>
      </c>
      <c r="L750" s="3" t="inlineStr">
        <is>
          <t>Normal</t>
        </is>
      </c>
      <c r="M750" s="3" t="inlineStr">
        <is>
          <t>chave 749</t>
        </is>
      </c>
    </row>
    <row r="751">
      <c r="A751" s="2" t="n">
        <v>750</v>
      </c>
      <c r="B751" s="3" t="inlineStr">
        <is>
          <t xml:space="preserve">IFF ESSENCIAS E FRAGRANCIAS LTDA </t>
        </is>
      </c>
      <c r="C751" s="3" t="inlineStr">
        <is>
          <t>SUDESTE</t>
        </is>
      </c>
      <c r="D751" s="3" t="inlineStr">
        <is>
          <t>SP</t>
        </is>
      </c>
      <c r="E751" s="3" t="inlineStr">
        <is>
          <t>Santana de Parnaíba</t>
        </is>
      </c>
      <c r="F751" s="3" t="inlineStr">
        <is>
          <t xml:space="preserve">TAMBORE </t>
        </is>
      </c>
      <c r="G751" s="3" t="inlineStr">
        <is>
          <t>06543320</t>
        </is>
      </c>
      <c r="H751" s="3" t="inlineStr">
        <is>
          <t>Fernanda</t>
        </is>
      </c>
      <c r="I751" s="3" t="inlineStr">
        <is>
          <t>Médio</t>
        </is>
      </c>
      <c r="J751" s="2" t="n">
        <v>0</v>
      </c>
      <c r="K751" s="3" t="inlineStr">
        <is>
          <t>Semana 4</t>
        </is>
      </c>
      <c r="L751" s="3" t="inlineStr">
        <is>
          <t>Normal</t>
        </is>
      </c>
      <c r="M751" s="3" t="inlineStr">
        <is>
          <t>chave 750</t>
        </is>
      </c>
    </row>
    <row r="752">
      <c r="A752" s="2" t="n">
        <v>751</v>
      </c>
      <c r="B752" s="3" t="inlineStr">
        <is>
          <t xml:space="preserve">S91 LOJAS UEHARA COSMETICOS LTDA </t>
        </is>
      </c>
      <c r="C752" s="3" t="inlineStr">
        <is>
          <t>SUDESTE</t>
        </is>
      </c>
      <c r="D752" s="3" t="inlineStr">
        <is>
          <t>SP</t>
        </is>
      </c>
      <c r="E752" s="3" t="inlineStr">
        <is>
          <t>SÃO PAULO</t>
        </is>
      </c>
      <c r="F752" s="3" t="inlineStr">
        <is>
          <t xml:space="preserve">VILA RE </t>
        </is>
      </c>
      <c r="G752" s="3" t="inlineStr">
        <is>
          <t>03658011</t>
        </is>
      </c>
      <c r="H752" s="3" t="inlineStr">
        <is>
          <t>Fernanda</t>
        </is>
      </c>
      <c r="I752" s="3" t="inlineStr">
        <is>
          <t>Estratégico</t>
        </is>
      </c>
      <c r="J752" s="2" t="n">
        <v>0</v>
      </c>
      <c r="K752" s="3" t="inlineStr">
        <is>
          <t>Semana 1</t>
        </is>
      </c>
      <c r="L752" s="3" t="inlineStr">
        <is>
          <t>Alta</t>
        </is>
      </c>
      <c r="M752" s="3" t="inlineStr">
        <is>
          <t>chave 751</t>
        </is>
      </c>
    </row>
    <row r="753">
      <c r="A753" s="2" t="n">
        <v>752</v>
      </c>
      <c r="B753" s="3" t="inlineStr">
        <is>
          <t xml:space="preserve">ITALIVROS LIVRARIA E PAPELARIA LTDA </t>
        </is>
      </c>
      <c r="C753" s="3" t="inlineStr">
        <is>
          <t>SUDESTE</t>
        </is>
      </c>
      <c r="D753" s="3" t="inlineStr">
        <is>
          <t>SP</t>
        </is>
      </c>
      <c r="E753" s="3" t="inlineStr">
        <is>
          <t>São Paulo</t>
        </is>
      </c>
      <c r="F753" s="3" t="inlineStr">
        <is>
          <t xml:space="preserve">JARDIM MARTINICA </t>
        </is>
      </c>
      <c r="G753" s="3" t="inlineStr">
        <is>
          <t>05787000</t>
        </is>
      </c>
      <c r="H753" s="3" t="inlineStr">
        <is>
          <t>Fernanda</t>
        </is>
      </c>
      <c r="I753" s="3" t="inlineStr">
        <is>
          <t>Estratégico</t>
        </is>
      </c>
      <c r="J753" s="2" t="n">
        <v>0</v>
      </c>
      <c r="K753" s="3" t="inlineStr">
        <is>
          <t>Semana 3</t>
        </is>
      </c>
      <c r="L753" s="3" t="inlineStr">
        <is>
          <t>Alta</t>
        </is>
      </c>
      <c r="M753" s="3" t="inlineStr">
        <is>
          <t>chave 752</t>
        </is>
      </c>
    </row>
    <row r="754">
      <c r="A754" s="2" t="n">
        <v>753</v>
      </c>
      <c r="B754" s="3" t="inlineStr">
        <is>
          <t xml:space="preserve">JOAO HENRIQUE RAMALHO </t>
        </is>
      </c>
      <c r="C754" s="3" t="inlineStr">
        <is>
          <t>SUDESTE</t>
        </is>
      </c>
      <c r="D754" s="3" t="inlineStr">
        <is>
          <t>SP</t>
        </is>
      </c>
      <c r="E754" s="3" t="inlineStr">
        <is>
          <t>Lindóia</t>
        </is>
      </c>
      <c r="F754" s="3" t="inlineStr">
        <is>
          <t xml:space="preserve">CENTRO </t>
        </is>
      </c>
      <c r="G754" s="3" t="inlineStr">
        <is>
          <t>13950000</t>
        </is>
      </c>
      <c r="H754" s="3" t="inlineStr">
        <is>
          <t>Fernanda</t>
        </is>
      </c>
      <c r="I754" s="3" t="inlineStr">
        <is>
          <t>Médio</t>
        </is>
      </c>
      <c r="J754" s="2" t="n">
        <v>0</v>
      </c>
      <c r="K754" s="3" t="inlineStr">
        <is>
          <t>Semana 4</t>
        </is>
      </c>
      <c r="L754" s="3" t="inlineStr">
        <is>
          <t>Normal</t>
        </is>
      </c>
      <c r="M754" s="3" t="inlineStr">
        <is>
          <t>chave 753</t>
        </is>
      </c>
    </row>
    <row r="755">
      <c r="A755" s="2" t="n">
        <v>754</v>
      </c>
      <c r="B755" s="3" t="inlineStr">
        <is>
          <t xml:space="preserve">WU CHUNMEI &amp; CIA LTDA </t>
        </is>
      </c>
      <c r="C755" s="3" t="inlineStr">
        <is>
          <t>SUDESTE</t>
        </is>
      </c>
      <c r="D755" s="3" t="inlineStr">
        <is>
          <t>SP</t>
        </is>
      </c>
      <c r="E755" s="3" t="inlineStr">
        <is>
          <t>Tupã</t>
        </is>
      </c>
      <c r="F755" s="3" t="inlineStr">
        <is>
          <t xml:space="preserve">CENTRO </t>
        </is>
      </c>
      <c r="G755" s="3" t="inlineStr">
        <is>
          <t>17601000</t>
        </is>
      </c>
      <c r="H755" s="3" t="inlineStr">
        <is>
          <t>Denilson</t>
        </is>
      </c>
      <c r="I755" s="3" t="inlineStr">
        <is>
          <t>Médio</t>
        </is>
      </c>
      <c r="J755" s="2" t="n">
        <v>748</v>
      </c>
      <c r="K755" s="3" t="inlineStr">
        <is>
          <t>Semana 4</t>
        </is>
      </c>
      <c r="L755" s="3" t="inlineStr">
        <is>
          <t>Normal</t>
        </is>
      </c>
      <c r="M755" s="3" t="inlineStr">
        <is>
          <t>chave 754</t>
        </is>
      </c>
    </row>
    <row r="756">
      <c r="A756" s="2" t="n">
        <v>755</v>
      </c>
      <c r="B756" s="3" t="inlineStr">
        <is>
          <t xml:space="preserve">CRIS MODAS BIJUTERIAS E PRESENTES LTDA </t>
        </is>
      </c>
      <c r="C756" s="3" t="inlineStr">
        <is>
          <t>SUDESTE</t>
        </is>
      </c>
      <c r="D756" s="3" t="inlineStr">
        <is>
          <t>SP</t>
        </is>
      </c>
      <c r="E756" s="3" t="inlineStr">
        <is>
          <t>Araçatuba</t>
        </is>
      </c>
      <c r="F756" s="3" t="inlineStr">
        <is>
          <t xml:space="preserve">CENTRO </t>
        </is>
      </c>
      <c r="G756" s="3" t="inlineStr">
        <is>
          <t>16010300</t>
        </is>
      </c>
      <c r="H756" s="3" t="inlineStr">
        <is>
          <t>Denilson</t>
        </is>
      </c>
      <c r="I756" s="3" t="inlineStr">
        <is>
          <t>Médio</t>
        </is>
      </c>
      <c r="J756" s="2" t="n">
        <v>748</v>
      </c>
      <c r="K756" s="3" t="inlineStr">
        <is>
          <t>Semana 3</t>
        </is>
      </c>
      <c r="L756" s="3" t="inlineStr">
        <is>
          <t>Normal</t>
        </is>
      </c>
      <c r="M756" s="3" t="inlineStr">
        <is>
          <t>chave 755</t>
        </is>
      </c>
    </row>
    <row r="757">
      <c r="A757" s="2" t="n">
        <v>756</v>
      </c>
      <c r="B757" s="3" t="inlineStr">
        <is>
          <t xml:space="preserve">COMERCIAL SRG MAGAZINE LTDA </t>
        </is>
      </c>
      <c r="C757" s="3" t="inlineStr">
        <is>
          <t>SUDESTE</t>
        </is>
      </c>
      <c r="D757" s="3" t="inlineStr">
        <is>
          <t>SP</t>
        </is>
      </c>
      <c r="E757" s="3" t="inlineStr">
        <is>
          <t>São Roque</t>
        </is>
      </c>
      <c r="F757" s="3" t="inlineStr">
        <is>
          <t xml:space="preserve">CENTRO </t>
        </is>
      </c>
      <c r="G757" s="3" t="inlineStr">
        <is>
          <t>18130500</t>
        </is>
      </c>
      <c r="H757" s="3" t="inlineStr">
        <is>
          <t>Fernanda</t>
        </is>
      </c>
      <c r="I757" s="3" t="inlineStr">
        <is>
          <t>Médio</t>
        </is>
      </c>
      <c r="J757" s="2" t="n">
        <v>0</v>
      </c>
      <c r="K757" s="3" t="inlineStr">
        <is>
          <t>Semana 4</t>
        </is>
      </c>
      <c r="L757" s="3" t="inlineStr">
        <is>
          <t>Normal</t>
        </is>
      </c>
      <c r="M757" s="3" t="inlineStr">
        <is>
          <t>chave 756</t>
        </is>
      </c>
    </row>
    <row r="758">
      <c r="A758" s="2" t="n">
        <v>757</v>
      </c>
      <c r="B758" s="3" t="inlineStr">
        <is>
          <t xml:space="preserve">ARMARINHOS DOIS MIL COM.ATAC.DEART.DE PAPELARIA LTDA </t>
        </is>
      </c>
      <c r="C758" s="3" t="inlineStr">
        <is>
          <t>SUDESTE</t>
        </is>
      </c>
      <c r="D758" s="3" t="inlineStr">
        <is>
          <t>SP</t>
        </is>
      </c>
      <c r="E758" s="3" t="inlineStr">
        <is>
          <t>CAMPINAS</t>
        </is>
      </c>
      <c r="F758" s="3" t="inlineStr">
        <is>
          <t xml:space="preserve">PQ. TAQUARAL </t>
        </is>
      </c>
      <c r="G758" s="3" t="inlineStr">
        <is>
          <t>13088130</t>
        </is>
      </c>
      <c r="H758" s="3" t="inlineStr">
        <is>
          <t>Denilson</t>
        </is>
      </c>
      <c r="I758" s="3" t="inlineStr">
        <is>
          <t>Estratégico</t>
        </is>
      </c>
      <c r="J758" s="2" t="n">
        <v>748</v>
      </c>
      <c r="K758" s="3" t="inlineStr">
        <is>
          <t>Semana 1</t>
        </is>
      </c>
      <c r="L758" s="3" t="inlineStr">
        <is>
          <t>Alta</t>
        </is>
      </c>
      <c r="M758" s="3" t="inlineStr">
        <is>
          <t>chave 757</t>
        </is>
      </c>
    </row>
    <row r="759">
      <c r="A759" s="2" t="n">
        <v>758</v>
      </c>
      <c r="B759" s="3" t="inlineStr">
        <is>
          <t xml:space="preserve">JFKAS MATERIAS DE ESCRIT. EQUIP. E SUPRIMENTOS DE INFORMATICA LTDA </t>
        </is>
      </c>
      <c r="C759" s="3" t="inlineStr">
        <is>
          <t>SUDESTE</t>
        </is>
      </c>
      <c r="D759" s="3" t="inlineStr">
        <is>
          <t>SP</t>
        </is>
      </c>
      <c r="E759" s="3" t="inlineStr">
        <is>
          <t>São Paulo</t>
        </is>
      </c>
      <c r="F759" s="3" t="inlineStr">
        <is>
          <t xml:space="preserve">SANTA MONICA </t>
        </is>
      </c>
      <c r="G759" s="3" t="inlineStr">
        <is>
          <t>05171000</t>
        </is>
      </c>
      <c r="H759" s="3" t="inlineStr">
        <is>
          <t>Fernanda</t>
        </is>
      </c>
      <c r="I759" s="3" t="inlineStr">
        <is>
          <t>Estratégico</t>
        </is>
      </c>
      <c r="J759" s="2" t="n">
        <v>0</v>
      </c>
      <c r="K759" s="3" t="inlineStr">
        <is>
          <t>Semana 3</t>
        </is>
      </c>
      <c r="L759" s="3" t="inlineStr">
        <is>
          <t>Alta</t>
        </is>
      </c>
      <c r="M759" s="3" t="inlineStr">
        <is>
          <t>chave 758</t>
        </is>
      </c>
    </row>
    <row r="760">
      <c r="A760" s="2" t="n">
        <v>759</v>
      </c>
      <c r="B760" s="3" t="inlineStr">
        <is>
          <t xml:space="preserve">PROCOMP PROD E SERVICOS DE INFORMATICA LTDA </t>
        </is>
      </c>
      <c r="C760" s="3" t="inlineStr">
        <is>
          <t>SUDESTE</t>
        </is>
      </c>
      <c r="D760" s="3" t="inlineStr">
        <is>
          <t>SP</t>
        </is>
      </c>
      <c r="E760" s="3" t="inlineStr">
        <is>
          <t>Jundiaí</t>
        </is>
      </c>
      <c r="F760" s="3" t="inlineStr">
        <is>
          <t xml:space="preserve">BELA VISTA </t>
        </is>
      </c>
      <c r="G760" s="3" t="inlineStr">
        <is>
          <t>13207684</t>
        </is>
      </c>
      <c r="H760" s="3" t="inlineStr">
        <is>
          <t>Fernanda</t>
        </is>
      </c>
      <c r="I760" s="3" t="inlineStr">
        <is>
          <t>Forte</t>
        </is>
      </c>
      <c r="J760" s="2" t="n">
        <v>0</v>
      </c>
      <c r="K760" s="3" t="inlineStr">
        <is>
          <t>Semana 3</t>
        </is>
      </c>
      <c r="L760" s="3" t="inlineStr">
        <is>
          <t>Média</t>
        </is>
      </c>
      <c r="M760" s="3" t="inlineStr">
        <is>
          <t>chave 759</t>
        </is>
      </c>
    </row>
    <row r="761">
      <c r="A761" s="2" t="n">
        <v>760</v>
      </c>
      <c r="B761" s="3" t="inlineStr">
        <is>
          <t xml:space="preserve">D A N FERNANDES LTDA </t>
        </is>
      </c>
      <c r="C761" s="3" t="inlineStr">
        <is>
          <t>SUDESTE</t>
        </is>
      </c>
      <c r="D761" s="3" t="inlineStr">
        <is>
          <t>SP</t>
        </is>
      </c>
      <c r="E761" s="3" t="inlineStr">
        <is>
          <t>PINDAMONHANGABA</t>
        </is>
      </c>
      <c r="F761" s="3" t="inlineStr">
        <is>
          <t xml:space="preserve">PARQUE SAO BENEDITO </t>
        </is>
      </c>
      <c r="G761" s="3" t="inlineStr">
        <is>
          <t>12410030</t>
        </is>
      </c>
      <c r="H761" s="3" t="inlineStr">
        <is>
          <t>Fernanda</t>
        </is>
      </c>
      <c r="I761" s="3" t="inlineStr">
        <is>
          <t>Médio</t>
        </is>
      </c>
      <c r="J761" s="2" t="n">
        <v>0</v>
      </c>
      <c r="K761" s="3" t="inlineStr">
        <is>
          <t>Semana 4</t>
        </is>
      </c>
      <c r="L761" s="3" t="inlineStr">
        <is>
          <t>Normal</t>
        </is>
      </c>
      <c r="M761" s="3" t="inlineStr">
        <is>
          <t>chave 760</t>
        </is>
      </c>
    </row>
    <row r="762">
      <c r="A762" s="2" t="n">
        <v>761</v>
      </c>
      <c r="B762" s="3" t="inlineStr">
        <is>
          <t xml:space="preserve">DIVAI UTILIDADES LTDA </t>
        </is>
      </c>
      <c r="C762" s="3" t="inlineStr">
        <is>
          <t>SUDESTE</t>
        </is>
      </c>
      <c r="D762" s="3" t="inlineStr">
        <is>
          <t>SP</t>
        </is>
      </c>
      <c r="E762" s="3" t="inlineStr">
        <is>
          <t>Ribeirão Preto</t>
        </is>
      </c>
      <c r="F762" s="3" t="inlineStr">
        <is>
          <t xml:space="preserve">CENTRO </t>
        </is>
      </c>
      <c r="G762" s="3" t="inlineStr">
        <is>
          <t>14010000</t>
        </is>
      </c>
      <c r="H762" s="3" t="inlineStr">
        <is>
          <t>Denilson</t>
        </is>
      </c>
      <c r="I762" s="3" t="inlineStr">
        <is>
          <t>Forte</t>
        </is>
      </c>
      <c r="J762" s="2" t="n">
        <v>748</v>
      </c>
      <c r="K762" s="3" t="inlineStr">
        <is>
          <t>Semana 2</t>
        </is>
      </c>
      <c r="L762" s="3" t="inlineStr">
        <is>
          <t>Média</t>
        </is>
      </c>
      <c r="M762" s="3" t="inlineStr">
        <is>
          <t>chave 761</t>
        </is>
      </c>
    </row>
    <row r="763">
      <c r="A763" s="2" t="n">
        <v>762</v>
      </c>
      <c r="B763" s="3" t="inlineStr">
        <is>
          <t xml:space="preserve">D&amp;N PAPELARIA PRESENTES UTILIDADES LTDA </t>
        </is>
      </c>
      <c r="C763" s="3" t="inlineStr">
        <is>
          <t>SUDESTE</t>
        </is>
      </c>
      <c r="D763" s="3" t="inlineStr">
        <is>
          <t>SP</t>
        </is>
      </c>
      <c r="E763" s="3" t="inlineStr">
        <is>
          <t>SÃO PAULO</t>
        </is>
      </c>
      <c r="F763" s="3" t="inlineStr">
        <is>
          <t xml:space="preserve">PARELHEIROS </t>
        </is>
      </c>
      <c r="G763" s="3" t="inlineStr">
        <is>
          <t>04864001</t>
        </is>
      </c>
      <c r="H763" s="3" t="inlineStr">
        <is>
          <t>Fernanda</t>
        </is>
      </c>
      <c r="I763" s="3" t="inlineStr">
        <is>
          <t>Estratégico</t>
        </is>
      </c>
      <c r="J763" s="2" t="n">
        <v>0</v>
      </c>
      <c r="K763" s="3" t="inlineStr">
        <is>
          <t>Semana 1</t>
        </is>
      </c>
      <c r="L763" s="3" t="inlineStr">
        <is>
          <t>Alta</t>
        </is>
      </c>
      <c r="M763" s="3" t="inlineStr">
        <is>
          <t>chave 762</t>
        </is>
      </c>
    </row>
    <row r="764">
      <c r="A764" s="2" t="n">
        <v>763</v>
      </c>
      <c r="B764" s="3" t="inlineStr">
        <is>
          <t xml:space="preserve">49.655.356 ELAINE CHRISTINA MENDES DE JESUS DE LACERDA </t>
        </is>
      </c>
      <c r="C764" s="3" t="inlineStr">
        <is>
          <t>SUDESTE</t>
        </is>
      </c>
      <c r="D764" s="3" t="inlineStr">
        <is>
          <t>SP</t>
        </is>
      </c>
      <c r="E764" s="3" t="inlineStr">
        <is>
          <t>EMBU DAS ARTES</t>
        </is>
      </c>
      <c r="F764" s="3" t="inlineStr">
        <is>
          <t xml:space="preserve">JARDIM SANTO EDUARDO </t>
        </is>
      </c>
      <c r="G764" s="3" t="inlineStr">
        <is>
          <t>06823550</t>
        </is>
      </c>
      <c r="H764" s="3" t="inlineStr">
        <is>
          <t>Denilson</t>
        </is>
      </c>
      <c r="I764" s="3" t="inlineStr">
        <is>
          <t>Médio</t>
        </is>
      </c>
      <c r="J764" s="2" t="n">
        <v>748</v>
      </c>
      <c r="K764" s="3" t="inlineStr">
        <is>
          <t>Semana 3</t>
        </is>
      </c>
      <c r="L764" s="3" t="inlineStr">
        <is>
          <t>Normal</t>
        </is>
      </c>
      <c r="M764" s="3" t="inlineStr">
        <is>
          <t>chave 763</t>
        </is>
      </c>
    </row>
    <row r="765">
      <c r="A765" s="2" t="n">
        <v>764</v>
      </c>
      <c r="B765" s="3" t="inlineStr">
        <is>
          <t xml:space="preserve">K S MODAS BIJUTERIAS E VARIEDADES LTDA </t>
        </is>
      </c>
      <c r="C765" s="3" t="inlineStr">
        <is>
          <t>SUDESTE</t>
        </is>
      </c>
      <c r="D765" s="3" t="inlineStr">
        <is>
          <t>SP</t>
        </is>
      </c>
      <c r="E765" s="3" t="inlineStr">
        <is>
          <t>MATÃO</t>
        </is>
      </c>
      <c r="F765" s="3" t="inlineStr">
        <is>
          <t xml:space="preserve">CENTRO </t>
        </is>
      </c>
      <c r="G765" s="3" t="inlineStr">
        <is>
          <t>15990020</t>
        </is>
      </c>
      <c r="H765" s="3" t="inlineStr">
        <is>
          <t>Fernanda</t>
        </is>
      </c>
      <c r="I765" s="3" t="inlineStr">
        <is>
          <t>Médio</t>
        </is>
      </c>
      <c r="J765" s="2" t="n">
        <v>0</v>
      </c>
      <c r="K765" s="3" t="inlineStr">
        <is>
          <t>Semana 4</t>
        </is>
      </c>
      <c r="L765" s="3" t="inlineStr">
        <is>
          <t>Normal</t>
        </is>
      </c>
      <c r="M765" s="3" t="inlineStr">
        <is>
          <t>chave 764</t>
        </is>
      </c>
    </row>
    <row r="766">
      <c r="A766" s="2" t="n">
        <v>765</v>
      </c>
      <c r="B766" s="3" t="inlineStr">
        <is>
          <t xml:space="preserve">DENUNCIO MOVEIS E CONFECCOES LTDA </t>
        </is>
      </c>
      <c r="C766" s="3" t="inlineStr">
        <is>
          <t>SUDESTE</t>
        </is>
      </c>
      <c r="D766" s="3" t="inlineStr">
        <is>
          <t>SP</t>
        </is>
      </c>
      <c r="E766" s="3" t="inlineStr">
        <is>
          <t>JUNDIAÍ</t>
        </is>
      </c>
      <c r="F766" s="3" t="inlineStr">
        <is>
          <t xml:space="preserve">VILA HORTOLANDIA </t>
        </is>
      </c>
      <c r="G766" s="3" t="inlineStr">
        <is>
          <t>13214360</t>
        </is>
      </c>
      <c r="H766" s="3" t="inlineStr">
        <is>
          <t>Fernanda</t>
        </is>
      </c>
      <c r="I766" s="3" t="inlineStr">
        <is>
          <t>Forte</t>
        </is>
      </c>
      <c r="J766" s="2" t="n">
        <v>0</v>
      </c>
      <c r="K766" s="3" t="inlineStr">
        <is>
          <t>Semana 3</t>
        </is>
      </c>
      <c r="L766" s="3" t="inlineStr">
        <is>
          <t>Média</t>
        </is>
      </c>
      <c r="M766" s="3" t="inlineStr">
        <is>
          <t>chave 765</t>
        </is>
      </c>
    </row>
    <row r="767">
      <c r="A767" s="2" t="n">
        <v>766</v>
      </c>
      <c r="B767" s="3" t="inlineStr">
        <is>
          <t xml:space="preserve">THOMAZ DE ARAUJO &amp; CIA LTDA </t>
        </is>
      </c>
      <c r="C767" s="3" t="inlineStr">
        <is>
          <t>SUDESTE</t>
        </is>
      </c>
      <c r="D767" s="3" t="inlineStr">
        <is>
          <t>SP</t>
        </is>
      </c>
      <c r="E767" s="3" t="inlineStr">
        <is>
          <t>São José dos Campos</t>
        </is>
      </c>
      <c r="F767" s="3" t="inlineStr">
        <is>
          <t xml:space="preserve">JARDIM MOTORAMA </t>
        </is>
      </c>
      <c r="G767" s="3" t="inlineStr">
        <is>
          <t>12224280</t>
        </is>
      </c>
      <c r="H767" s="3" t="inlineStr">
        <is>
          <t>Denilson</t>
        </is>
      </c>
      <c r="I767" s="3" t="inlineStr">
        <is>
          <t>Forte</t>
        </is>
      </c>
      <c r="J767" s="2" t="n">
        <v>748</v>
      </c>
      <c r="K767" s="3" t="inlineStr">
        <is>
          <t>Semana 2</t>
        </is>
      </c>
      <c r="L767" s="3" t="inlineStr">
        <is>
          <t>Média</t>
        </is>
      </c>
      <c r="M767" s="3" t="inlineStr">
        <is>
          <t>chave 766</t>
        </is>
      </c>
    </row>
    <row r="768">
      <c r="A768" s="2" t="n">
        <v>767</v>
      </c>
      <c r="B768" s="3" t="inlineStr">
        <is>
          <t xml:space="preserve">UTILIDADES PIRACICABA LTDA </t>
        </is>
      </c>
      <c r="C768" s="3" t="inlineStr">
        <is>
          <t>SUDESTE</t>
        </is>
      </c>
      <c r="D768" s="3" t="inlineStr">
        <is>
          <t>SP</t>
        </is>
      </c>
      <c r="E768" s="3" t="inlineStr">
        <is>
          <t>PIRACICABA</t>
        </is>
      </c>
      <c r="F768" s="3" t="inlineStr">
        <is>
          <t xml:space="preserve">CENTRO </t>
        </is>
      </c>
      <c r="G768" s="3" t="inlineStr">
        <is>
          <t>13400385</t>
        </is>
      </c>
      <c r="H768" s="3" t="inlineStr">
        <is>
          <t>Denilson</t>
        </is>
      </c>
      <c r="I768" s="3" t="inlineStr">
        <is>
          <t>Médio</t>
        </is>
      </c>
      <c r="J768" s="2" t="n">
        <v>748</v>
      </c>
      <c r="K768" s="3" t="inlineStr">
        <is>
          <t>Semana 4</t>
        </is>
      </c>
      <c r="L768" s="3" t="inlineStr">
        <is>
          <t>Normal</t>
        </is>
      </c>
      <c r="M768" s="3" t="inlineStr">
        <is>
          <t>chave 767</t>
        </is>
      </c>
    </row>
    <row r="769">
      <c r="A769" s="2" t="n">
        <v>768</v>
      </c>
      <c r="B769" s="3" t="inlineStr">
        <is>
          <t xml:space="preserve">LIVRARIA E PAPELARIA MENDONCA DE FRANCA LTDA </t>
        </is>
      </c>
      <c r="C769" s="3" t="inlineStr">
        <is>
          <t>SUDESTE</t>
        </is>
      </c>
      <c r="D769" s="3" t="inlineStr">
        <is>
          <t>SP</t>
        </is>
      </c>
      <c r="E769" s="3" t="inlineStr">
        <is>
          <t>FRANCA</t>
        </is>
      </c>
      <c r="F769" s="3" t="inlineStr">
        <is>
          <t xml:space="preserve">CENTRO </t>
        </is>
      </c>
      <c r="G769" s="3" t="inlineStr">
        <is>
          <t>14400540</t>
        </is>
      </c>
      <c r="H769" s="3" t="inlineStr">
        <is>
          <t>Fernanda</t>
        </is>
      </c>
      <c r="I769" s="3" t="inlineStr">
        <is>
          <t>Médio</t>
        </is>
      </c>
      <c r="J769" s="2" t="n">
        <v>0</v>
      </c>
      <c r="K769" s="3" t="inlineStr">
        <is>
          <t>Semana 4</t>
        </is>
      </c>
      <c r="L769" s="3" t="inlineStr">
        <is>
          <t>Normal</t>
        </is>
      </c>
      <c r="M769" s="3" t="inlineStr">
        <is>
          <t>chave 768</t>
        </is>
      </c>
    </row>
    <row r="770">
      <c r="A770" s="2" t="n">
        <v>769</v>
      </c>
      <c r="B770" s="3" t="inlineStr">
        <is>
          <t xml:space="preserve">RN DISTRIBUIDORA DE UTENSILIOS DOMESTICOS LTDA </t>
        </is>
      </c>
      <c r="C770" s="3" t="inlineStr">
        <is>
          <t>SUDESTE</t>
        </is>
      </c>
      <c r="D770" s="3" t="inlineStr">
        <is>
          <t>SP</t>
        </is>
      </c>
      <c r="E770" s="3" t="inlineStr">
        <is>
          <t>FERRAZ DE VASCONCELOS</t>
        </is>
      </c>
      <c r="F770" s="3" t="inlineStr">
        <is>
          <t xml:space="preserve">NUCLEO ITAIM </t>
        </is>
      </c>
      <c r="G770" s="3" t="inlineStr">
        <is>
          <t>08538200</t>
        </is>
      </c>
      <c r="H770" s="3" t="inlineStr">
        <is>
          <t>Fernanda</t>
        </is>
      </c>
      <c r="I770" s="3" t="inlineStr">
        <is>
          <t>Médio</t>
        </is>
      </c>
      <c r="J770" s="2" t="n">
        <v>0</v>
      </c>
      <c r="K770" s="3" t="inlineStr">
        <is>
          <t>Semana 3</t>
        </is>
      </c>
      <c r="L770" s="3" t="inlineStr">
        <is>
          <t>Normal</t>
        </is>
      </c>
      <c r="M770" s="3" t="inlineStr">
        <is>
          <t>chave 769</t>
        </is>
      </c>
    </row>
    <row r="771">
      <c r="A771" s="2" t="n">
        <v>770</v>
      </c>
      <c r="B771" s="3" t="inlineStr">
        <is>
          <t xml:space="preserve">LETRAS EM FESTA COMERCIAL LTDA </t>
        </is>
      </c>
      <c r="C771" s="3" t="inlineStr">
        <is>
          <t>SUDESTE</t>
        </is>
      </c>
      <c r="D771" s="3" t="inlineStr">
        <is>
          <t>SP</t>
        </is>
      </c>
      <c r="E771" s="3" t="inlineStr">
        <is>
          <t>Bertioga</t>
        </is>
      </c>
      <c r="F771" s="3" t="inlineStr">
        <is>
          <t xml:space="preserve">JD. ALBATROZ </t>
        </is>
      </c>
      <c r="G771" s="3" t="inlineStr">
        <is>
          <t>11250734</t>
        </is>
      </c>
      <c r="H771" s="3" t="inlineStr">
        <is>
          <t>Fernanda</t>
        </is>
      </c>
      <c r="I771" s="3" t="inlineStr">
        <is>
          <t>Médio</t>
        </is>
      </c>
      <c r="J771" s="2" t="n">
        <v>0</v>
      </c>
      <c r="K771" s="3" t="inlineStr">
        <is>
          <t>Semana 3</t>
        </is>
      </c>
      <c r="L771" s="3" t="inlineStr">
        <is>
          <t>Normal</t>
        </is>
      </c>
      <c r="M771" s="3" t="inlineStr">
        <is>
          <t>chave 770</t>
        </is>
      </c>
    </row>
    <row r="772">
      <c r="A772" s="2" t="n">
        <v>771</v>
      </c>
      <c r="B772" s="3" t="inlineStr">
        <is>
          <t xml:space="preserve">RICARDO SUYAMA ARTIGOS DE PAPELARIA LTDA </t>
        </is>
      </c>
      <c r="C772" s="3" t="inlineStr">
        <is>
          <t>SUDESTE</t>
        </is>
      </c>
      <c r="D772" s="3" t="inlineStr">
        <is>
          <t>SP</t>
        </is>
      </c>
      <c r="E772" s="3" t="inlineStr">
        <is>
          <t>São Paulo</t>
        </is>
      </c>
      <c r="F772" s="3" t="inlineStr">
        <is>
          <t xml:space="preserve">CIDADE DUTRA </t>
        </is>
      </c>
      <c r="G772" s="3" t="inlineStr">
        <is>
          <t>04801010</t>
        </is>
      </c>
      <c r="H772" s="3" t="inlineStr">
        <is>
          <t>Fernanda</t>
        </is>
      </c>
      <c r="I772" s="3" t="inlineStr">
        <is>
          <t>Estratégico</t>
        </is>
      </c>
      <c r="J772" s="2" t="n">
        <v>0</v>
      </c>
      <c r="K772" s="3" t="inlineStr">
        <is>
          <t>Semana 3</t>
        </is>
      </c>
      <c r="L772" s="3" t="inlineStr">
        <is>
          <t>Alta</t>
        </is>
      </c>
      <c r="M772" s="3" t="inlineStr">
        <is>
          <t>chave 771</t>
        </is>
      </c>
    </row>
    <row r="773">
      <c r="A773" s="2" t="n">
        <v>772</v>
      </c>
      <c r="B773" s="3" t="inlineStr">
        <is>
          <t xml:space="preserve">DARCI XAVIER DE JESUS </t>
        </is>
      </c>
      <c r="C773" s="3" t="inlineStr">
        <is>
          <t>SUDESTE</t>
        </is>
      </c>
      <c r="D773" s="3" t="inlineStr">
        <is>
          <t>SP</t>
        </is>
      </c>
      <c r="E773" s="3" t="inlineStr">
        <is>
          <t>SÃO PAULO</t>
        </is>
      </c>
      <c r="F773" s="3" t="inlineStr">
        <is>
          <t xml:space="preserve">PARADA DE TAIPAS </t>
        </is>
      </c>
      <c r="G773" s="3" t="inlineStr">
        <is>
          <t>02860001</t>
        </is>
      </c>
      <c r="H773" s="3" t="inlineStr">
        <is>
          <t>Fernanda</t>
        </is>
      </c>
      <c r="I773" s="3" t="inlineStr">
        <is>
          <t>Estratégico</t>
        </is>
      </c>
      <c r="J773" s="2" t="n">
        <v>0</v>
      </c>
      <c r="K773" s="3" t="inlineStr">
        <is>
          <t>Semana 1</t>
        </is>
      </c>
      <c r="L773" s="3" t="inlineStr">
        <is>
          <t>Alta</t>
        </is>
      </c>
      <c r="M773" s="3" t="inlineStr">
        <is>
          <t>chave 772</t>
        </is>
      </c>
    </row>
    <row r="774">
      <c r="A774" s="2" t="n">
        <v>773</v>
      </c>
      <c r="B774" s="3" t="inlineStr">
        <is>
          <t xml:space="preserve">BOARINI &amp; BOARINI LTDA </t>
        </is>
      </c>
      <c r="C774" s="3" t="inlineStr">
        <is>
          <t>SUDESTE</t>
        </is>
      </c>
      <c r="D774" s="3" t="inlineStr">
        <is>
          <t>SP</t>
        </is>
      </c>
      <c r="E774" s="3" t="inlineStr">
        <is>
          <t>São José dos Campos</t>
        </is>
      </c>
      <c r="F774" s="3" t="inlineStr">
        <is>
          <t xml:space="preserve">VILA ADYANNA </t>
        </is>
      </c>
      <c r="G774" s="3" t="inlineStr">
        <is>
          <t>12243630</t>
        </is>
      </c>
      <c r="H774" s="3" t="inlineStr">
        <is>
          <t>Denilson</t>
        </is>
      </c>
      <c r="I774" s="3" t="inlineStr">
        <is>
          <t>Forte</t>
        </is>
      </c>
      <c r="J774" s="2" t="n">
        <v>748</v>
      </c>
      <c r="K774" s="3" t="inlineStr">
        <is>
          <t>Semana 2</t>
        </is>
      </c>
      <c r="L774" s="3" t="inlineStr">
        <is>
          <t>Média</t>
        </is>
      </c>
      <c r="M774" s="3" t="inlineStr">
        <is>
          <t>chave 773</t>
        </is>
      </c>
    </row>
    <row r="775">
      <c r="A775" s="2" t="n">
        <v>774</v>
      </c>
      <c r="B775" s="3" t="inlineStr">
        <is>
          <t xml:space="preserve">TIFFANY COMERCIAL BIRIGUI LTDA </t>
        </is>
      </c>
      <c r="C775" s="3" t="inlineStr">
        <is>
          <t>SUDESTE</t>
        </is>
      </c>
      <c r="D775" s="3" t="inlineStr">
        <is>
          <t>SP</t>
        </is>
      </c>
      <c r="E775" s="3" t="inlineStr">
        <is>
          <t>BIRIGUI</t>
        </is>
      </c>
      <c r="F775" s="3" t="inlineStr">
        <is>
          <t xml:space="preserve">CENTRO </t>
        </is>
      </c>
      <c r="G775" s="3" t="inlineStr">
        <is>
          <t>16200001</t>
        </is>
      </c>
      <c r="H775" s="3" t="inlineStr">
        <is>
          <t>Fernanda</t>
        </is>
      </c>
      <c r="I775" s="3" t="inlineStr">
        <is>
          <t>Médio</t>
        </is>
      </c>
      <c r="J775" s="2" t="n">
        <v>0</v>
      </c>
      <c r="K775" s="3" t="inlineStr">
        <is>
          <t>Semana 3</t>
        </is>
      </c>
      <c r="L775" s="3" t="inlineStr">
        <is>
          <t>Normal</t>
        </is>
      </c>
      <c r="M775" s="3" t="inlineStr">
        <is>
          <t>chave 774</t>
        </is>
      </c>
    </row>
    <row r="776">
      <c r="A776" s="2" t="n">
        <v>775</v>
      </c>
      <c r="B776" s="3" t="inlineStr">
        <is>
          <t xml:space="preserve">LUIZ FERNANDO DA CRUZ BOARINI </t>
        </is>
      </c>
      <c r="C776" s="3" t="inlineStr">
        <is>
          <t>SUDESTE</t>
        </is>
      </c>
      <c r="D776" s="3" t="inlineStr">
        <is>
          <t>SP</t>
        </is>
      </c>
      <c r="E776" s="3" t="inlineStr">
        <is>
          <t>São José dos Campos</t>
        </is>
      </c>
      <c r="F776" s="3" t="inlineStr">
        <is>
          <t xml:space="preserve">JARDIM SATELITE </t>
        </is>
      </c>
      <c r="G776" s="3" t="inlineStr">
        <is>
          <t>12230000</t>
        </is>
      </c>
      <c r="H776" s="3" t="inlineStr">
        <is>
          <t>Denilson</t>
        </is>
      </c>
      <c r="I776" s="3" t="inlineStr">
        <is>
          <t>Forte</t>
        </is>
      </c>
      <c r="J776" s="2" t="n">
        <v>748</v>
      </c>
      <c r="K776" s="3" t="inlineStr">
        <is>
          <t>Semana 2</t>
        </is>
      </c>
      <c r="L776" s="3" t="inlineStr">
        <is>
          <t>Média</t>
        </is>
      </c>
      <c r="M776" s="3" t="inlineStr">
        <is>
          <t>chave 775</t>
        </is>
      </c>
    </row>
    <row r="777">
      <c r="A777" s="2" t="n">
        <v>776</v>
      </c>
      <c r="B777" s="3" t="inlineStr">
        <is>
          <t xml:space="preserve">OLIDIA ROSA DE SOUSA ALVES ARMARINHO </t>
        </is>
      </c>
      <c r="C777" s="3" t="inlineStr">
        <is>
          <t>SUDESTE</t>
        </is>
      </c>
      <c r="D777" s="3" t="inlineStr">
        <is>
          <t>SP</t>
        </is>
      </c>
      <c r="E777" s="3" t="inlineStr">
        <is>
          <t>SÃO PAULO</t>
        </is>
      </c>
      <c r="F777" s="3" t="inlineStr">
        <is>
          <t xml:space="preserve">CIDADE IPAVA </t>
        </is>
      </c>
      <c r="G777" s="3" t="inlineStr">
        <is>
          <t>04950000</t>
        </is>
      </c>
      <c r="H777" s="3" t="inlineStr">
        <is>
          <t>Fernanda</t>
        </is>
      </c>
      <c r="I777" s="3" t="inlineStr">
        <is>
          <t>Estratégico</t>
        </is>
      </c>
      <c r="J777" s="2" t="n">
        <v>0</v>
      </c>
      <c r="K777" s="3" t="inlineStr">
        <is>
          <t>Semana 1</t>
        </is>
      </c>
      <c r="L777" s="3" t="inlineStr">
        <is>
          <t>Alta</t>
        </is>
      </c>
      <c r="M777" s="3" t="inlineStr">
        <is>
          <t>chave 776</t>
        </is>
      </c>
    </row>
    <row r="778">
      <c r="A778" s="2" t="n">
        <v>777</v>
      </c>
      <c r="B778" s="3" t="inlineStr">
        <is>
          <t xml:space="preserve">CASSIA LUCIANE JANTIN OTSUBO </t>
        </is>
      </c>
      <c r="C778" s="3" t="inlineStr">
        <is>
          <t>SUDESTE</t>
        </is>
      </c>
      <c r="D778" s="3" t="inlineStr">
        <is>
          <t>SP</t>
        </is>
      </c>
      <c r="E778" s="3" t="inlineStr">
        <is>
          <t>PIRACICABA</t>
        </is>
      </c>
      <c r="F778" s="3" t="inlineStr">
        <is>
          <t xml:space="preserve">PAULISTA </t>
        </is>
      </c>
      <c r="G778" s="3" t="inlineStr">
        <is>
          <t>13424010</t>
        </is>
      </c>
      <c r="H778" s="3" t="inlineStr">
        <is>
          <t>Denilson</t>
        </is>
      </c>
      <c r="I778" s="3" t="inlineStr">
        <is>
          <t>Médio</t>
        </is>
      </c>
      <c r="J778" s="2" t="n">
        <v>748</v>
      </c>
      <c r="K778" s="3" t="inlineStr">
        <is>
          <t>Semana 4</t>
        </is>
      </c>
      <c r="L778" s="3" t="inlineStr">
        <is>
          <t>Normal</t>
        </is>
      </c>
      <c r="M778" s="3" t="inlineStr">
        <is>
          <t>chave 777</t>
        </is>
      </c>
    </row>
    <row r="779">
      <c r="A779" s="2" t="n">
        <v>778</v>
      </c>
      <c r="B779" s="3" t="inlineStr">
        <is>
          <t xml:space="preserve">JOSE PAULO SILVA CESAR JUNIOR INFORMATICA </t>
        </is>
      </c>
      <c r="C779" s="3" t="inlineStr">
        <is>
          <t>SUDESTE</t>
        </is>
      </c>
      <c r="D779" s="3" t="inlineStr">
        <is>
          <t>SP</t>
        </is>
      </c>
      <c r="E779" s="3" t="inlineStr">
        <is>
          <t>SOROCABA</t>
        </is>
      </c>
      <c r="F779" s="3" t="inlineStr">
        <is>
          <t xml:space="preserve">IPANEMA DO MEIO </t>
        </is>
      </c>
      <c r="G779" s="3" t="inlineStr">
        <is>
          <t>18052599</t>
        </is>
      </c>
      <c r="H779" s="3" t="inlineStr">
        <is>
          <t>Denilson</t>
        </is>
      </c>
      <c r="I779" s="3" t="inlineStr">
        <is>
          <t>Forte</t>
        </is>
      </c>
      <c r="J779" s="2" t="n">
        <v>748</v>
      </c>
      <c r="K779" s="3" t="inlineStr">
        <is>
          <t>Semana 2</t>
        </is>
      </c>
      <c r="L779" s="3" t="inlineStr">
        <is>
          <t>Média</t>
        </is>
      </c>
      <c r="M779" s="3" t="inlineStr">
        <is>
          <t>chave 778</t>
        </is>
      </c>
    </row>
    <row r="780">
      <c r="A780" s="2" t="n">
        <v>779</v>
      </c>
      <c r="B780" s="3" t="inlineStr">
        <is>
          <t xml:space="preserve">SHOP 3 ARAUJO - COMERCIO ELETRONICO LTDA </t>
        </is>
      </c>
      <c r="C780" s="3" t="inlineStr">
        <is>
          <t>SUDESTE</t>
        </is>
      </c>
      <c r="D780" s="3" t="inlineStr">
        <is>
          <t>SP</t>
        </is>
      </c>
      <c r="E780" s="3" t="inlineStr">
        <is>
          <t>SÃO PAULO</t>
        </is>
      </c>
      <c r="F780" s="3" t="inlineStr">
        <is>
          <t xml:space="preserve">VILA REGENTE FEIJO </t>
        </is>
      </c>
      <c r="G780" s="3" t="inlineStr">
        <is>
          <t>03346100</t>
        </is>
      </c>
      <c r="H780" s="3" t="inlineStr">
        <is>
          <t>Fernanda</t>
        </is>
      </c>
      <c r="I780" s="3" t="inlineStr">
        <is>
          <t>Estratégico</t>
        </is>
      </c>
      <c r="J780" s="2" t="n">
        <v>0</v>
      </c>
      <c r="K780" s="3" t="inlineStr">
        <is>
          <t>Semana 1</t>
        </is>
      </c>
      <c r="L780" s="3" t="inlineStr">
        <is>
          <t>Alta</t>
        </is>
      </c>
      <c r="M780" s="3" t="inlineStr">
        <is>
          <t>chave 779</t>
        </is>
      </c>
    </row>
    <row r="781">
      <c r="A781" s="2" t="n">
        <v>780</v>
      </c>
      <c r="B781" s="3" t="inlineStr">
        <is>
          <t xml:space="preserve">SUPERA INSTITUTO DE EDUCACAO LTDA </t>
        </is>
      </c>
      <c r="C781" s="3" t="inlineStr">
        <is>
          <t>SUDESTE</t>
        </is>
      </c>
      <c r="D781" s="3" t="inlineStr">
        <is>
          <t>SP</t>
        </is>
      </c>
      <c r="E781" s="3" t="inlineStr">
        <is>
          <t>São José dos Campos</t>
        </is>
      </c>
      <c r="F781" s="3" t="inlineStr">
        <is>
          <t xml:space="preserve">ELDORADO </t>
        </is>
      </c>
      <c r="G781" s="3" t="inlineStr">
        <is>
          <t>12238565</t>
        </is>
      </c>
      <c r="H781" s="3" t="inlineStr">
        <is>
          <t>Denilson</t>
        </is>
      </c>
      <c r="I781" s="3" t="inlineStr">
        <is>
          <t>Forte</t>
        </is>
      </c>
      <c r="J781" s="2" t="n">
        <v>748</v>
      </c>
      <c r="K781" s="3" t="inlineStr">
        <is>
          <t>Semana 2</t>
        </is>
      </c>
      <c r="L781" s="3" t="inlineStr">
        <is>
          <t>Média</t>
        </is>
      </c>
      <c r="M781" s="3" t="inlineStr">
        <is>
          <t>chave 780</t>
        </is>
      </c>
    </row>
    <row r="782">
      <c r="A782" s="2" t="n">
        <v>781</v>
      </c>
      <c r="B782" s="3" t="inlineStr">
        <is>
          <t xml:space="preserve">JUMBO COMERCIO DE UTILIDADES LTDA </t>
        </is>
      </c>
      <c r="C782" s="3" t="inlineStr">
        <is>
          <t>SUL</t>
        </is>
      </c>
      <c r="D782" s="3" t="inlineStr">
        <is>
          <t>PR</t>
        </is>
      </c>
      <c r="E782" s="3" t="inlineStr">
        <is>
          <t>CURITIBA</t>
        </is>
      </c>
      <c r="F782" s="3" t="inlineStr">
        <is>
          <t xml:space="preserve">HAUER </t>
        </is>
      </c>
      <c r="G782" s="3" t="inlineStr">
        <is>
          <t>81630260</t>
        </is>
      </c>
      <c r="H782" s="3" t="inlineStr">
        <is>
          <t>João</t>
        </is>
      </c>
      <c r="I782" s="3" t="inlineStr">
        <is>
          <t>Estratégico</t>
        </is>
      </c>
      <c r="J782" s="2" t="n">
        <v>1083</v>
      </c>
      <c r="K782" s="3" t="inlineStr">
        <is>
          <t>Semana 1</t>
        </is>
      </c>
      <c r="L782" s="3" t="inlineStr">
        <is>
          <t>Alta</t>
        </is>
      </c>
      <c r="M782" s="3" t="inlineStr">
        <is>
          <t>chave 781</t>
        </is>
      </c>
    </row>
    <row r="783">
      <c r="A783" s="2" t="n">
        <v>782</v>
      </c>
      <c r="B783" s="3" t="inlineStr">
        <is>
          <t xml:space="preserve">ANDRE MATIAS COMERCIO DE ARTIGOS DE PAPELARIA </t>
        </is>
      </c>
      <c r="C783" s="3" t="inlineStr">
        <is>
          <t>SUL</t>
        </is>
      </c>
      <c r="D783" s="3" t="inlineStr">
        <is>
          <t>PR</t>
        </is>
      </c>
      <c r="E783" s="3" t="inlineStr">
        <is>
          <t>Curitiba</t>
        </is>
      </c>
      <c r="F783" s="3" t="inlineStr">
        <is>
          <t xml:space="preserve">NOVO MUNDO </t>
        </is>
      </c>
      <c r="G783" s="3" t="inlineStr">
        <is>
          <t>81050020</t>
        </is>
      </c>
      <c r="H783" s="3" t="inlineStr">
        <is>
          <t>João</t>
        </is>
      </c>
      <c r="I783" s="3" t="inlineStr">
        <is>
          <t>Estratégico</t>
        </is>
      </c>
      <c r="J783" s="2" t="n">
        <v>1083</v>
      </c>
      <c r="K783" s="3" t="inlineStr">
        <is>
          <t>Semana 1</t>
        </is>
      </c>
      <c r="L783" s="3" t="inlineStr">
        <is>
          <t>Alta</t>
        </is>
      </c>
      <c r="M783" s="3" t="inlineStr">
        <is>
          <t>chave 782</t>
        </is>
      </c>
    </row>
    <row r="784">
      <c r="A784" s="2" t="n">
        <v>783</v>
      </c>
      <c r="B784" s="3" t="inlineStr">
        <is>
          <t xml:space="preserve">SHEILA PRISCILA CASTELHONE DE DEUS LTDA </t>
        </is>
      </c>
      <c r="C784" s="3" t="inlineStr">
        <is>
          <t>SUL</t>
        </is>
      </c>
      <c r="D784" s="3" t="inlineStr">
        <is>
          <t>PR</t>
        </is>
      </c>
      <c r="E784" s="3" t="inlineStr">
        <is>
          <t>Andirá</t>
        </is>
      </c>
      <c r="F784" s="3" t="inlineStr">
        <is>
          <t xml:space="preserve">JARDIM ITALIA </t>
        </is>
      </c>
      <c r="G784" s="3" t="inlineStr">
        <is>
          <t>86380000</t>
        </is>
      </c>
      <c r="H784" s="3" t="inlineStr">
        <is>
          <t>João</t>
        </is>
      </c>
      <c r="I784" s="3" t="inlineStr">
        <is>
          <t>Pontual</t>
        </is>
      </c>
      <c r="J784" s="2" t="n">
        <v>1083</v>
      </c>
      <c r="K784" s="3" t="inlineStr">
        <is>
          <t>Semana 2</t>
        </is>
      </c>
      <c r="L784" s="3" t="inlineStr">
        <is>
          <t>Normal</t>
        </is>
      </c>
      <c r="M784" s="3" t="inlineStr">
        <is>
          <t>chave 783</t>
        </is>
      </c>
    </row>
    <row r="785">
      <c r="A785" s="2" t="n">
        <v>784</v>
      </c>
      <c r="B785" s="3" t="inlineStr">
        <is>
          <t xml:space="preserve">LOJA ZHUANG LTDA </t>
        </is>
      </c>
      <c r="C785" s="3" t="inlineStr">
        <is>
          <t>SUL</t>
        </is>
      </c>
      <c r="D785" s="3" t="inlineStr">
        <is>
          <t>PR</t>
        </is>
      </c>
      <c r="E785" s="3" t="inlineStr">
        <is>
          <t>GUARAPUAVA</t>
        </is>
      </c>
      <c r="F785" s="3" t="inlineStr">
        <is>
          <t xml:space="preserve">CENTRO </t>
        </is>
      </c>
      <c r="G785" s="3" t="inlineStr">
        <is>
          <t>85010000</t>
        </is>
      </c>
      <c r="H785" s="3" t="inlineStr">
        <is>
          <t>João</t>
        </is>
      </c>
      <c r="I785" s="3" t="inlineStr">
        <is>
          <t>Pontual</t>
        </is>
      </c>
      <c r="J785" s="2" t="n">
        <v>1083</v>
      </c>
      <c r="K785" s="3" t="inlineStr">
        <is>
          <t>Semana 2</t>
        </is>
      </c>
      <c r="L785" s="3" t="inlineStr">
        <is>
          <t>Normal</t>
        </is>
      </c>
      <c r="M785" s="3" t="inlineStr">
        <is>
          <t>chave 784</t>
        </is>
      </c>
    </row>
    <row r="786">
      <c r="A786" s="2" t="n">
        <v>785</v>
      </c>
      <c r="B786" s="3" t="inlineStr">
        <is>
          <t xml:space="preserve">DISTRIBUIDORA SAO PEDRO LTDA </t>
        </is>
      </c>
      <c r="C786" s="3" t="inlineStr">
        <is>
          <t>SUL</t>
        </is>
      </c>
      <c r="D786" s="3" t="inlineStr">
        <is>
          <t>PR</t>
        </is>
      </c>
      <c r="E786" s="3" t="inlineStr">
        <is>
          <t>CURITIBA</t>
        </is>
      </c>
      <c r="F786" s="3" t="inlineStr">
        <is>
          <t xml:space="preserve">VILA FANY </t>
        </is>
      </c>
      <c r="G786" s="3" t="inlineStr">
        <is>
          <t>81030170</t>
        </is>
      </c>
      <c r="H786" s="3" t="inlineStr">
        <is>
          <t>João</t>
        </is>
      </c>
      <c r="I786" s="3" t="inlineStr">
        <is>
          <t>Estratégico</t>
        </is>
      </c>
      <c r="J786" s="2" t="n">
        <v>1083</v>
      </c>
      <c r="K786" s="3" t="inlineStr">
        <is>
          <t>Semana 1</t>
        </is>
      </c>
      <c r="L786" s="3" t="inlineStr">
        <is>
          <t>Alta</t>
        </is>
      </c>
      <c r="M786" s="3" t="inlineStr">
        <is>
          <t>chave 785</t>
        </is>
      </c>
    </row>
    <row r="787">
      <c r="A787" s="2" t="n">
        <v>786</v>
      </c>
      <c r="B787" s="3" t="inlineStr">
        <is>
          <t xml:space="preserve">GGPEL LIVRARIA E PAPELARIA LTDA </t>
        </is>
      </c>
      <c r="C787" s="3" t="inlineStr">
        <is>
          <t>SUL</t>
        </is>
      </c>
      <c r="D787" s="3" t="inlineStr">
        <is>
          <t>PR</t>
        </is>
      </c>
      <c r="E787" s="3" t="inlineStr">
        <is>
          <t>PONTA GROSSA</t>
        </is>
      </c>
      <c r="F787" s="3" t="inlineStr">
        <is>
          <t xml:space="preserve">OFICINAS </t>
        </is>
      </c>
      <c r="G787" s="3" t="inlineStr">
        <is>
          <t>84045100</t>
        </is>
      </c>
      <c r="H787" s="3" t="inlineStr">
        <is>
          <t>João</t>
        </is>
      </c>
      <c r="I787" s="3" t="inlineStr">
        <is>
          <t>Pontual</t>
        </is>
      </c>
      <c r="J787" s="2" t="n">
        <v>1083</v>
      </c>
      <c r="K787" s="3" t="inlineStr">
        <is>
          <t>Semana 2</t>
        </is>
      </c>
      <c r="L787" s="3" t="inlineStr">
        <is>
          <t>Normal</t>
        </is>
      </c>
      <c r="M787" s="3" t="inlineStr">
        <is>
          <t>chave 786</t>
        </is>
      </c>
    </row>
    <row r="788">
      <c r="A788" s="2" t="n">
        <v>787</v>
      </c>
      <c r="B788" s="3" t="inlineStr">
        <is>
          <t xml:space="preserve">HERPEL COMERCIO DE PAPEIS LTDA </t>
        </is>
      </c>
      <c r="C788" s="3" t="inlineStr">
        <is>
          <t>SUL</t>
        </is>
      </c>
      <c r="D788" s="3" t="inlineStr">
        <is>
          <t>PR</t>
        </is>
      </c>
      <c r="E788" s="3" t="inlineStr">
        <is>
          <t>ARAPONGAS</t>
        </is>
      </c>
      <c r="F788" s="3" t="inlineStr">
        <is>
          <t xml:space="preserve">VILA INDUSTRIAL </t>
        </is>
      </c>
      <c r="G788" s="3" t="inlineStr">
        <is>
          <t>86706150</t>
        </is>
      </c>
      <c r="H788" s="3" t="inlineStr">
        <is>
          <t>João</t>
        </is>
      </c>
      <c r="I788" s="3" t="inlineStr">
        <is>
          <t>Pontual</t>
        </is>
      </c>
      <c r="J788" s="2" t="n">
        <v>1083</v>
      </c>
      <c r="K788" s="3" t="inlineStr">
        <is>
          <t>Semana 2</t>
        </is>
      </c>
      <c r="L788" s="3" t="inlineStr">
        <is>
          <t>Normal</t>
        </is>
      </c>
      <c r="M788" s="3" t="inlineStr">
        <is>
          <t>chave 787</t>
        </is>
      </c>
    </row>
    <row r="789">
      <c r="A789" s="2" t="n">
        <v>788</v>
      </c>
      <c r="B789" s="3" t="inlineStr">
        <is>
          <t xml:space="preserve">MEGA FEIRA ESCOLAR COMERCIO DE PAPEIS LTDA </t>
        </is>
      </c>
      <c r="C789" s="3" t="inlineStr">
        <is>
          <t>SUL</t>
        </is>
      </c>
      <c r="D789" s="3" t="inlineStr">
        <is>
          <t>PR</t>
        </is>
      </c>
      <c r="E789" s="3" t="inlineStr">
        <is>
          <t>Londrina</t>
        </is>
      </c>
      <c r="F789" s="3" t="inlineStr">
        <is>
          <t xml:space="preserve">CENTRO </t>
        </is>
      </c>
      <c r="G789" s="3" t="inlineStr">
        <is>
          <t>86020150</t>
        </is>
      </c>
      <c r="H789" s="3" t="inlineStr">
        <is>
          <t>João</t>
        </is>
      </c>
      <c r="I789" s="3" t="inlineStr">
        <is>
          <t>Forte</t>
        </is>
      </c>
      <c r="J789" s="2" t="n">
        <v>1083</v>
      </c>
      <c r="K789" s="3" t="inlineStr">
        <is>
          <t>Semana 1</t>
        </is>
      </c>
      <c r="L789" s="3" t="inlineStr">
        <is>
          <t>Média</t>
        </is>
      </c>
      <c r="M789" s="3" t="inlineStr">
        <is>
          <t>chave 788</t>
        </is>
      </c>
    </row>
    <row r="790">
      <c r="A790" s="2" t="n">
        <v>789</v>
      </c>
      <c r="B790" s="3" t="inlineStr">
        <is>
          <t xml:space="preserve">COMERCIAL DESTRO LTDA </t>
        </is>
      </c>
      <c r="C790" s="3" t="inlineStr">
        <is>
          <t>SUL</t>
        </is>
      </c>
      <c r="D790" s="3" t="inlineStr">
        <is>
          <t>PR</t>
        </is>
      </c>
      <c r="E790" s="3" t="inlineStr">
        <is>
          <t>CASCAVÉL</t>
        </is>
      </c>
      <c r="F790" s="3" t="inlineStr">
        <is>
          <t xml:space="preserve">PACAEMBU </t>
        </is>
      </c>
      <c r="G790" s="3" t="inlineStr">
        <is>
          <t>85816302</t>
        </is>
      </c>
      <c r="H790" s="3" t="inlineStr">
        <is>
          <t>João</t>
        </is>
      </c>
      <c r="I790" s="3" t="inlineStr">
        <is>
          <t>Pontual</t>
        </is>
      </c>
      <c r="J790" s="2" t="n">
        <v>1083</v>
      </c>
      <c r="K790" s="3" t="inlineStr">
        <is>
          <t>Semana 2</t>
        </is>
      </c>
      <c r="L790" s="3" t="inlineStr">
        <is>
          <t>Normal</t>
        </is>
      </c>
      <c r="M790" s="3" t="inlineStr">
        <is>
          <t>chave 789</t>
        </is>
      </c>
    </row>
    <row r="791">
      <c r="A791" s="2" t="n">
        <v>790</v>
      </c>
      <c r="B791" s="3" t="inlineStr">
        <is>
          <t xml:space="preserve">GIOVANNY GROCHOSKI - PAPELARIA </t>
        </is>
      </c>
      <c r="C791" s="3" t="inlineStr">
        <is>
          <t>SUL</t>
        </is>
      </c>
      <c r="D791" s="3" t="inlineStr">
        <is>
          <t>PR</t>
        </is>
      </c>
      <c r="E791" s="3" t="inlineStr">
        <is>
          <t>Ivaí</t>
        </is>
      </c>
      <c r="F791" s="3" t="inlineStr">
        <is>
          <t xml:space="preserve">CENTRO </t>
        </is>
      </c>
      <c r="G791" s="3" t="inlineStr">
        <is>
          <t>84460000</t>
        </is>
      </c>
      <c r="H791" s="3" t="inlineStr">
        <is>
          <t>João</t>
        </is>
      </c>
      <c r="I791" s="3" t="inlineStr">
        <is>
          <t>Pontual</t>
        </is>
      </c>
      <c r="J791" s="2" t="n">
        <v>1083</v>
      </c>
      <c r="K791" s="3" t="inlineStr">
        <is>
          <t>Semana 2</t>
        </is>
      </c>
      <c r="L791" s="3" t="inlineStr">
        <is>
          <t>Normal</t>
        </is>
      </c>
      <c r="M791" s="3" t="inlineStr">
        <is>
          <t>chave 790</t>
        </is>
      </c>
    </row>
    <row r="792">
      <c r="A792" s="2" t="n">
        <v>791</v>
      </c>
      <c r="B792" s="3" t="inlineStr">
        <is>
          <t xml:space="preserve">PARANA LICITACOES E COMERCIO LTDA </t>
        </is>
      </c>
      <c r="C792" s="3" t="inlineStr">
        <is>
          <t>SUL</t>
        </is>
      </c>
      <c r="D792" s="3" t="inlineStr">
        <is>
          <t>PR</t>
        </is>
      </c>
      <c r="E792" s="3" t="inlineStr">
        <is>
          <t>Paranaguá</t>
        </is>
      </c>
      <c r="F792" s="3" t="inlineStr">
        <is>
          <t xml:space="preserve">VILA GARCIA </t>
        </is>
      </c>
      <c r="G792" s="3" t="inlineStr">
        <is>
          <t>83218160</t>
        </is>
      </c>
      <c r="H792" s="3" t="inlineStr">
        <is>
          <t>João</t>
        </is>
      </c>
      <c r="I792" s="3" t="inlineStr">
        <is>
          <t>Pontual</t>
        </is>
      </c>
      <c r="J792" s="2" t="n">
        <v>1083</v>
      </c>
      <c r="K792" s="3" t="inlineStr">
        <is>
          <t>Semana 2</t>
        </is>
      </c>
      <c r="L792" s="3" t="inlineStr">
        <is>
          <t>Normal</t>
        </is>
      </c>
      <c r="M792" s="3" t="inlineStr">
        <is>
          <t>chave 791</t>
        </is>
      </c>
    </row>
    <row r="793">
      <c r="A793" s="2" t="n">
        <v>792</v>
      </c>
      <c r="B793" s="3" t="inlineStr">
        <is>
          <t xml:space="preserve">CAROL COMERCIAL LTDA </t>
        </is>
      </c>
      <c r="C793" s="3" t="inlineStr">
        <is>
          <t>SUL</t>
        </is>
      </c>
      <c r="D793" s="3" t="inlineStr">
        <is>
          <t>PR</t>
        </is>
      </c>
      <c r="E793" s="3" t="inlineStr">
        <is>
          <t>Mandaguaçu</t>
        </is>
      </c>
      <c r="F793" s="3" t="inlineStr">
        <is>
          <t xml:space="preserve">VILA FRANCHELLO </t>
        </is>
      </c>
      <c r="G793" s="3" t="inlineStr">
        <is>
          <t>87160000</t>
        </is>
      </c>
      <c r="H793" s="3" t="inlineStr">
        <is>
          <t>João</t>
        </is>
      </c>
      <c r="I793" s="3" t="inlineStr">
        <is>
          <t>Pontual</t>
        </is>
      </c>
      <c r="J793" s="2" t="n">
        <v>1083</v>
      </c>
      <c r="K793" s="3" t="inlineStr">
        <is>
          <t>Semana 2</t>
        </is>
      </c>
      <c r="L793" s="3" t="inlineStr">
        <is>
          <t>Normal</t>
        </is>
      </c>
      <c r="M793" s="3" t="inlineStr">
        <is>
          <t>chave 792</t>
        </is>
      </c>
    </row>
    <row r="794">
      <c r="A794" s="2" t="n">
        <v>793</v>
      </c>
      <c r="B794" s="3" t="inlineStr">
        <is>
          <t xml:space="preserve">TCM OFFICE LTDA </t>
        </is>
      </c>
      <c r="C794" s="3" t="inlineStr">
        <is>
          <t>SUL</t>
        </is>
      </c>
      <c r="D794" s="3" t="inlineStr">
        <is>
          <t>PR</t>
        </is>
      </c>
      <c r="E794" s="3" t="inlineStr">
        <is>
          <t>Campo Mourão</t>
        </is>
      </c>
      <c r="F794" s="3" t="inlineStr">
        <is>
          <t xml:space="preserve">CENTRO </t>
        </is>
      </c>
      <c r="G794" s="3" t="inlineStr">
        <is>
          <t>87303115</t>
        </is>
      </c>
      <c r="H794" s="3" t="inlineStr">
        <is>
          <t>João</t>
        </is>
      </c>
      <c r="I794" s="3" t="inlineStr">
        <is>
          <t>Pontual</t>
        </is>
      </c>
      <c r="J794" s="2" t="n">
        <v>1083</v>
      </c>
      <c r="K794" s="3" t="inlineStr">
        <is>
          <t>Semana 2</t>
        </is>
      </c>
      <c r="L794" s="3" t="inlineStr">
        <is>
          <t>Normal</t>
        </is>
      </c>
      <c r="M794" s="3" t="inlineStr">
        <is>
          <t>chave 793</t>
        </is>
      </c>
    </row>
    <row r="795">
      <c r="A795" s="2" t="n">
        <v>794</v>
      </c>
      <c r="B795" s="3" t="inlineStr">
        <is>
          <t xml:space="preserve">JLV COM DE PROD.ELETRICOS E DE CONSTRUCAO LTDA </t>
        </is>
      </c>
      <c r="C795" s="3" t="inlineStr">
        <is>
          <t>SUL</t>
        </is>
      </c>
      <c r="D795" s="3" t="inlineStr">
        <is>
          <t>PR</t>
        </is>
      </c>
      <c r="E795" s="3" t="inlineStr">
        <is>
          <t>CURITIBA</t>
        </is>
      </c>
      <c r="F795" s="3" t="inlineStr">
        <is>
          <t xml:space="preserve">CIDADE INDUSTRIAL </t>
        </is>
      </c>
      <c r="G795" s="3" t="inlineStr">
        <is>
          <t>81305660</t>
        </is>
      </c>
      <c r="H795" s="3" t="inlineStr">
        <is>
          <t>João</t>
        </is>
      </c>
      <c r="I795" s="3" t="inlineStr">
        <is>
          <t>Estratégico</t>
        </is>
      </c>
      <c r="J795" s="2" t="n">
        <v>1083</v>
      </c>
      <c r="K795" s="3" t="inlineStr">
        <is>
          <t>Semana 1</t>
        </is>
      </c>
      <c r="L795" s="3" t="inlineStr">
        <is>
          <t>Alta</t>
        </is>
      </c>
      <c r="M795" s="3" t="inlineStr">
        <is>
          <t>chave 794</t>
        </is>
      </c>
    </row>
    <row r="796">
      <c r="A796" s="2" t="n">
        <v>795</v>
      </c>
      <c r="B796" s="3" t="inlineStr">
        <is>
          <t xml:space="preserve">VALE ATACADO LTDA </t>
        </is>
      </c>
      <c r="C796" s="3" t="inlineStr">
        <is>
          <t>SUL</t>
        </is>
      </c>
      <c r="D796" s="3" t="inlineStr">
        <is>
          <t>PR</t>
        </is>
      </c>
      <c r="E796" s="3" t="inlineStr">
        <is>
          <t>Maringá</t>
        </is>
      </c>
      <c r="F796" s="3" t="inlineStr">
        <is>
          <t xml:space="preserve">ZONA 06 </t>
        </is>
      </c>
      <c r="G796" s="3" t="inlineStr">
        <is>
          <t>87080190</t>
        </is>
      </c>
      <c r="H796" s="3" t="inlineStr">
        <is>
          <t>João</t>
        </is>
      </c>
      <c r="I796" s="3" t="inlineStr">
        <is>
          <t>Pontual</t>
        </is>
      </c>
      <c r="J796" s="2" t="n">
        <v>1083</v>
      </c>
      <c r="K796" s="3" t="inlineStr">
        <is>
          <t>Semana 2</t>
        </is>
      </c>
      <c r="L796" s="3" t="inlineStr">
        <is>
          <t>Normal</t>
        </is>
      </c>
      <c r="M796" s="3" t="inlineStr">
        <is>
          <t>chave 795</t>
        </is>
      </c>
    </row>
    <row r="797">
      <c r="A797" s="2" t="n">
        <v>796</v>
      </c>
      <c r="B797" s="3" t="inlineStr">
        <is>
          <t xml:space="preserve">BUIAR E CIA  LTDA </t>
        </is>
      </c>
      <c r="C797" s="3" t="inlineStr">
        <is>
          <t>SUL</t>
        </is>
      </c>
      <c r="D797" s="3" t="inlineStr">
        <is>
          <t>PR</t>
        </is>
      </c>
      <c r="E797" s="3" t="inlineStr">
        <is>
          <t>CURITIBA</t>
        </is>
      </c>
      <c r="F797" s="3" t="inlineStr">
        <is>
          <t xml:space="preserve">BOQUEIRAO </t>
        </is>
      </c>
      <c r="G797" s="3" t="inlineStr">
        <is>
          <t>81670400</t>
        </is>
      </c>
      <c r="H797" s="3" t="inlineStr">
        <is>
          <t>João</t>
        </is>
      </c>
      <c r="I797" s="3" t="inlineStr">
        <is>
          <t>Estratégico</t>
        </is>
      </c>
      <c r="J797" s="2" t="n">
        <v>1083</v>
      </c>
      <c r="K797" s="3" t="inlineStr">
        <is>
          <t>Semana 1</t>
        </is>
      </c>
      <c r="L797" s="3" t="inlineStr">
        <is>
          <t>Alta</t>
        </is>
      </c>
      <c r="M797" s="3" t="inlineStr">
        <is>
          <t>chave 796</t>
        </is>
      </c>
    </row>
    <row r="798">
      <c r="A798" s="2" t="n">
        <v>797</v>
      </c>
      <c r="B798" s="3" t="inlineStr">
        <is>
          <t xml:space="preserve">CRISOSTIMO &amp; PRIGOL LTDA </t>
        </is>
      </c>
      <c r="C798" s="3" t="inlineStr">
        <is>
          <t>SUL</t>
        </is>
      </c>
      <c r="D798" s="3" t="inlineStr">
        <is>
          <t>PR</t>
        </is>
      </c>
      <c r="E798" s="3" t="inlineStr">
        <is>
          <t>GUARAPUAVA</t>
        </is>
      </c>
      <c r="F798" s="3" t="inlineStr">
        <is>
          <t xml:space="preserve">CENTRO </t>
        </is>
      </c>
      <c r="G798" s="3" t="inlineStr">
        <is>
          <t>85010000</t>
        </is>
      </c>
      <c r="H798" s="3" t="inlineStr">
        <is>
          <t>João</t>
        </is>
      </c>
      <c r="I798" s="3" t="inlineStr">
        <is>
          <t>Pontual</t>
        </is>
      </c>
      <c r="J798" s="2" t="n">
        <v>1083</v>
      </c>
      <c r="K798" s="3" t="inlineStr">
        <is>
          <t>Semana 2</t>
        </is>
      </c>
      <c r="L798" s="3" t="inlineStr">
        <is>
          <t>Normal</t>
        </is>
      </c>
      <c r="M798" s="3" t="inlineStr">
        <is>
          <t>chave 797</t>
        </is>
      </c>
    </row>
    <row r="799">
      <c r="A799" s="2" t="n">
        <v>798</v>
      </c>
      <c r="B799" s="3" t="inlineStr">
        <is>
          <t xml:space="preserve">O BARRACAO UTILIDADES COMERCIO VAREJISTA DE ARMARINHOS LTDA </t>
        </is>
      </c>
      <c r="C799" s="3" t="inlineStr">
        <is>
          <t>SUL</t>
        </is>
      </c>
      <c r="D799" s="3" t="inlineStr">
        <is>
          <t>PR</t>
        </is>
      </c>
      <c r="E799" s="3" t="inlineStr">
        <is>
          <t>COLOMBO</t>
        </is>
      </c>
      <c r="F799" s="3" t="inlineStr">
        <is>
          <t xml:space="preserve">JARDIM GUARAITUBA </t>
        </is>
      </c>
      <c r="G799" s="3" t="inlineStr">
        <is>
          <t>83410090</t>
        </is>
      </c>
      <c r="H799" s="3" t="inlineStr">
        <is>
          <t>João</t>
        </is>
      </c>
      <c r="I799" s="3" t="inlineStr">
        <is>
          <t>Pontual</t>
        </is>
      </c>
      <c r="J799" s="2" t="n">
        <v>1083</v>
      </c>
      <c r="K799" s="3" t="inlineStr">
        <is>
          <t>Semana 2</t>
        </is>
      </c>
      <c r="L799" s="3" t="inlineStr">
        <is>
          <t>Normal</t>
        </is>
      </c>
      <c r="M799" s="3" t="inlineStr">
        <is>
          <t>chave 798</t>
        </is>
      </c>
    </row>
    <row r="800">
      <c r="A800" s="2" t="n">
        <v>799</v>
      </c>
      <c r="B800" s="3" t="inlineStr">
        <is>
          <t xml:space="preserve">PAPELARIA VERDE LTDA </t>
        </is>
      </c>
      <c r="C800" s="3" t="inlineStr">
        <is>
          <t>SUL</t>
        </is>
      </c>
      <c r="D800" s="3" t="inlineStr">
        <is>
          <t>PR</t>
        </is>
      </c>
      <c r="E800" s="3" t="inlineStr">
        <is>
          <t>PONTA GROSSA</t>
        </is>
      </c>
      <c r="F800" s="3" t="inlineStr">
        <is>
          <t xml:space="preserve">CENTRO </t>
        </is>
      </c>
      <c r="G800" s="3" t="inlineStr">
        <is>
          <t>84010135</t>
        </is>
      </c>
      <c r="H800" s="3" t="inlineStr">
        <is>
          <t>João</t>
        </is>
      </c>
      <c r="I800" s="3" t="inlineStr">
        <is>
          <t>Pontual</t>
        </is>
      </c>
      <c r="J800" s="2" t="n">
        <v>1083</v>
      </c>
      <c r="K800" s="3" t="inlineStr">
        <is>
          <t>Semana 2</t>
        </is>
      </c>
      <c r="L800" s="3" t="inlineStr">
        <is>
          <t>Normal</t>
        </is>
      </c>
      <c r="M800" s="3" t="inlineStr">
        <is>
          <t>chave 799</t>
        </is>
      </c>
    </row>
    <row r="801">
      <c r="A801" s="2" t="n">
        <v>800</v>
      </c>
      <c r="B801" s="3" t="inlineStr">
        <is>
          <t xml:space="preserve">QUALIFOR LTDA </t>
        </is>
      </c>
      <c r="C801" s="3" t="inlineStr">
        <is>
          <t>SUL</t>
        </is>
      </c>
      <c r="D801" s="3" t="inlineStr">
        <is>
          <t>PR</t>
        </is>
      </c>
      <c r="E801" s="3" t="inlineStr">
        <is>
          <t>Telêmaco Borba</t>
        </is>
      </c>
      <c r="F801" s="3" t="inlineStr">
        <is>
          <t xml:space="preserve">MONTE ALEGRE </t>
        </is>
      </c>
      <c r="G801" s="3" t="inlineStr">
        <is>
          <t>84266310</t>
        </is>
      </c>
      <c r="H801" s="3" t="inlineStr">
        <is>
          <t>João</t>
        </is>
      </c>
      <c r="I801" s="3" t="inlineStr">
        <is>
          <t>Pontual</t>
        </is>
      </c>
      <c r="J801" s="2" t="n">
        <v>1083</v>
      </c>
      <c r="K801" s="3" t="inlineStr">
        <is>
          <t>Semana 3</t>
        </is>
      </c>
      <c r="L801" s="3" t="inlineStr">
        <is>
          <t>Normal</t>
        </is>
      </c>
      <c r="M801" s="3" t="inlineStr">
        <is>
          <t>chave 800</t>
        </is>
      </c>
    </row>
    <row r="802">
      <c r="A802" s="2" t="n">
        <v>801</v>
      </c>
      <c r="B802" s="3" t="inlineStr">
        <is>
          <t xml:space="preserve">LEO COMERCIAL DE PROD MANUFAT LTDA </t>
        </is>
      </c>
      <c r="C802" s="3" t="inlineStr">
        <is>
          <t>SUL</t>
        </is>
      </c>
      <c r="D802" s="3" t="inlineStr">
        <is>
          <t>PR</t>
        </is>
      </c>
      <c r="E802" s="3" t="inlineStr">
        <is>
          <t>CURITIBA</t>
        </is>
      </c>
      <c r="F802" s="3" t="inlineStr">
        <is>
          <t xml:space="preserve">PORTAO </t>
        </is>
      </c>
      <c r="G802" s="3" t="inlineStr">
        <is>
          <t>81070090</t>
        </is>
      </c>
      <c r="H802" s="3" t="inlineStr">
        <is>
          <t>João</t>
        </is>
      </c>
      <c r="I802" s="3" t="inlineStr">
        <is>
          <t>Estratégico</t>
        </is>
      </c>
      <c r="J802" s="2" t="n">
        <v>1083</v>
      </c>
      <c r="K802" s="3" t="inlineStr">
        <is>
          <t>Semana 1</t>
        </is>
      </c>
      <c r="L802" s="3" t="inlineStr">
        <is>
          <t>Alta</t>
        </is>
      </c>
      <c r="M802" s="3" t="inlineStr">
        <is>
          <t>chave 801</t>
        </is>
      </c>
    </row>
    <row r="803">
      <c r="A803" s="2" t="n">
        <v>802</v>
      </c>
      <c r="B803" s="3" t="inlineStr">
        <is>
          <t xml:space="preserve">MATILDE CIONEK PEDROSO &amp; CIA LTDA </t>
        </is>
      </c>
      <c r="C803" s="3" t="inlineStr">
        <is>
          <t>SUL</t>
        </is>
      </c>
      <c r="D803" s="3" t="inlineStr">
        <is>
          <t>PR</t>
        </is>
      </c>
      <c r="E803" s="3" t="inlineStr">
        <is>
          <t>RESERVA</t>
        </is>
      </c>
      <c r="F803" s="3" t="inlineStr">
        <is>
          <t xml:space="preserve">CENTRO </t>
        </is>
      </c>
      <c r="G803" s="3" t="inlineStr">
        <is>
          <t>84320000</t>
        </is>
      </c>
      <c r="H803" s="3" t="inlineStr">
        <is>
          <t>João</t>
        </is>
      </c>
      <c r="I803" s="3" t="inlineStr">
        <is>
          <t>Pontual</t>
        </is>
      </c>
      <c r="J803" s="2" t="n">
        <v>1083</v>
      </c>
      <c r="K803" s="3" t="inlineStr">
        <is>
          <t>Semana 3</t>
        </is>
      </c>
      <c r="L803" s="3" t="inlineStr">
        <is>
          <t>Normal</t>
        </is>
      </c>
      <c r="M803" s="3" t="inlineStr">
        <is>
          <t>chave 802</t>
        </is>
      </c>
    </row>
    <row r="804">
      <c r="A804" s="2" t="n">
        <v>803</v>
      </c>
      <c r="B804" s="3" t="inlineStr">
        <is>
          <t xml:space="preserve">ART NOVA COMERCIO E DISTRIBUICAO LTDA </t>
        </is>
      </c>
      <c r="C804" s="3" t="inlineStr">
        <is>
          <t>SUL</t>
        </is>
      </c>
      <c r="D804" s="3" t="inlineStr">
        <is>
          <t>PR</t>
        </is>
      </c>
      <c r="E804" s="3" t="inlineStr">
        <is>
          <t>LONDRINA</t>
        </is>
      </c>
      <c r="F804" s="3" t="inlineStr">
        <is>
          <t xml:space="preserve">VILA SIAM </t>
        </is>
      </c>
      <c r="G804" s="3" t="inlineStr">
        <is>
          <t>86039000</t>
        </is>
      </c>
      <c r="H804" s="3" t="inlineStr">
        <is>
          <t>João</t>
        </is>
      </c>
      <c r="I804" s="3" t="inlineStr">
        <is>
          <t>Forte</t>
        </is>
      </c>
      <c r="J804" s="2" t="n">
        <v>1083</v>
      </c>
      <c r="K804" s="3" t="inlineStr">
        <is>
          <t>Semana 1</t>
        </is>
      </c>
      <c r="L804" s="3" t="inlineStr">
        <is>
          <t>Média</t>
        </is>
      </c>
      <c r="M804" s="3" t="inlineStr">
        <is>
          <t>chave 803</t>
        </is>
      </c>
    </row>
    <row r="805">
      <c r="A805" s="2" t="n">
        <v>804</v>
      </c>
      <c r="B805" s="3" t="inlineStr">
        <is>
          <t xml:space="preserve">PAPELARIA SONHO MEU LTDA </t>
        </is>
      </c>
      <c r="C805" s="3" t="inlineStr">
        <is>
          <t>SUL</t>
        </is>
      </c>
      <c r="D805" s="3" t="inlineStr">
        <is>
          <t>PR</t>
        </is>
      </c>
      <c r="E805" s="3" t="inlineStr">
        <is>
          <t>Prudentópolis</t>
        </is>
      </c>
      <c r="F805" s="3" t="inlineStr">
        <is>
          <t xml:space="preserve">CENTRO </t>
        </is>
      </c>
      <c r="G805" s="3" t="inlineStr">
        <is>
          <t>84400000</t>
        </is>
      </c>
      <c r="H805" s="3" t="inlineStr">
        <is>
          <t>João</t>
        </is>
      </c>
      <c r="I805" s="3" t="inlineStr">
        <is>
          <t>Pontual</t>
        </is>
      </c>
      <c r="J805" s="2" t="n">
        <v>1083</v>
      </c>
      <c r="K805" s="3" t="inlineStr">
        <is>
          <t>Semana 3</t>
        </is>
      </c>
      <c r="L805" s="3" t="inlineStr">
        <is>
          <t>Normal</t>
        </is>
      </c>
      <c r="M805" s="3" t="inlineStr">
        <is>
          <t>chave 804</t>
        </is>
      </c>
    </row>
    <row r="806">
      <c r="A806" s="2" t="n">
        <v>805</v>
      </c>
      <c r="B806" s="3" t="inlineStr">
        <is>
          <t xml:space="preserve">ROMILDO NAHIRNE DA SILVA </t>
        </is>
      </c>
      <c r="C806" s="3" t="inlineStr">
        <is>
          <t>SUL</t>
        </is>
      </c>
      <c r="D806" s="3" t="inlineStr">
        <is>
          <t>PR</t>
        </is>
      </c>
      <c r="E806" s="3" t="inlineStr">
        <is>
          <t>CAMPO LARGO</t>
        </is>
      </c>
      <c r="F806" s="3" t="inlineStr">
        <is>
          <t xml:space="preserve">CENTRO </t>
        </is>
      </c>
      <c r="G806" s="3" t="inlineStr">
        <is>
          <t>83601190</t>
        </is>
      </c>
      <c r="H806" s="3" t="inlineStr">
        <is>
          <t>João</t>
        </is>
      </c>
      <c r="I806" s="3" t="inlineStr">
        <is>
          <t>Pontual</t>
        </is>
      </c>
      <c r="J806" s="2" t="n">
        <v>1083</v>
      </c>
      <c r="K806" s="3" t="inlineStr">
        <is>
          <t>Semana 2</t>
        </is>
      </c>
      <c r="L806" s="3" t="inlineStr">
        <is>
          <t>Normal</t>
        </is>
      </c>
      <c r="M806" s="3" t="inlineStr">
        <is>
          <t>chave 805</t>
        </is>
      </c>
    </row>
    <row r="807">
      <c r="A807" s="2" t="n">
        <v>806</v>
      </c>
      <c r="B807" s="3" t="inlineStr">
        <is>
          <t xml:space="preserve">MASTER DISTRIBUIDORA DE PAPEIS E LIVROS LTDA </t>
        </is>
      </c>
      <c r="C807" s="3" t="inlineStr">
        <is>
          <t>SUL</t>
        </is>
      </c>
      <c r="D807" s="3" t="inlineStr">
        <is>
          <t>PR</t>
        </is>
      </c>
      <c r="E807" s="3" t="inlineStr">
        <is>
          <t>CAMPINA GRANDE DO SUL</t>
        </is>
      </c>
      <c r="F807" s="3" t="inlineStr">
        <is>
          <t xml:space="preserve">JARDIM PAULISTA </t>
        </is>
      </c>
      <c r="G807" s="3" t="inlineStr">
        <is>
          <t>83430000</t>
        </is>
      </c>
      <c r="H807" s="3" t="inlineStr">
        <is>
          <t>João</t>
        </is>
      </c>
      <c r="I807" s="3" t="inlineStr">
        <is>
          <t>Pontual</t>
        </is>
      </c>
      <c r="J807" s="2" t="n">
        <v>1083</v>
      </c>
      <c r="K807" s="3" t="inlineStr">
        <is>
          <t>Semana 2</t>
        </is>
      </c>
      <c r="L807" s="3" t="inlineStr">
        <is>
          <t>Normal</t>
        </is>
      </c>
      <c r="M807" s="3" t="inlineStr">
        <is>
          <t>chave 806</t>
        </is>
      </c>
    </row>
    <row r="808">
      <c r="A808" s="2" t="n">
        <v>807</v>
      </c>
      <c r="B808" s="3" t="inlineStr">
        <is>
          <t xml:space="preserve">PAPELARIA WOSCH LTDA </t>
        </is>
      </c>
      <c r="C808" s="3" t="inlineStr">
        <is>
          <t>SUL</t>
        </is>
      </c>
      <c r="D808" s="3" t="inlineStr">
        <is>
          <t>PR</t>
        </is>
      </c>
      <c r="E808" s="3" t="inlineStr">
        <is>
          <t>Itaperuçu</t>
        </is>
      </c>
      <c r="F808" s="3" t="inlineStr">
        <is>
          <t xml:space="preserve">CENTRO </t>
        </is>
      </c>
      <c r="G808" s="3" t="inlineStr">
        <is>
          <t>83560000</t>
        </is>
      </c>
      <c r="H808" s="3" t="inlineStr">
        <is>
          <t>João</t>
        </is>
      </c>
      <c r="I808" s="3" t="inlineStr">
        <is>
          <t>Pontual</t>
        </is>
      </c>
      <c r="J808" s="2" t="n">
        <v>1083</v>
      </c>
      <c r="K808" s="3" t="inlineStr">
        <is>
          <t>Semana 2</t>
        </is>
      </c>
      <c r="L808" s="3" t="inlineStr">
        <is>
          <t>Normal</t>
        </is>
      </c>
      <c r="M808" s="3" t="inlineStr">
        <is>
          <t>chave 807</t>
        </is>
      </c>
    </row>
    <row r="809">
      <c r="A809" s="2" t="n">
        <v>808</v>
      </c>
      <c r="B809" s="3" t="inlineStr">
        <is>
          <t xml:space="preserve">MIG ATACADO E VAREJO LTDA </t>
        </is>
      </c>
      <c r="C809" s="3" t="inlineStr">
        <is>
          <t>SUL</t>
        </is>
      </c>
      <c r="D809" s="3" t="inlineStr">
        <is>
          <t>PR</t>
        </is>
      </c>
      <c r="E809" s="3" t="inlineStr">
        <is>
          <t>RIO NEGRO</t>
        </is>
      </c>
      <c r="F809" s="3" t="inlineStr">
        <is>
          <t xml:space="preserve">TIJUCO PRETO </t>
        </is>
      </c>
      <c r="G809" s="3" t="inlineStr">
        <is>
          <t>83885302</t>
        </is>
      </c>
      <c r="H809" s="3" t="inlineStr">
        <is>
          <t>João</t>
        </is>
      </c>
      <c r="I809" s="3" t="inlineStr">
        <is>
          <t>Pontual</t>
        </is>
      </c>
      <c r="J809" s="2" t="n">
        <v>1083</v>
      </c>
      <c r="K809" s="3" t="inlineStr">
        <is>
          <t>Semana 3</t>
        </is>
      </c>
      <c r="L809" s="3" t="inlineStr">
        <is>
          <t>Normal</t>
        </is>
      </c>
      <c r="M809" s="3" t="inlineStr">
        <is>
          <t>chave 808</t>
        </is>
      </c>
    </row>
    <row r="810">
      <c r="A810" s="2" t="n">
        <v>809</v>
      </c>
      <c r="B810" s="3" t="inlineStr">
        <is>
          <t xml:space="preserve">PAPELARIA DEPEL LTDA </t>
        </is>
      </c>
      <c r="C810" s="3" t="inlineStr">
        <is>
          <t>SUL</t>
        </is>
      </c>
      <c r="D810" s="3" t="inlineStr">
        <is>
          <t>PR</t>
        </is>
      </c>
      <c r="E810" s="3" t="inlineStr">
        <is>
          <t>Maringá</t>
        </is>
      </c>
      <c r="F810" s="3" t="inlineStr">
        <is>
          <t xml:space="preserve">ZONA 1 </t>
        </is>
      </c>
      <c r="G810" s="3" t="inlineStr">
        <is>
          <t>87013100</t>
        </is>
      </c>
      <c r="H810" s="3" t="inlineStr">
        <is>
          <t>João</t>
        </is>
      </c>
      <c r="I810" s="3" t="inlineStr">
        <is>
          <t>Pontual</t>
        </is>
      </c>
      <c r="J810" s="2" t="n">
        <v>1083</v>
      </c>
      <c r="K810" s="3" t="inlineStr">
        <is>
          <t>Semana 2</t>
        </is>
      </c>
      <c r="L810" s="3" t="inlineStr">
        <is>
          <t>Normal</t>
        </is>
      </c>
      <c r="M810" s="3" t="inlineStr">
        <is>
          <t>chave 809</t>
        </is>
      </c>
    </row>
    <row r="811">
      <c r="A811" s="2" t="n">
        <v>810</v>
      </c>
      <c r="B811" s="3" t="inlineStr">
        <is>
          <t xml:space="preserve">BER-MAN DISTRIBUIDORA DE ARTIGOS DE PAPELARIA LTDA </t>
        </is>
      </c>
      <c r="C811" s="3" t="inlineStr">
        <is>
          <t>SUL</t>
        </is>
      </c>
      <c r="D811" s="3" t="inlineStr">
        <is>
          <t>PR</t>
        </is>
      </c>
      <c r="E811" s="3" t="inlineStr">
        <is>
          <t>CURITIBA</t>
        </is>
      </c>
      <c r="F811" s="3" t="inlineStr">
        <is>
          <t xml:space="preserve">PINHEIRINHO </t>
        </is>
      </c>
      <c r="G811" s="3" t="inlineStr">
        <is>
          <t>81150020</t>
        </is>
      </c>
      <c r="H811" s="3" t="inlineStr">
        <is>
          <t>João</t>
        </is>
      </c>
      <c r="I811" s="3" t="inlineStr">
        <is>
          <t>Estratégico</t>
        </is>
      </c>
      <c r="J811" s="2" t="n">
        <v>1083</v>
      </c>
      <c r="K811" s="3" t="inlineStr">
        <is>
          <t>Semana 1</t>
        </is>
      </c>
      <c r="L811" s="3" t="inlineStr">
        <is>
          <t>Alta</t>
        </is>
      </c>
      <c r="M811" s="3" t="inlineStr">
        <is>
          <t>chave 810</t>
        </is>
      </c>
    </row>
    <row r="812">
      <c r="A812" s="2" t="n">
        <v>811</v>
      </c>
      <c r="B812" s="3" t="inlineStr">
        <is>
          <t xml:space="preserve">LUCIANE TEREZINHA JOLY MATSUMOTO 02207156966 </t>
        </is>
      </c>
      <c r="C812" s="3" t="inlineStr">
        <is>
          <t>SUL</t>
        </is>
      </c>
      <c r="D812" s="3" t="inlineStr">
        <is>
          <t>PR</t>
        </is>
      </c>
      <c r="E812" s="3" t="inlineStr">
        <is>
          <t>CURITIBA</t>
        </is>
      </c>
      <c r="F812" s="3" t="inlineStr">
        <is>
          <t xml:space="preserve">CAJURU </t>
        </is>
      </c>
      <c r="G812" s="3" t="inlineStr">
        <is>
          <t>82930280</t>
        </is>
      </c>
      <c r="H812" s="3" t="inlineStr">
        <is>
          <t>João</t>
        </is>
      </c>
      <c r="I812" s="3" t="inlineStr">
        <is>
          <t>Estratégico</t>
        </is>
      </c>
      <c r="J812" s="2" t="n">
        <v>1083</v>
      </c>
      <c r="K812" s="3" t="inlineStr">
        <is>
          <t>Semana 1</t>
        </is>
      </c>
      <c r="L812" s="3" t="inlineStr">
        <is>
          <t>Alta</t>
        </is>
      </c>
      <c r="M812" s="3" t="inlineStr">
        <is>
          <t>chave 811</t>
        </is>
      </c>
    </row>
    <row r="813">
      <c r="A813" s="2" t="n">
        <v>812</v>
      </c>
      <c r="B813" s="3" t="inlineStr">
        <is>
          <t xml:space="preserve">PAPER BLISS PAPELARIA LTDA </t>
        </is>
      </c>
      <c r="C813" s="3" t="inlineStr">
        <is>
          <t>SUL</t>
        </is>
      </c>
      <c r="D813" s="3" t="inlineStr">
        <is>
          <t>PR</t>
        </is>
      </c>
      <c r="E813" s="3" t="inlineStr">
        <is>
          <t>CURITIBA</t>
        </is>
      </c>
      <c r="F813" s="3" t="inlineStr">
        <is>
          <t xml:space="preserve">GUAIRA </t>
        </is>
      </c>
      <c r="G813" s="3" t="inlineStr">
        <is>
          <t>80630100</t>
        </is>
      </c>
      <c r="H813" s="3" t="inlineStr">
        <is>
          <t>João</t>
        </is>
      </c>
      <c r="I813" s="3" t="inlineStr">
        <is>
          <t>Estratégico</t>
        </is>
      </c>
      <c r="J813" s="2" t="n">
        <v>1083</v>
      </c>
      <c r="K813" s="3" t="inlineStr">
        <is>
          <t>Semana 1</t>
        </is>
      </c>
      <c r="L813" s="3" t="inlineStr">
        <is>
          <t>Alta</t>
        </is>
      </c>
      <c r="M813" s="3" t="inlineStr">
        <is>
          <t>chave 812</t>
        </is>
      </c>
    </row>
    <row r="814">
      <c r="A814" s="2" t="n">
        <v>813</v>
      </c>
      <c r="B814" s="3" t="inlineStr">
        <is>
          <t xml:space="preserve">PAPELARIA NATAL LTDA </t>
        </is>
      </c>
      <c r="C814" s="3" t="inlineStr">
        <is>
          <t>SUL</t>
        </is>
      </c>
      <c r="D814" s="3" t="inlineStr">
        <is>
          <t>PR</t>
        </is>
      </c>
      <c r="E814" s="3" t="inlineStr">
        <is>
          <t>PINHAIS</t>
        </is>
      </c>
      <c r="F814" s="3" t="inlineStr">
        <is>
          <t xml:space="preserve">ESTANCIA PINHAIS </t>
        </is>
      </c>
      <c r="G814" s="3" t="inlineStr">
        <is>
          <t>83323060</t>
        </is>
      </c>
      <c r="H814" s="3" t="inlineStr">
        <is>
          <t>João</t>
        </is>
      </c>
      <c r="I814" s="3" t="inlineStr">
        <is>
          <t>Pontual</t>
        </is>
      </c>
      <c r="J814" s="2" t="n">
        <v>1083</v>
      </c>
      <c r="K814" s="3" t="inlineStr">
        <is>
          <t>Semana 2</t>
        </is>
      </c>
      <c r="L814" s="3" t="inlineStr">
        <is>
          <t>Normal</t>
        </is>
      </c>
      <c r="M814" s="3" t="inlineStr">
        <is>
          <t>chave 813</t>
        </is>
      </c>
    </row>
    <row r="815">
      <c r="A815" s="2" t="n">
        <v>814</v>
      </c>
      <c r="B815" s="3" t="inlineStr">
        <is>
          <t xml:space="preserve">PANATURA INDUSTRIA E COMERCIO DE ALIMENTOS LTDA </t>
        </is>
      </c>
      <c r="C815" s="3" t="inlineStr">
        <is>
          <t>SUL</t>
        </is>
      </c>
      <c r="D815" s="3" t="inlineStr">
        <is>
          <t>PR</t>
        </is>
      </c>
      <c r="E815" s="3" t="inlineStr">
        <is>
          <t>CURITIBA</t>
        </is>
      </c>
      <c r="F815" s="3" t="inlineStr">
        <is>
          <t xml:space="preserve">JD.SOCIAL </t>
        </is>
      </c>
      <c r="G815" s="3" t="inlineStr">
        <is>
          <t>82530010</t>
        </is>
      </c>
      <c r="H815" s="3" t="inlineStr">
        <is>
          <t>João</t>
        </is>
      </c>
      <c r="I815" s="3" t="inlineStr">
        <is>
          <t>Estratégico</t>
        </is>
      </c>
      <c r="J815" s="2" t="n">
        <v>1083</v>
      </c>
      <c r="K815" s="3" t="inlineStr">
        <is>
          <t>Semana 1</t>
        </is>
      </c>
      <c r="L815" s="3" t="inlineStr">
        <is>
          <t>Alta</t>
        </is>
      </c>
      <c r="M815" s="3" t="inlineStr">
        <is>
          <t>chave 814</t>
        </is>
      </c>
    </row>
    <row r="816">
      <c r="A816" s="2" t="n">
        <v>815</v>
      </c>
      <c r="B816" s="3" t="inlineStr">
        <is>
          <t xml:space="preserve">LER COMERCIO DE LIVROS LTDA </t>
        </is>
      </c>
      <c r="C816" s="3" t="inlineStr">
        <is>
          <t>SUL</t>
        </is>
      </c>
      <c r="D816" s="3" t="inlineStr">
        <is>
          <t>PR</t>
        </is>
      </c>
      <c r="E816" s="3" t="inlineStr">
        <is>
          <t>Carambeí</t>
        </is>
      </c>
      <c r="F816" s="3" t="inlineStr">
        <is>
          <t xml:space="preserve">CENTRO </t>
        </is>
      </c>
      <c r="G816" s="3" t="inlineStr">
        <is>
          <t>84145000</t>
        </is>
      </c>
      <c r="H816" s="3" t="inlineStr">
        <is>
          <t>João</t>
        </is>
      </c>
      <c r="I816" s="3" t="inlineStr">
        <is>
          <t>Pontual</t>
        </is>
      </c>
      <c r="J816" s="2" t="n">
        <v>1083</v>
      </c>
      <c r="K816" s="3" t="inlineStr">
        <is>
          <t>Semana 2</t>
        </is>
      </c>
      <c r="L816" s="3" t="inlineStr">
        <is>
          <t>Normal</t>
        </is>
      </c>
      <c r="M816" s="3" t="inlineStr">
        <is>
          <t>chave 815</t>
        </is>
      </c>
    </row>
    <row r="817">
      <c r="A817" s="2" t="n">
        <v>816</v>
      </c>
      <c r="B817" s="3" t="inlineStr">
        <is>
          <t xml:space="preserve">STUDANTIL ATACADO IVAIPORA LTDA </t>
        </is>
      </c>
      <c r="C817" s="3" t="inlineStr">
        <is>
          <t>SUL</t>
        </is>
      </c>
      <c r="D817" s="3" t="inlineStr">
        <is>
          <t>PR</t>
        </is>
      </c>
      <c r="E817" s="3" t="inlineStr">
        <is>
          <t>IVAIPORÃ</t>
        </is>
      </c>
      <c r="F817" s="3" t="inlineStr">
        <is>
          <t xml:space="preserve">CENTRO </t>
        </is>
      </c>
      <c r="G817" s="3" t="inlineStr">
        <is>
          <t>86870000</t>
        </is>
      </c>
      <c r="H817" s="3" t="inlineStr">
        <is>
          <t>João</t>
        </is>
      </c>
      <c r="I817" s="3" t="inlineStr">
        <is>
          <t>Pontual</t>
        </is>
      </c>
      <c r="J817" s="2" t="n">
        <v>1083</v>
      </c>
      <c r="K817" s="3" t="inlineStr">
        <is>
          <t>Semana 2</t>
        </is>
      </c>
      <c r="L817" s="3" t="inlineStr">
        <is>
          <t>Normal</t>
        </is>
      </c>
      <c r="M817" s="3" t="inlineStr">
        <is>
          <t>chave 816</t>
        </is>
      </c>
    </row>
    <row r="818">
      <c r="A818" s="2" t="n">
        <v>817</v>
      </c>
      <c r="B818" s="3" t="inlineStr">
        <is>
          <t xml:space="preserve">PAPELARIA E CONFECCOES GUARATUBA LTDA </t>
        </is>
      </c>
      <c r="C818" s="3" t="inlineStr">
        <is>
          <t>SUL</t>
        </is>
      </c>
      <c r="D818" s="3" t="inlineStr">
        <is>
          <t>PR</t>
        </is>
      </c>
      <c r="E818" s="3" t="inlineStr">
        <is>
          <t>GUARATUBA</t>
        </is>
      </c>
      <c r="F818" s="3" t="inlineStr">
        <is>
          <t xml:space="preserve">CENTRO </t>
        </is>
      </c>
      <c r="G818" s="3" t="inlineStr">
        <is>
          <t>83280000</t>
        </is>
      </c>
      <c r="H818" s="3" t="inlineStr">
        <is>
          <t>João</t>
        </is>
      </c>
      <c r="I818" s="3" t="inlineStr">
        <is>
          <t>Pontual</t>
        </is>
      </c>
      <c r="J818" s="2" t="n">
        <v>1083</v>
      </c>
      <c r="K818" s="3" t="inlineStr">
        <is>
          <t>Semana 2</t>
        </is>
      </c>
      <c r="L818" s="3" t="inlineStr">
        <is>
          <t>Normal</t>
        </is>
      </c>
      <c r="M818" s="3" t="inlineStr">
        <is>
          <t>chave 817</t>
        </is>
      </c>
    </row>
    <row r="819">
      <c r="A819" s="2" t="n">
        <v>818</v>
      </c>
      <c r="B819" s="3" t="inlineStr">
        <is>
          <t xml:space="preserve">NINO UTILIDADES DOMESTICAS LTDA. </t>
        </is>
      </c>
      <c r="C819" s="3" t="inlineStr">
        <is>
          <t>SUL</t>
        </is>
      </c>
      <c r="D819" s="3" t="inlineStr">
        <is>
          <t>RS</t>
        </is>
      </c>
      <c r="E819" s="3" t="inlineStr">
        <is>
          <t>VERA CRUZ</t>
        </is>
      </c>
      <c r="F819" s="3" t="inlineStr">
        <is>
          <t xml:space="preserve">CENTRO </t>
        </is>
      </c>
      <c r="G819" s="3" t="inlineStr">
        <is>
          <t>96880000</t>
        </is>
      </c>
      <c r="H819" s="3" t="inlineStr">
        <is>
          <t>João</t>
        </is>
      </c>
      <c r="I819" s="3" t="inlineStr">
        <is>
          <t>Pontual</t>
        </is>
      </c>
      <c r="J819" s="2" t="n">
        <v>1544</v>
      </c>
      <c r="K819" s="3" t="inlineStr">
        <is>
          <t>Semana 3</t>
        </is>
      </c>
      <c r="L819" s="3" t="inlineStr">
        <is>
          <t>Normal</t>
        </is>
      </c>
      <c r="M819" s="3" t="inlineStr">
        <is>
          <t>chave 818</t>
        </is>
      </c>
    </row>
    <row r="820">
      <c r="A820" s="2" t="n">
        <v>819</v>
      </c>
      <c r="B820" s="3" t="inlineStr">
        <is>
          <t xml:space="preserve">DISTRIBUIDORA DE PAPEIS BRAILE LTDA </t>
        </is>
      </c>
      <c r="C820" s="3" t="inlineStr">
        <is>
          <t>SUL</t>
        </is>
      </c>
      <c r="D820" s="3" t="inlineStr">
        <is>
          <t>RS</t>
        </is>
      </c>
      <c r="E820" s="3" t="inlineStr">
        <is>
          <t>PORTO ALEGRE</t>
        </is>
      </c>
      <c r="F820" s="3" t="inlineStr">
        <is>
          <t xml:space="preserve">FARRAPOS </t>
        </is>
      </c>
      <c r="G820" s="3" t="inlineStr">
        <is>
          <t>90245000</t>
        </is>
      </c>
      <c r="H820" s="3" t="inlineStr">
        <is>
          <t>João</t>
        </is>
      </c>
      <c r="I820" s="3" t="inlineStr">
        <is>
          <t>Estratégico</t>
        </is>
      </c>
      <c r="J820" s="2" t="n">
        <v>1544</v>
      </c>
      <c r="K820" s="3" t="inlineStr">
        <is>
          <t>Semana 1</t>
        </is>
      </c>
      <c r="L820" s="3" t="inlineStr">
        <is>
          <t>Alta</t>
        </is>
      </c>
      <c r="M820" s="3" t="inlineStr">
        <is>
          <t>chave 819</t>
        </is>
      </c>
    </row>
    <row r="821">
      <c r="A821" s="2" t="n">
        <v>820</v>
      </c>
      <c r="B821" s="3" t="inlineStr">
        <is>
          <t xml:space="preserve">SIMON E HAFLE LTDA </t>
        </is>
      </c>
      <c r="C821" s="3" t="inlineStr">
        <is>
          <t>SUL</t>
        </is>
      </c>
      <c r="D821" s="3" t="inlineStr">
        <is>
          <t>RS</t>
        </is>
      </c>
      <c r="E821" s="3" t="inlineStr">
        <is>
          <t>ERECHIM</t>
        </is>
      </c>
      <c r="F821" s="3" t="inlineStr">
        <is>
          <t xml:space="preserve">CENTRO </t>
        </is>
      </c>
      <c r="G821" s="3" t="inlineStr">
        <is>
          <t>99700010</t>
        </is>
      </c>
      <c r="H821" s="3" t="inlineStr">
        <is>
          <t>João</t>
        </is>
      </c>
      <c r="I821" s="3" t="inlineStr">
        <is>
          <t>Pontual</t>
        </is>
      </c>
      <c r="J821" s="2" t="n">
        <v>1544</v>
      </c>
      <c r="K821" s="3" t="inlineStr">
        <is>
          <t>Semana 3</t>
        </is>
      </c>
      <c r="L821" s="3" t="inlineStr">
        <is>
          <t>Normal</t>
        </is>
      </c>
      <c r="M821" s="3" t="inlineStr">
        <is>
          <t>chave 820</t>
        </is>
      </c>
    </row>
    <row r="822">
      <c r="A822" s="2" t="n">
        <v>821</v>
      </c>
      <c r="B822" s="3" t="inlineStr">
        <is>
          <t xml:space="preserve">MADRA BAZAR E LIVRARIA LTDA </t>
        </is>
      </c>
      <c r="C822" s="3" t="inlineStr">
        <is>
          <t>SUL</t>
        </is>
      </c>
      <c r="D822" s="3" t="inlineStr">
        <is>
          <t>RS</t>
        </is>
      </c>
      <c r="E822" s="3" t="inlineStr">
        <is>
          <t>CAXIAS DO SUL</t>
        </is>
      </c>
      <c r="F822" s="3" t="inlineStr">
        <is>
          <t xml:space="preserve">CRUZEIRO </t>
        </is>
      </c>
      <c r="G822" s="3" t="inlineStr">
        <is>
          <t>95074000</t>
        </is>
      </c>
      <c r="H822" s="3" t="inlineStr">
        <is>
          <t>João</t>
        </is>
      </c>
      <c r="I822" s="3" t="inlineStr">
        <is>
          <t>Forte</t>
        </is>
      </c>
      <c r="J822" s="2" t="n">
        <v>1544</v>
      </c>
      <c r="K822" s="3" t="inlineStr">
        <is>
          <t>Semana 1</t>
        </is>
      </c>
      <c r="L822" s="3" t="inlineStr">
        <is>
          <t>Média</t>
        </is>
      </c>
      <c r="M822" s="3" t="inlineStr">
        <is>
          <t>chave 821</t>
        </is>
      </c>
    </row>
    <row r="823">
      <c r="A823" s="2" t="n">
        <v>822</v>
      </c>
      <c r="B823" s="3" t="inlineStr">
        <is>
          <t xml:space="preserve">BARONESA LTDA </t>
        </is>
      </c>
      <c r="C823" s="3" t="inlineStr">
        <is>
          <t>SUL</t>
        </is>
      </c>
      <c r="D823" s="3" t="inlineStr">
        <is>
          <t>RS</t>
        </is>
      </c>
      <c r="E823" s="3" t="inlineStr">
        <is>
          <t>PORTO ALEGRE</t>
        </is>
      </c>
      <c r="F823" s="3" t="inlineStr">
        <is>
          <t xml:space="preserve">CIDADE BAIXA </t>
        </is>
      </c>
      <c r="G823" s="3" t="inlineStr">
        <is>
          <t>90160070</t>
        </is>
      </c>
      <c r="H823" s="3" t="inlineStr">
        <is>
          <t>João</t>
        </is>
      </c>
      <c r="I823" s="3" t="inlineStr">
        <is>
          <t>Estratégico</t>
        </is>
      </c>
      <c r="J823" s="2" t="n">
        <v>1544</v>
      </c>
      <c r="K823" s="3" t="inlineStr">
        <is>
          <t>Semana 1</t>
        </is>
      </c>
      <c r="L823" s="3" t="inlineStr">
        <is>
          <t>Alta</t>
        </is>
      </c>
      <c r="M823" s="3" t="inlineStr">
        <is>
          <t>chave 822</t>
        </is>
      </c>
    </row>
    <row r="824">
      <c r="A824" s="2" t="n">
        <v>823</v>
      </c>
      <c r="B824" s="3" t="inlineStr">
        <is>
          <t xml:space="preserve">MUNDIAL LIVRARIA E PAPELARIA LTDA </t>
        </is>
      </c>
      <c r="C824" s="3" t="inlineStr">
        <is>
          <t>SUL</t>
        </is>
      </c>
      <c r="D824" s="3" t="inlineStr">
        <is>
          <t>RS</t>
        </is>
      </c>
      <c r="E824" s="3" t="inlineStr">
        <is>
          <t>PORTO ALEGRE</t>
        </is>
      </c>
      <c r="F824" s="3" t="inlineStr">
        <is>
          <t xml:space="preserve">JARDIM FLORESTA </t>
        </is>
      </c>
      <c r="G824" s="3" t="inlineStr">
        <is>
          <t>91040550</t>
        </is>
      </c>
      <c r="H824" s="3" t="inlineStr">
        <is>
          <t>João</t>
        </is>
      </c>
      <c r="I824" s="3" t="inlineStr">
        <is>
          <t>Estratégico</t>
        </is>
      </c>
      <c r="J824" s="2" t="n">
        <v>1544</v>
      </c>
      <c r="K824" s="3" t="inlineStr">
        <is>
          <t>Semana 1</t>
        </is>
      </c>
      <c r="L824" s="3" t="inlineStr">
        <is>
          <t>Alta</t>
        </is>
      </c>
      <c r="M824" s="3" t="inlineStr">
        <is>
          <t>chave 823</t>
        </is>
      </c>
    </row>
    <row r="825">
      <c r="A825" s="2" t="n">
        <v>824</v>
      </c>
      <c r="B825" s="3" t="inlineStr">
        <is>
          <t xml:space="preserve">MIGLIORINI E CIA LTDA </t>
        </is>
      </c>
      <c r="C825" s="3" t="inlineStr">
        <is>
          <t>SUL</t>
        </is>
      </c>
      <c r="D825" s="3" t="inlineStr">
        <is>
          <t>RS</t>
        </is>
      </c>
      <c r="E825" s="3" t="inlineStr">
        <is>
          <t>PASSO FUNDO</t>
        </is>
      </c>
      <c r="F825" s="3" t="inlineStr">
        <is>
          <t xml:space="preserve">PETROPOLIS </t>
        </is>
      </c>
      <c r="G825" s="3" t="inlineStr">
        <is>
          <t>99051400</t>
        </is>
      </c>
      <c r="H825" s="3" t="inlineStr">
        <is>
          <t>João</t>
        </is>
      </c>
      <c r="I825" s="3" t="inlineStr">
        <is>
          <t>Pontual</t>
        </is>
      </c>
      <c r="J825" s="2" t="n">
        <v>1544</v>
      </c>
      <c r="K825" s="3" t="inlineStr">
        <is>
          <t>Semana 3</t>
        </is>
      </c>
      <c r="L825" s="3" t="inlineStr">
        <is>
          <t>Normal</t>
        </is>
      </c>
      <c r="M825" s="3" t="inlineStr">
        <is>
          <t>chave 824</t>
        </is>
      </c>
    </row>
    <row r="826">
      <c r="A826" s="2" t="n">
        <v>825</v>
      </c>
      <c r="B826" s="3" t="inlineStr">
        <is>
          <t xml:space="preserve">SERGUN YOUL ESHA </t>
        </is>
      </c>
      <c r="C826" s="3" t="inlineStr">
        <is>
          <t>SUL</t>
        </is>
      </c>
      <c r="D826" s="3" t="inlineStr">
        <is>
          <t>RS</t>
        </is>
      </c>
      <c r="E826" s="3" t="inlineStr">
        <is>
          <t>CAXIAS DO SUL</t>
        </is>
      </c>
      <c r="F826" s="3" t="inlineStr">
        <is>
          <t xml:space="preserve">SAO PELEGRINO </t>
        </is>
      </c>
      <c r="G826" s="3" t="inlineStr">
        <is>
          <t>95034160</t>
        </is>
      </c>
      <c r="H826" s="3" t="inlineStr">
        <is>
          <t>João</t>
        </is>
      </c>
      <c r="I826" s="3" t="inlineStr">
        <is>
          <t>Forte</t>
        </is>
      </c>
      <c r="J826" s="2" t="n">
        <v>1544</v>
      </c>
      <c r="K826" s="3" t="inlineStr">
        <is>
          <t>Semana 1</t>
        </is>
      </c>
      <c r="L826" s="3" t="inlineStr">
        <is>
          <t>Média</t>
        </is>
      </c>
      <c r="M826" s="3" t="inlineStr">
        <is>
          <t>chave 825</t>
        </is>
      </c>
    </row>
    <row r="827">
      <c r="A827" s="2" t="n">
        <v>826</v>
      </c>
      <c r="B827" s="3" t="inlineStr">
        <is>
          <t xml:space="preserve">DAROS-SUPRIMENTOS P/ INFOM E ESCRITORIO LTDA </t>
        </is>
      </c>
      <c r="C827" s="3" t="inlineStr">
        <is>
          <t>SUL</t>
        </is>
      </c>
      <c r="D827" s="3" t="inlineStr">
        <is>
          <t>RS</t>
        </is>
      </c>
      <c r="E827" s="3" t="inlineStr">
        <is>
          <t>PORTO ALEGRE</t>
        </is>
      </c>
      <c r="F827" s="3" t="inlineStr">
        <is>
          <t xml:space="preserve">SAO JOAO </t>
        </is>
      </c>
      <c r="G827" s="3" t="inlineStr">
        <is>
          <t>90550003</t>
        </is>
      </c>
      <c r="H827" s="3" t="inlineStr">
        <is>
          <t>João</t>
        </is>
      </c>
      <c r="I827" s="3" t="inlineStr">
        <is>
          <t>Estratégico</t>
        </is>
      </c>
      <c r="J827" s="2" t="n">
        <v>1544</v>
      </c>
      <c r="K827" s="3" t="inlineStr">
        <is>
          <t>Semana 1</t>
        </is>
      </c>
      <c r="L827" s="3" t="inlineStr">
        <is>
          <t>Alta</t>
        </is>
      </c>
      <c r="M827" s="3" t="inlineStr">
        <is>
          <t>chave 826</t>
        </is>
      </c>
    </row>
    <row r="828">
      <c r="A828" s="2" t="n">
        <v>827</v>
      </c>
      <c r="B828" s="3" t="inlineStr">
        <is>
          <t xml:space="preserve">BCL ATACADO E DISTRIBUIDORA DE PAPELARIA LTDA </t>
        </is>
      </c>
      <c r="C828" s="3" t="inlineStr">
        <is>
          <t>SUL</t>
        </is>
      </c>
      <c r="D828" s="3" t="inlineStr">
        <is>
          <t>RS</t>
        </is>
      </c>
      <c r="E828" s="3" t="inlineStr">
        <is>
          <t>CAXIAS DO SUL</t>
        </is>
      </c>
      <c r="F828" s="3" t="inlineStr">
        <is>
          <t xml:space="preserve">SANTA CATARINA </t>
        </is>
      </c>
      <c r="G828" s="3" t="inlineStr">
        <is>
          <t>95032620</t>
        </is>
      </c>
      <c r="H828" s="3" t="inlineStr">
        <is>
          <t>João</t>
        </is>
      </c>
      <c r="I828" s="3" t="inlineStr">
        <is>
          <t>Forte</t>
        </is>
      </c>
      <c r="J828" s="2" t="n">
        <v>1544</v>
      </c>
      <c r="K828" s="3" t="inlineStr">
        <is>
          <t>Semana 1</t>
        </is>
      </c>
      <c r="L828" s="3" t="inlineStr">
        <is>
          <t>Média</t>
        </is>
      </c>
      <c r="M828" s="3" t="inlineStr">
        <is>
          <t>chave 827</t>
        </is>
      </c>
    </row>
    <row r="829">
      <c r="A829" s="2" t="n">
        <v>828</v>
      </c>
      <c r="B829" s="3" t="inlineStr">
        <is>
          <t xml:space="preserve">MURIEL A BLAU &amp; CIA LTDA </t>
        </is>
      </c>
      <c r="C829" s="3" t="inlineStr">
        <is>
          <t>SUL</t>
        </is>
      </c>
      <c r="D829" s="3" t="inlineStr">
        <is>
          <t>RS</t>
        </is>
      </c>
      <c r="E829" s="3" t="inlineStr">
        <is>
          <t>Lajeado</t>
        </is>
      </c>
      <c r="F829" s="3" t="inlineStr">
        <is>
          <t xml:space="preserve">FLORESTA </t>
        </is>
      </c>
      <c r="G829" s="3" t="inlineStr">
        <is>
          <t>95902260</t>
        </is>
      </c>
      <c r="H829" s="3" t="inlineStr">
        <is>
          <t>João</t>
        </is>
      </c>
      <c r="I829" s="3" t="inlineStr">
        <is>
          <t>Pontual</t>
        </is>
      </c>
      <c r="J829" s="2" t="n">
        <v>1544</v>
      </c>
      <c r="K829" s="3" t="inlineStr">
        <is>
          <t>Semana 3</t>
        </is>
      </c>
      <c r="L829" s="3" t="inlineStr">
        <is>
          <t>Normal</t>
        </is>
      </c>
      <c r="M829" s="3" t="inlineStr">
        <is>
          <t>chave 828</t>
        </is>
      </c>
    </row>
    <row r="830">
      <c r="A830" s="2" t="n">
        <v>829</v>
      </c>
      <c r="B830" s="3" t="inlineStr">
        <is>
          <t xml:space="preserve">LIVRARIA ROSSI LTDA </t>
        </is>
      </c>
      <c r="C830" s="3" t="inlineStr">
        <is>
          <t>SUL</t>
        </is>
      </c>
      <c r="D830" s="3" t="inlineStr">
        <is>
          <t>RS</t>
        </is>
      </c>
      <c r="E830" s="3" t="inlineStr">
        <is>
          <t>CAXIAS DO SUL</t>
        </is>
      </c>
      <c r="F830" s="3" t="inlineStr">
        <is>
          <t xml:space="preserve">CENTRO </t>
        </is>
      </c>
      <c r="G830" s="3" t="inlineStr">
        <is>
          <t>95010003</t>
        </is>
      </c>
      <c r="H830" s="3" t="inlineStr">
        <is>
          <t>João</t>
        </is>
      </c>
      <c r="I830" s="3" t="inlineStr">
        <is>
          <t>Forte</t>
        </is>
      </c>
      <c r="J830" s="2" t="n">
        <v>1544</v>
      </c>
      <c r="K830" s="3" t="inlineStr">
        <is>
          <t>Semana 1</t>
        </is>
      </c>
      <c r="L830" s="3" t="inlineStr">
        <is>
          <t>Média</t>
        </is>
      </c>
      <c r="M830" s="3" t="inlineStr">
        <is>
          <t>chave 829</t>
        </is>
      </c>
    </row>
    <row r="831">
      <c r="A831" s="2" t="n">
        <v>830</v>
      </c>
      <c r="B831" s="3" t="inlineStr">
        <is>
          <t xml:space="preserve">ALEXANDRE MORAES JALIL ISA LTDA </t>
        </is>
      </c>
      <c r="C831" s="3" t="inlineStr">
        <is>
          <t>SUL</t>
        </is>
      </c>
      <c r="D831" s="3" t="inlineStr">
        <is>
          <t>RS</t>
        </is>
      </c>
      <c r="E831" s="3" t="inlineStr">
        <is>
          <t>São Lourenço do Sul</t>
        </is>
      </c>
      <c r="F831" s="3" t="inlineStr">
        <is>
          <t xml:space="preserve">CENTRO </t>
        </is>
      </c>
      <c r="G831" s="3" t="inlineStr">
        <is>
          <t>96170000</t>
        </is>
      </c>
      <c r="H831" s="3" t="inlineStr">
        <is>
          <t>João</t>
        </is>
      </c>
      <c r="I831" s="3" t="inlineStr">
        <is>
          <t>Pontual</t>
        </is>
      </c>
      <c r="J831" s="2" t="n">
        <v>1544</v>
      </c>
      <c r="K831" s="3" t="inlineStr">
        <is>
          <t>Semana 3</t>
        </is>
      </c>
      <c r="L831" s="3" t="inlineStr">
        <is>
          <t>Normal</t>
        </is>
      </c>
      <c r="M831" s="3" t="inlineStr">
        <is>
          <t>chave 830</t>
        </is>
      </c>
    </row>
    <row r="832">
      <c r="A832" s="2" t="n">
        <v>831</v>
      </c>
      <c r="B832" s="3" t="inlineStr">
        <is>
          <t xml:space="preserve">AMAPEL DISTRIBUIDORA DE MATERIAL ESCOLAR E ESCRITORIO LTDA </t>
        </is>
      </c>
      <c r="C832" s="3" t="inlineStr">
        <is>
          <t>SUL</t>
        </is>
      </c>
      <c r="D832" s="3" t="inlineStr">
        <is>
          <t>RS</t>
        </is>
      </c>
      <c r="E832" s="3" t="inlineStr">
        <is>
          <t>CAXIAS DO SUL</t>
        </is>
      </c>
      <c r="F832" s="3" t="inlineStr">
        <is>
          <t xml:space="preserve">SAGRADA FAMILIA </t>
        </is>
      </c>
      <c r="G832" s="3" t="inlineStr">
        <is>
          <t>95054000</t>
        </is>
      </c>
      <c r="H832" s="3" t="inlineStr">
        <is>
          <t>João</t>
        </is>
      </c>
      <c r="I832" s="3" t="inlineStr">
        <is>
          <t>Forte</t>
        </is>
      </c>
      <c r="J832" s="2" t="n">
        <v>1544</v>
      </c>
      <c r="K832" s="3" t="inlineStr">
        <is>
          <t>Semana 1</t>
        </is>
      </c>
      <c r="L832" s="3" t="inlineStr">
        <is>
          <t>Média</t>
        </is>
      </c>
      <c r="M832" s="3" t="inlineStr">
        <is>
          <t>chave 831</t>
        </is>
      </c>
    </row>
    <row r="833">
      <c r="A833" s="2" t="n">
        <v>832</v>
      </c>
      <c r="B833" s="3" t="inlineStr">
        <is>
          <t xml:space="preserve">BIANCA RICACHESKI RAUBER </t>
        </is>
      </c>
      <c r="C833" s="3" t="inlineStr">
        <is>
          <t>SUL</t>
        </is>
      </c>
      <c r="D833" s="3" t="inlineStr">
        <is>
          <t>RS</t>
        </is>
      </c>
      <c r="E833" s="3" t="inlineStr">
        <is>
          <t>PORTO ALEGRE</t>
        </is>
      </c>
      <c r="F833" s="3" t="inlineStr">
        <is>
          <t xml:space="preserve">LOMBA PINHEIRO </t>
        </is>
      </c>
      <c r="G833" s="3" t="inlineStr">
        <is>
          <t>91550250</t>
        </is>
      </c>
      <c r="H833" s="3" t="inlineStr">
        <is>
          <t>João</t>
        </is>
      </c>
      <c r="I833" s="3" t="inlineStr">
        <is>
          <t>Estratégico</t>
        </is>
      </c>
      <c r="J833" s="2" t="n">
        <v>1544</v>
      </c>
      <c r="K833" s="3" t="inlineStr">
        <is>
          <t>Semana 1</t>
        </is>
      </c>
      <c r="L833" s="3" t="inlineStr">
        <is>
          <t>Alta</t>
        </is>
      </c>
      <c r="M833" s="3" t="inlineStr">
        <is>
          <t>chave 832</t>
        </is>
      </c>
    </row>
    <row r="834">
      <c r="A834" s="2" t="n">
        <v>833</v>
      </c>
      <c r="B834" s="3" t="inlineStr">
        <is>
          <t xml:space="preserve">PONTA DO LAPIS PAPELARIA LTDA </t>
        </is>
      </c>
      <c r="C834" s="3" t="inlineStr">
        <is>
          <t>SUL</t>
        </is>
      </c>
      <c r="D834" s="3" t="inlineStr">
        <is>
          <t>RS</t>
        </is>
      </c>
      <c r="E834" s="3" t="inlineStr">
        <is>
          <t>Canguçu</t>
        </is>
      </c>
      <c r="F834" s="3" t="inlineStr">
        <is>
          <t xml:space="preserve">CENTRO </t>
        </is>
      </c>
      <c r="G834" s="3" t="inlineStr">
        <is>
          <t>96600000</t>
        </is>
      </c>
      <c r="H834" s="3" t="inlineStr">
        <is>
          <t>João</t>
        </is>
      </c>
      <c r="I834" s="3" t="inlineStr">
        <is>
          <t>Pontual</t>
        </is>
      </c>
      <c r="J834" s="2" t="n">
        <v>1544</v>
      </c>
      <c r="K834" s="3" t="inlineStr">
        <is>
          <t>Semana 3</t>
        </is>
      </c>
      <c r="L834" s="3" t="inlineStr">
        <is>
          <t>Normal</t>
        </is>
      </c>
      <c r="M834" s="3" t="inlineStr">
        <is>
          <t>chave 833</t>
        </is>
      </c>
    </row>
    <row r="835">
      <c r="A835" s="2" t="n">
        <v>834</v>
      </c>
      <c r="B835" s="3" t="inlineStr">
        <is>
          <t xml:space="preserve">RIO SUL COM. MAT. ESCR.E INFORM. LTDA </t>
        </is>
      </c>
      <c r="C835" s="3" t="inlineStr">
        <is>
          <t>SUL</t>
        </is>
      </c>
      <c r="D835" s="3" t="inlineStr">
        <is>
          <t>RS</t>
        </is>
      </c>
      <c r="E835" s="3" t="inlineStr">
        <is>
          <t>PELOTAS</t>
        </is>
      </c>
      <c r="F835" s="3" t="inlineStr">
        <is>
          <t xml:space="preserve">CENTRO </t>
        </is>
      </c>
      <c r="G835" s="3" t="inlineStr">
        <is>
          <t>96020480</t>
        </is>
      </c>
      <c r="H835" s="3" t="inlineStr">
        <is>
          <t>João</t>
        </is>
      </c>
      <c r="I835" s="3" t="inlineStr">
        <is>
          <t>Pontual</t>
        </is>
      </c>
      <c r="J835" s="2" t="n">
        <v>1544</v>
      </c>
      <c r="K835" s="3" t="inlineStr">
        <is>
          <t>Semana 3</t>
        </is>
      </c>
      <c r="L835" s="3" t="inlineStr">
        <is>
          <t>Normal</t>
        </is>
      </c>
      <c r="M835" s="3" t="inlineStr">
        <is>
          <t>chave 834</t>
        </is>
      </c>
    </row>
    <row r="836">
      <c r="A836" s="2" t="n">
        <v>835</v>
      </c>
      <c r="B836" s="3" t="inlineStr">
        <is>
          <t xml:space="preserve">JR E-COMMERCE SUPRIMENTOS DE INFORMATICA E ELETRONICOS LTDA </t>
        </is>
      </c>
      <c r="C836" s="3" t="inlineStr">
        <is>
          <t>SUL</t>
        </is>
      </c>
      <c r="D836" s="3" t="inlineStr">
        <is>
          <t>RS</t>
        </is>
      </c>
      <c r="E836" s="3" t="inlineStr">
        <is>
          <t>SÃO LOURENÇO DO SUL</t>
        </is>
      </c>
      <c r="F836" s="3" t="inlineStr">
        <is>
          <t xml:space="preserve">CENTRO </t>
        </is>
      </c>
      <c r="G836" s="3" t="inlineStr">
        <is>
          <t>96170000</t>
        </is>
      </c>
      <c r="H836" s="3" t="inlineStr">
        <is>
          <t>João</t>
        </is>
      </c>
      <c r="I836" s="3" t="inlineStr">
        <is>
          <t>Pontual</t>
        </is>
      </c>
      <c r="J836" s="2" t="n">
        <v>1544</v>
      </c>
      <c r="K836" s="3" t="inlineStr">
        <is>
          <t>Semana 3</t>
        </is>
      </c>
      <c r="L836" s="3" t="inlineStr">
        <is>
          <t>Normal</t>
        </is>
      </c>
      <c r="M836" s="3" t="inlineStr">
        <is>
          <t>chave 835</t>
        </is>
      </c>
    </row>
    <row r="837">
      <c r="A837" s="2" t="n">
        <v>836</v>
      </c>
      <c r="B837" s="3" t="inlineStr">
        <is>
          <t xml:space="preserve">F F COMERCIO DE PAPELARIA LTDA </t>
        </is>
      </c>
      <c r="C837" s="3" t="inlineStr">
        <is>
          <t>SUL</t>
        </is>
      </c>
      <c r="D837" s="3" t="inlineStr">
        <is>
          <t>RS</t>
        </is>
      </c>
      <c r="E837" s="3" t="inlineStr">
        <is>
          <t>SANTIAGO</t>
        </is>
      </c>
      <c r="F837" s="3" t="inlineStr">
        <is>
          <t xml:space="preserve">CENTRO </t>
        </is>
      </c>
      <c r="G837" s="3" t="inlineStr">
        <is>
          <t>97700000</t>
        </is>
      </c>
      <c r="H837" s="3" t="inlineStr">
        <is>
          <t>João</t>
        </is>
      </c>
      <c r="I837" s="3" t="inlineStr">
        <is>
          <t>Pontual</t>
        </is>
      </c>
      <c r="J837" s="2" t="n">
        <v>1544</v>
      </c>
      <c r="K837" s="3" t="inlineStr">
        <is>
          <t>Semana 3</t>
        </is>
      </c>
      <c r="L837" s="3" t="inlineStr">
        <is>
          <t>Normal</t>
        </is>
      </c>
      <c r="M837" s="3" t="inlineStr">
        <is>
          <t>chave 836</t>
        </is>
      </c>
    </row>
    <row r="838">
      <c r="A838" s="2" t="n">
        <v>837</v>
      </c>
      <c r="B838" s="3" t="inlineStr">
        <is>
          <t xml:space="preserve">MAGGITHO COMERCIAL LTDA </t>
        </is>
      </c>
      <c r="C838" s="3" t="inlineStr">
        <is>
          <t>SUL</t>
        </is>
      </c>
      <c r="D838" s="3" t="inlineStr">
        <is>
          <t>RS</t>
        </is>
      </c>
      <c r="E838" s="3" t="inlineStr">
        <is>
          <t>SANTA CRUZ DO SUL</t>
        </is>
      </c>
      <c r="F838" s="3" t="inlineStr">
        <is>
          <t xml:space="preserve">ANA NERY </t>
        </is>
      </c>
      <c r="G838" s="3" t="inlineStr">
        <is>
          <t>96840150</t>
        </is>
      </c>
      <c r="H838" s="3" t="inlineStr">
        <is>
          <t>João</t>
        </is>
      </c>
      <c r="I838" s="3" t="inlineStr">
        <is>
          <t>Pontual</t>
        </is>
      </c>
      <c r="J838" s="2" t="n">
        <v>1544</v>
      </c>
      <c r="K838" s="3" t="inlineStr">
        <is>
          <t>Semana 3</t>
        </is>
      </c>
      <c r="L838" s="3" t="inlineStr">
        <is>
          <t>Normal</t>
        </is>
      </c>
      <c r="M838" s="3" t="inlineStr">
        <is>
          <t>chave 837</t>
        </is>
      </c>
    </row>
    <row r="839">
      <c r="A839" s="2" t="n">
        <v>838</v>
      </c>
      <c r="B839" s="3" t="inlineStr">
        <is>
          <t xml:space="preserve">JOSE ELBIO LIMA LEAO </t>
        </is>
      </c>
      <c r="C839" s="3" t="inlineStr">
        <is>
          <t>SUL</t>
        </is>
      </c>
      <c r="D839" s="3" t="inlineStr">
        <is>
          <t>RS</t>
        </is>
      </c>
      <c r="E839" s="3" t="inlineStr">
        <is>
          <t>Caçapava do Sul</t>
        </is>
      </c>
      <c r="F839" s="3" t="inlineStr">
        <is>
          <t xml:space="preserve">CENTRO </t>
        </is>
      </c>
      <c r="G839" s="3" t="inlineStr">
        <is>
          <t>96570000</t>
        </is>
      </c>
      <c r="H839" s="3" t="inlineStr">
        <is>
          <t>João</t>
        </is>
      </c>
      <c r="I839" s="3" t="inlineStr">
        <is>
          <t>Pontual</t>
        </is>
      </c>
      <c r="J839" s="2" t="n">
        <v>1544</v>
      </c>
      <c r="K839" s="3" t="inlineStr">
        <is>
          <t>Semana 3</t>
        </is>
      </c>
      <c r="L839" s="3" t="inlineStr">
        <is>
          <t>Normal</t>
        </is>
      </c>
      <c r="M839" s="3" t="inlineStr">
        <is>
          <t>chave 838</t>
        </is>
      </c>
    </row>
    <row r="840">
      <c r="A840" s="2" t="n">
        <v>839</v>
      </c>
      <c r="B840" s="3" t="inlineStr">
        <is>
          <t xml:space="preserve">GRANDO PAPELARIA LTDA </t>
        </is>
      </c>
      <c r="C840" s="3" t="inlineStr">
        <is>
          <t>SUL</t>
        </is>
      </c>
      <c r="D840" s="3" t="inlineStr">
        <is>
          <t>RS</t>
        </is>
      </c>
      <c r="E840" s="3" t="inlineStr">
        <is>
          <t>Bento Gonçalves</t>
        </is>
      </c>
      <c r="F840" s="3" t="inlineStr">
        <is>
          <t xml:space="preserve">BOTAFOGO </t>
        </is>
      </c>
      <c r="G840" s="3" t="inlineStr">
        <is>
          <t>95700586</t>
        </is>
      </c>
      <c r="H840" s="3" t="inlineStr">
        <is>
          <t>João</t>
        </is>
      </c>
      <c r="I840" s="3" t="inlineStr">
        <is>
          <t>Pontual</t>
        </is>
      </c>
      <c r="J840" s="2" t="n">
        <v>1544</v>
      </c>
      <c r="K840" s="3" t="inlineStr">
        <is>
          <t>Semana 3</t>
        </is>
      </c>
      <c r="L840" s="3" t="inlineStr">
        <is>
          <t>Normal</t>
        </is>
      </c>
      <c r="M840" s="3" t="inlineStr">
        <is>
          <t>chave 839</t>
        </is>
      </c>
    </row>
    <row r="841">
      <c r="A841" s="2" t="n">
        <v>840</v>
      </c>
      <c r="B841" s="3" t="inlineStr">
        <is>
          <t xml:space="preserve">JAINA MARA DA COSTA WICHMANN </t>
        </is>
      </c>
      <c r="C841" s="3" t="inlineStr">
        <is>
          <t>SUL</t>
        </is>
      </c>
      <c r="D841" s="3" t="inlineStr">
        <is>
          <t>RS</t>
        </is>
      </c>
      <c r="E841" s="3" t="inlineStr">
        <is>
          <t>Gravataí</t>
        </is>
      </c>
      <c r="F841" s="3" t="inlineStr">
        <is>
          <t xml:space="preserve">CENTRO </t>
        </is>
      </c>
      <c r="G841" s="3" t="inlineStr">
        <is>
          <t>94010010</t>
        </is>
      </c>
      <c r="H841" s="3" t="inlineStr">
        <is>
          <t>João</t>
        </is>
      </c>
      <c r="I841" s="3" t="inlineStr">
        <is>
          <t>Pontual</t>
        </is>
      </c>
      <c r="J841" s="2" t="n">
        <v>1544</v>
      </c>
      <c r="K841" s="3" t="inlineStr">
        <is>
          <t>Semana 3</t>
        </is>
      </c>
      <c r="L841" s="3" t="inlineStr">
        <is>
          <t>Normal</t>
        </is>
      </c>
      <c r="M841" s="3" t="inlineStr">
        <is>
          <t>chave 840</t>
        </is>
      </c>
    </row>
    <row r="842">
      <c r="A842" s="2" t="n">
        <v>841</v>
      </c>
      <c r="B842" s="3" t="inlineStr">
        <is>
          <t xml:space="preserve">DISTRIBUIDORA E REPRESENTACAO ISGA LTDA </t>
        </is>
      </c>
      <c r="C842" s="3" t="inlineStr">
        <is>
          <t>SUL</t>
        </is>
      </c>
      <c r="D842" s="3" t="inlineStr">
        <is>
          <t>RS</t>
        </is>
      </c>
      <c r="E842" s="3" t="inlineStr">
        <is>
          <t>CAXIAS DO SUL</t>
        </is>
      </c>
      <c r="F842" s="3" t="inlineStr">
        <is>
          <t xml:space="preserve">ESPLANADA </t>
        </is>
      </c>
      <c r="G842" s="3" t="inlineStr">
        <is>
          <t>95095100</t>
        </is>
      </c>
      <c r="H842" s="3" t="inlineStr">
        <is>
          <t>João</t>
        </is>
      </c>
      <c r="I842" s="3" t="inlineStr">
        <is>
          <t>Forte</t>
        </is>
      </c>
      <c r="J842" s="2" t="n">
        <v>1544</v>
      </c>
      <c r="K842" s="3" t="inlineStr">
        <is>
          <t>Semana 1</t>
        </is>
      </c>
      <c r="L842" s="3" t="inlineStr">
        <is>
          <t>Média</t>
        </is>
      </c>
      <c r="M842" s="3" t="inlineStr">
        <is>
          <t>chave 841</t>
        </is>
      </c>
    </row>
    <row r="843">
      <c r="A843" s="2" t="n">
        <v>842</v>
      </c>
      <c r="B843" s="3" t="inlineStr">
        <is>
          <t xml:space="preserve">LIVRARIA CERVO LTDA </t>
        </is>
      </c>
      <c r="C843" s="3" t="inlineStr">
        <is>
          <t>SUL</t>
        </is>
      </c>
      <c r="D843" s="3" t="inlineStr">
        <is>
          <t>RS</t>
        </is>
      </c>
      <c r="E843" s="3" t="inlineStr">
        <is>
          <t>PORTO ALEGRE</t>
        </is>
      </c>
      <c r="F843" s="3" t="inlineStr">
        <is>
          <t xml:space="preserve">JARDIM BOTANICO </t>
        </is>
      </c>
      <c r="G843" s="3" t="inlineStr">
        <is>
          <t>90670004</t>
        </is>
      </c>
      <c r="H843" s="3" t="inlineStr">
        <is>
          <t>João</t>
        </is>
      </c>
      <c r="I843" s="3" t="inlineStr">
        <is>
          <t>Estratégico</t>
        </is>
      </c>
      <c r="J843" s="2" t="n">
        <v>1544</v>
      </c>
      <c r="K843" s="3" t="inlineStr">
        <is>
          <t>Semana 1</t>
        </is>
      </c>
      <c r="L843" s="3" t="inlineStr">
        <is>
          <t>Alta</t>
        </is>
      </c>
      <c r="M843" s="3" t="inlineStr">
        <is>
          <t>chave 842</t>
        </is>
      </c>
    </row>
    <row r="844">
      <c r="A844" s="2" t="n">
        <v>843</v>
      </c>
      <c r="B844" s="3" t="inlineStr">
        <is>
          <t xml:space="preserve">M F MACHADO SOARES </t>
        </is>
      </c>
      <c r="C844" s="3" t="inlineStr">
        <is>
          <t>SUL</t>
        </is>
      </c>
      <c r="D844" s="3" t="inlineStr">
        <is>
          <t>RS</t>
        </is>
      </c>
      <c r="E844" s="3" t="inlineStr">
        <is>
          <t>PORTO ALEGRE</t>
        </is>
      </c>
      <c r="F844" s="3" t="inlineStr">
        <is>
          <t xml:space="preserve">TERESOPOLIS </t>
        </is>
      </c>
      <c r="G844" s="3" t="inlineStr">
        <is>
          <t>90870010</t>
        </is>
      </c>
      <c r="H844" s="3" t="inlineStr">
        <is>
          <t>João</t>
        </is>
      </c>
      <c r="I844" s="3" t="inlineStr">
        <is>
          <t>Estratégico</t>
        </is>
      </c>
      <c r="J844" s="2" t="n">
        <v>1544</v>
      </c>
      <c r="K844" s="3" t="inlineStr">
        <is>
          <t>Semana 1</t>
        </is>
      </c>
      <c r="L844" s="3" t="inlineStr">
        <is>
          <t>Alta</t>
        </is>
      </c>
      <c r="M844" s="3" t="inlineStr">
        <is>
          <t>chave 843</t>
        </is>
      </c>
    </row>
    <row r="845">
      <c r="A845" s="2" t="n">
        <v>844</v>
      </c>
      <c r="B845" s="3" t="inlineStr">
        <is>
          <t xml:space="preserve">PRB PAPELARIA RIO BRANCO LTDA </t>
        </is>
      </c>
      <c r="C845" s="3" t="inlineStr">
        <is>
          <t>SUL</t>
        </is>
      </c>
      <c r="D845" s="3" t="inlineStr">
        <is>
          <t>RS</t>
        </is>
      </c>
      <c r="E845" s="3" t="inlineStr">
        <is>
          <t>CARAZINHO</t>
        </is>
      </c>
      <c r="F845" s="3" t="inlineStr">
        <is>
          <t xml:space="preserve">CENTRO </t>
        </is>
      </c>
      <c r="G845" s="3" t="inlineStr">
        <is>
          <t>99500000</t>
        </is>
      </c>
      <c r="H845" s="3" t="inlineStr">
        <is>
          <t>João</t>
        </is>
      </c>
      <c r="I845" s="3" t="inlineStr">
        <is>
          <t>Pontual</t>
        </is>
      </c>
      <c r="J845" s="2" t="n">
        <v>1544</v>
      </c>
      <c r="K845" s="3" t="inlineStr">
        <is>
          <t>Semana 3</t>
        </is>
      </c>
      <c r="L845" s="3" t="inlineStr">
        <is>
          <t>Normal</t>
        </is>
      </c>
      <c r="M845" s="3" t="inlineStr">
        <is>
          <t>chave 844</t>
        </is>
      </c>
    </row>
    <row r="846">
      <c r="A846" s="2" t="n">
        <v>845</v>
      </c>
      <c r="B846" s="3" t="inlineStr">
        <is>
          <t xml:space="preserve">RUVIL COMERCIO DE MATERIAL DE ESCRITORIO LTDA </t>
        </is>
      </c>
      <c r="C846" s="3" t="inlineStr">
        <is>
          <t>SUL</t>
        </is>
      </c>
      <c r="D846" s="3" t="inlineStr">
        <is>
          <t>RS</t>
        </is>
      </c>
      <c r="E846" s="3" t="inlineStr">
        <is>
          <t>CAXIAS DO SUL</t>
        </is>
      </c>
      <c r="F846" s="3" t="inlineStr">
        <is>
          <t xml:space="preserve">CENTRO </t>
        </is>
      </c>
      <c r="G846" s="3" t="inlineStr">
        <is>
          <t>95020472</t>
        </is>
      </c>
      <c r="H846" s="3" t="inlineStr">
        <is>
          <t>João</t>
        </is>
      </c>
      <c r="I846" s="3" t="inlineStr">
        <is>
          <t>Forte</t>
        </is>
      </c>
      <c r="J846" s="2" t="n">
        <v>1544</v>
      </c>
      <c r="K846" s="3" t="inlineStr">
        <is>
          <t>Semana 2</t>
        </is>
      </c>
      <c r="L846" s="3" t="inlineStr">
        <is>
          <t>Média</t>
        </is>
      </c>
      <c r="M846" s="3" t="inlineStr">
        <is>
          <t>chave 845</t>
        </is>
      </c>
    </row>
    <row r="847">
      <c r="A847" s="2" t="n">
        <v>846</v>
      </c>
      <c r="B847" s="3" t="inlineStr">
        <is>
          <t xml:space="preserve">PAPIRO COMERCIO DE PAPEIS LTDA </t>
        </is>
      </c>
      <c r="C847" s="3" t="inlineStr">
        <is>
          <t>SUL</t>
        </is>
      </c>
      <c r="D847" s="3" t="inlineStr">
        <is>
          <t>RS</t>
        </is>
      </c>
      <c r="E847" s="3" t="inlineStr">
        <is>
          <t>VILA MARIA</t>
        </is>
      </c>
      <c r="F847" s="3" t="inlineStr">
        <is>
          <t xml:space="preserve">LOT BENTO </t>
        </is>
      </c>
      <c r="G847" s="3" t="inlineStr">
        <is>
          <t>99155000</t>
        </is>
      </c>
      <c r="H847" s="3" t="inlineStr">
        <is>
          <t>João</t>
        </is>
      </c>
      <c r="I847" s="3" t="inlineStr">
        <is>
          <t>Pontual</t>
        </is>
      </c>
      <c r="J847" s="2" t="n">
        <v>1544</v>
      </c>
      <c r="K847" s="3" t="inlineStr">
        <is>
          <t>Semana 4</t>
        </is>
      </c>
      <c r="L847" s="3" t="inlineStr">
        <is>
          <t>Normal</t>
        </is>
      </c>
      <c r="M847" s="3" t="inlineStr">
        <is>
          <t>chave 846</t>
        </is>
      </c>
    </row>
    <row r="848">
      <c r="A848" s="2" t="n">
        <v>847</v>
      </c>
      <c r="B848" s="3" t="inlineStr">
        <is>
          <t xml:space="preserve">FECOMAX COMERCIO DE PAPEIS LTDA </t>
        </is>
      </c>
      <c r="C848" s="3" t="inlineStr">
        <is>
          <t>SUL</t>
        </is>
      </c>
      <c r="D848" s="3" t="inlineStr">
        <is>
          <t>RS</t>
        </is>
      </c>
      <c r="E848" s="3" t="inlineStr">
        <is>
          <t>Panambi</t>
        </is>
      </c>
      <c r="F848" s="3" t="inlineStr">
        <is>
          <t xml:space="preserve">CENTRO </t>
        </is>
      </c>
      <c r="G848" s="3" t="inlineStr">
        <is>
          <t>98280000</t>
        </is>
      </c>
      <c r="H848" s="3" t="inlineStr">
        <is>
          <t>João</t>
        </is>
      </c>
      <c r="I848" s="3" t="inlineStr">
        <is>
          <t>Pontual</t>
        </is>
      </c>
      <c r="J848" s="2" t="n">
        <v>1544</v>
      </c>
      <c r="K848" s="3" t="inlineStr">
        <is>
          <t>Semana 3</t>
        </is>
      </c>
      <c r="L848" s="3" t="inlineStr">
        <is>
          <t>Normal</t>
        </is>
      </c>
      <c r="M848" s="3" t="inlineStr">
        <is>
          <t>chave 847</t>
        </is>
      </c>
    </row>
    <row r="849">
      <c r="A849" s="2" t="n">
        <v>848</v>
      </c>
      <c r="B849" s="3" t="inlineStr">
        <is>
          <t xml:space="preserve">MACROCENTER MULTI COMERCIO E SERVICOS LTDA </t>
        </is>
      </c>
      <c r="C849" s="3" t="inlineStr">
        <is>
          <t>SUL</t>
        </is>
      </c>
      <c r="D849" s="3" t="inlineStr">
        <is>
          <t>RS</t>
        </is>
      </c>
      <c r="E849" s="3" t="inlineStr">
        <is>
          <t>CANOAS</t>
        </is>
      </c>
      <c r="F849" s="3" t="inlineStr">
        <is>
          <t xml:space="preserve">ESTANCIA VELHA </t>
        </is>
      </c>
      <c r="G849" s="3" t="inlineStr">
        <is>
          <t>92030080</t>
        </is>
      </c>
      <c r="H849" s="3" t="inlineStr">
        <is>
          <t>João</t>
        </is>
      </c>
      <c r="I849" s="3" t="inlineStr">
        <is>
          <t>Pontual</t>
        </is>
      </c>
      <c r="J849" s="2" t="n">
        <v>1544</v>
      </c>
      <c r="K849" s="3" t="inlineStr">
        <is>
          <t>Semana 3</t>
        </is>
      </c>
      <c r="L849" s="3" t="inlineStr">
        <is>
          <t>Normal</t>
        </is>
      </c>
      <c r="M849" s="3" t="inlineStr">
        <is>
          <t>chave 848</t>
        </is>
      </c>
    </row>
    <row r="850">
      <c r="A850" s="2" t="n">
        <v>849</v>
      </c>
      <c r="B850" s="3" t="inlineStr">
        <is>
          <t xml:space="preserve">CONESUL MATERIAIS DE ESCRITORIO LTDA </t>
        </is>
      </c>
      <c r="C850" s="3" t="inlineStr">
        <is>
          <t>SUL</t>
        </is>
      </c>
      <c r="D850" s="3" t="inlineStr">
        <is>
          <t>RS</t>
        </is>
      </c>
      <c r="E850" s="3" t="inlineStr">
        <is>
          <t>NOVO HAMBURGO</t>
        </is>
      </c>
      <c r="F850" s="3" t="inlineStr">
        <is>
          <t xml:space="preserve">IDEAL </t>
        </is>
      </c>
      <c r="G850" s="3" t="inlineStr">
        <is>
          <t>93336190</t>
        </is>
      </c>
      <c r="H850" s="3" t="inlineStr">
        <is>
          <t>João</t>
        </is>
      </c>
      <c r="I850" s="3" t="inlineStr">
        <is>
          <t>Pontual</t>
        </is>
      </c>
      <c r="J850" s="2" t="n">
        <v>1544</v>
      </c>
      <c r="K850" s="3" t="inlineStr">
        <is>
          <t>Semana 3</t>
        </is>
      </c>
      <c r="L850" s="3" t="inlineStr">
        <is>
          <t>Normal</t>
        </is>
      </c>
      <c r="M850" s="3" t="inlineStr">
        <is>
          <t>chave 849</t>
        </is>
      </c>
    </row>
    <row r="851">
      <c r="A851" s="2" t="n">
        <v>850</v>
      </c>
      <c r="B851" s="3" t="inlineStr">
        <is>
          <t xml:space="preserve">FABIANA T. GAVIOLI </t>
        </is>
      </c>
      <c r="C851" s="3" t="inlineStr">
        <is>
          <t>SUL</t>
        </is>
      </c>
      <c r="D851" s="3" t="inlineStr">
        <is>
          <t>RS</t>
        </is>
      </c>
      <c r="E851" s="3" t="inlineStr">
        <is>
          <t>SANTIAGO</t>
        </is>
      </c>
      <c r="F851" s="3" t="inlineStr">
        <is>
          <t xml:space="preserve">CENTRO </t>
        </is>
      </c>
      <c r="G851" s="3" t="inlineStr">
        <is>
          <t>97700060</t>
        </is>
      </c>
      <c r="H851" s="3" t="inlineStr">
        <is>
          <t>João</t>
        </is>
      </c>
      <c r="I851" s="3" t="inlineStr">
        <is>
          <t>Pontual</t>
        </is>
      </c>
      <c r="J851" s="2" t="n">
        <v>1544</v>
      </c>
      <c r="K851" s="3" t="inlineStr">
        <is>
          <t>Semana 3</t>
        </is>
      </c>
      <c r="L851" s="3" t="inlineStr">
        <is>
          <t>Normal</t>
        </is>
      </c>
      <c r="M851" s="3" t="inlineStr">
        <is>
          <t>chave 850</t>
        </is>
      </c>
    </row>
    <row r="852">
      <c r="A852" s="2" t="n">
        <v>851</v>
      </c>
      <c r="B852" s="3" t="inlineStr">
        <is>
          <t xml:space="preserve">WESSEL MATERIAIS PARA ESCRITORIO LTDA </t>
        </is>
      </c>
      <c r="C852" s="3" t="inlineStr">
        <is>
          <t>SUL</t>
        </is>
      </c>
      <c r="D852" s="3" t="inlineStr">
        <is>
          <t>RS</t>
        </is>
      </c>
      <c r="E852" s="3" t="inlineStr">
        <is>
          <t>Teutônia</t>
        </is>
      </c>
      <c r="F852" s="3" t="inlineStr">
        <is>
          <t xml:space="preserve">LANGUIRU </t>
        </is>
      </c>
      <c r="G852" s="3" t="inlineStr">
        <is>
          <t>95890000</t>
        </is>
      </c>
      <c r="H852" s="3" t="inlineStr">
        <is>
          <t>João</t>
        </is>
      </c>
      <c r="I852" s="3" t="inlineStr">
        <is>
          <t>Pontual</t>
        </is>
      </c>
      <c r="J852" s="2" t="n">
        <v>1544</v>
      </c>
      <c r="K852" s="3" t="inlineStr">
        <is>
          <t>Semana 3</t>
        </is>
      </c>
      <c r="L852" s="3" t="inlineStr">
        <is>
          <t>Normal</t>
        </is>
      </c>
      <c r="M852" s="3" t="inlineStr">
        <is>
          <t>chave 851</t>
        </is>
      </c>
    </row>
    <row r="853">
      <c r="A853" s="2" t="n">
        <v>852</v>
      </c>
      <c r="B853" s="3" t="inlineStr">
        <is>
          <t xml:space="preserve">COMERCIAL ESTRELATTO LTDA </t>
        </is>
      </c>
      <c r="C853" s="3" t="inlineStr">
        <is>
          <t>SUL</t>
        </is>
      </c>
      <c r="D853" s="3" t="inlineStr">
        <is>
          <t>RS</t>
        </is>
      </c>
      <c r="E853" s="3" t="inlineStr">
        <is>
          <t>GRAMADO</t>
        </is>
      </c>
      <c r="F853" s="3" t="inlineStr">
        <is>
          <t xml:space="preserve">AVENIDA CENTRAL </t>
        </is>
      </c>
      <c r="G853" s="3" t="inlineStr">
        <is>
          <t>95670000</t>
        </is>
      </c>
      <c r="H853" s="3" t="inlineStr">
        <is>
          <t>João</t>
        </is>
      </c>
      <c r="I853" s="3" t="inlineStr">
        <is>
          <t>Pontual</t>
        </is>
      </c>
      <c r="J853" s="2" t="n">
        <v>1544</v>
      </c>
      <c r="K853" s="3" t="inlineStr">
        <is>
          <t>Semana 3</t>
        </is>
      </c>
      <c r="L853" s="3" t="inlineStr">
        <is>
          <t>Normal</t>
        </is>
      </c>
      <c r="M853" s="3" t="inlineStr">
        <is>
          <t>chave 852</t>
        </is>
      </c>
    </row>
    <row r="854">
      <c r="A854" s="2" t="n">
        <v>853</v>
      </c>
      <c r="B854" s="3" t="inlineStr">
        <is>
          <t xml:space="preserve">MIG PLUS AGROINDUSTRIAL LTDA </t>
        </is>
      </c>
      <c r="C854" s="3" t="inlineStr">
        <is>
          <t>SUL</t>
        </is>
      </c>
      <c r="D854" s="3" t="inlineStr">
        <is>
          <t>RS</t>
        </is>
      </c>
      <c r="E854" s="3" t="inlineStr">
        <is>
          <t>CASCA</t>
        </is>
      </c>
      <c r="F854" s="3" t="inlineStr">
        <is>
          <t xml:space="preserve">DIST INDUSTRIAL </t>
        </is>
      </c>
      <c r="G854" s="3" t="inlineStr">
        <is>
          <t>99260000</t>
        </is>
      </c>
      <c r="H854" s="3" t="inlineStr">
        <is>
          <t>João</t>
        </is>
      </c>
      <c r="I854" s="3" t="inlineStr">
        <is>
          <t>Pontual</t>
        </is>
      </c>
      <c r="J854" s="2" t="n">
        <v>1544</v>
      </c>
      <c r="K854" s="3" t="inlineStr">
        <is>
          <t>Semana 3</t>
        </is>
      </c>
      <c r="L854" s="3" t="inlineStr">
        <is>
          <t>Normal</t>
        </is>
      </c>
      <c r="M854" s="3" t="inlineStr">
        <is>
          <t>chave 853</t>
        </is>
      </c>
    </row>
    <row r="855">
      <c r="A855" s="2" t="n">
        <v>854</v>
      </c>
      <c r="B855" s="3" t="inlineStr">
        <is>
          <t xml:space="preserve">SUPERVIZA SUPERMERCADOS LTDA </t>
        </is>
      </c>
      <c r="C855" s="3" t="inlineStr">
        <is>
          <t>SUL</t>
        </is>
      </c>
      <c r="D855" s="3" t="inlineStr">
        <is>
          <t>SC</t>
        </is>
      </c>
      <c r="E855" s="3" t="inlineStr">
        <is>
          <t>FRAIBURGO</t>
        </is>
      </c>
      <c r="F855" s="3" t="inlineStr">
        <is>
          <t xml:space="preserve">CENTRO </t>
        </is>
      </c>
      <c r="G855" s="3" t="inlineStr">
        <is>
          <t>89580000</t>
        </is>
      </c>
      <c r="H855" s="3" t="inlineStr">
        <is>
          <t>João</t>
        </is>
      </c>
      <c r="I855" s="3" t="inlineStr">
        <is>
          <t>Pontual</t>
        </is>
      </c>
      <c r="J855" s="2" t="n">
        <v>1168</v>
      </c>
      <c r="K855" s="3" t="inlineStr">
        <is>
          <t>Semana 4</t>
        </is>
      </c>
      <c r="L855" s="3" t="inlineStr">
        <is>
          <t>Normal</t>
        </is>
      </c>
      <c r="M855" s="3" t="inlineStr">
        <is>
          <t>chave 854</t>
        </is>
      </c>
    </row>
    <row r="856">
      <c r="A856" s="2" t="n">
        <v>855</v>
      </c>
      <c r="B856" s="3" t="inlineStr">
        <is>
          <t xml:space="preserve">PAPELMAIS DISTRIBUIDORA LTDA </t>
        </is>
      </c>
      <c r="C856" s="3" t="inlineStr">
        <is>
          <t>SUL</t>
        </is>
      </c>
      <c r="D856" s="3" t="inlineStr">
        <is>
          <t>SC</t>
        </is>
      </c>
      <c r="E856" s="3" t="inlineStr">
        <is>
          <t>Chapecó</t>
        </is>
      </c>
      <c r="F856" s="3" t="inlineStr">
        <is>
          <t xml:space="preserve">ENGENHO BRAUN </t>
        </is>
      </c>
      <c r="G856" s="3" t="inlineStr">
        <is>
          <t>89809380</t>
        </is>
      </c>
      <c r="H856" s="3" t="inlineStr">
        <is>
          <t>João</t>
        </is>
      </c>
      <c r="I856" s="3" t="inlineStr">
        <is>
          <t>Pontual</t>
        </is>
      </c>
      <c r="J856" s="2" t="n">
        <v>1168</v>
      </c>
      <c r="K856" s="3" t="inlineStr">
        <is>
          <t>Semana 4</t>
        </is>
      </c>
      <c r="L856" s="3" t="inlineStr">
        <is>
          <t>Normal</t>
        </is>
      </c>
      <c r="M856" s="3" t="inlineStr">
        <is>
          <t>chave 855</t>
        </is>
      </c>
    </row>
    <row r="857">
      <c r="A857" s="2" t="n">
        <v>856</v>
      </c>
      <c r="B857" s="3" t="inlineStr">
        <is>
          <t xml:space="preserve">TOTALFLEXO INDUSTRIA E COMERCIO DE SOLUCOES PARA IMPRESSAO LTDA </t>
        </is>
      </c>
      <c r="C857" s="3" t="inlineStr">
        <is>
          <t>SUL</t>
        </is>
      </c>
      <c r="D857" s="3" t="inlineStr">
        <is>
          <t>SC</t>
        </is>
      </c>
      <c r="E857" s="3" t="inlineStr">
        <is>
          <t>Cocal do Sul</t>
        </is>
      </c>
      <c r="F857" s="3" t="inlineStr">
        <is>
          <t xml:space="preserve">AREA INDUSTRIAL </t>
        </is>
      </c>
      <c r="G857" s="3" t="inlineStr">
        <is>
          <t>88845000</t>
        </is>
      </c>
      <c r="H857" s="3" t="inlineStr">
        <is>
          <t>João</t>
        </is>
      </c>
      <c r="I857" s="3" t="inlineStr">
        <is>
          <t>Pontual</t>
        </is>
      </c>
      <c r="J857" s="2" t="n">
        <v>1168</v>
      </c>
      <c r="K857" s="3" t="inlineStr">
        <is>
          <t>Semana 4</t>
        </is>
      </c>
      <c r="L857" s="3" t="inlineStr">
        <is>
          <t>Normal</t>
        </is>
      </c>
      <c r="M857" s="3" t="inlineStr">
        <is>
          <t>chave 856</t>
        </is>
      </c>
    </row>
    <row r="858">
      <c r="A858" s="2" t="n">
        <v>857</v>
      </c>
      <c r="B858" s="3" t="inlineStr">
        <is>
          <t xml:space="preserve">ANDERSON SCHOENAU CARDOSO &amp; CIA LTDA </t>
        </is>
      </c>
      <c r="C858" s="3" t="inlineStr">
        <is>
          <t>SUL</t>
        </is>
      </c>
      <c r="D858" s="3" t="inlineStr">
        <is>
          <t>SC</t>
        </is>
      </c>
      <c r="E858" s="3" t="inlineStr">
        <is>
          <t>Itajaí</t>
        </is>
      </c>
      <c r="F858" s="3" t="inlineStr">
        <is>
          <t xml:space="preserve">SAO VICENTE </t>
        </is>
      </c>
      <c r="G858" s="3" t="inlineStr">
        <is>
          <t>88309260</t>
        </is>
      </c>
      <c r="H858" s="3" t="inlineStr">
        <is>
          <t>João</t>
        </is>
      </c>
      <c r="I858" s="3" t="inlineStr">
        <is>
          <t>Pontual</t>
        </is>
      </c>
      <c r="J858" s="2" t="n">
        <v>1168</v>
      </c>
      <c r="K858" s="3" t="inlineStr">
        <is>
          <t>Semana 4</t>
        </is>
      </c>
      <c r="L858" s="3" t="inlineStr">
        <is>
          <t>Normal</t>
        </is>
      </c>
      <c r="M858" s="3" t="inlineStr">
        <is>
          <t>chave 857</t>
        </is>
      </c>
    </row>
    <row r="859">
      <c r="A859" s="2" t="n">
        <v>858</v>
      </c>
      <c r="B859" s="3" t="inlineStr">
        <is>
          <t xml:space="preserve">VENCEDOR ATACADISTA LTDA </t>
        </is>
      </c>
      <c r="C859" s="3" t="inlineStr">
        <is>
          <t>SUL</t>
        </is>
      </c>
      <c r="D859" s="3" t="inlineStr">
        <is>
          <t>SC</t>
        </is>
      </c>
      <c r="E859" s="3" t="inlineStr">
        <is>
          <t>Braço do Norte</t>
        </is>
      </c>
      <c r="F859" s="3" t="inlineStr">
        <is>
          <t xml:space="preserve">RIO BONITO </t>
        </is>
      </c>
      <c r="G859" s="3" t="inlineStr">
        <is>
          <t>88750000</t>
        </is>
      </c>
      <c r="H859" s="3" t="inlineStr">
        <is>
          <t>João</t>
        </is>
      </c>
      <c r="I859" s="3" t="inlineStr">
        <is>
          <t>Pontual</t>
        </is>
      </c>
      <c r="J859" s="2" t="n">
        <v>1168</v>
      </c>
      <c r="K859" s="3" t="inlineStr">
        <is>
          <t>Semana 4</t>
        </is>
      </c>
      <c r="L859" s="3" t="inlineStr">
        <is>
          <t>Normal</t>
        </is>
      </c>
      <c r="M859" s="3" t="inlineStr">
        <is>
          <t>chave 858</t>
        </is>
      </c>
    </row>
    <row r="860">
      <c r="A860" s="2" t="n">
        <v>859</v>
      </c>
      <c r="B860" s="3" t="inlineStr">
        <is>
          <t xml:space="preserve">TOP NACIONAIS E IMPORTADOS LTDA </t>
        </is>
      </c>
      <c r="C860" s="3" t="inlineStr">
        <is>
          <t>SUL</t>
        </is>
      </c>
      <c r="D860" s="3" t="inlineStr">
        <is>
          <t>SC</t>
        </is>
      </c>
      <c r="E860" s="3" t="inlineStr">
        <is>
          <t>TUBARÃO</t>
        </is>
      </c>
      <c r="F860" s="3" t="inlineStr">
        <is>
          <t xml:space="preserve">REVOREDO </t>
        </is>
      </c>
      <c r="G860" s="3" t="inlineStr">
        <is>
          <t>88704730</t>
        </is>
      </c>
      <c r="H860" s="3" t="inlineStr">
        <is>
          <t>João</t>
        </is>
      </c>
      <c r="I860" s="3" t="inlineStr">
        <is>
          <t>Pontual</t>
        </is>
      </c>
      <c r="J860" s="2" t="n">
        <v>1168</v>
      </c>
      <c r="K860" s="3" t="inlineStr">
        <is>
          <t>Semana 4</t>
        </is>
      </c>
      <c r="L860" s="3" t="inlineStr">
        <is>
          <t>Normal</t>
        </is>
      </c>
      <c r="M860" s="3" t="inlineStr">
        <is>
          <t>chave 859</t>
        </is>
      </c>
    </row>
    <row r="861">
      <c r="A861" s="2" t="n">
        <v>860</v>
      </c>
      <c r="B861" s="3" t="inlineStr">
        <is>
          <t xml:space="preserve">DISTRIOESTE DISTRIBUIDORA LTDA </t>
        </is>
      </c>
      <c r="C861" s="3" t="inlineStr">
        <is>
          <t>SUL</t>
        </is>
      </c>
      <c r="D861" s="3" t="inlineStr">
        <is>
          <t>SC</t>
        </is>
      </c>
      <c r="E861" s="3" t="inlineStr">
        <is>
          <t>Chapecó</t>
        </is>
      </c>
      <c r="F861" s="3" t="inlineStr">
        <is>
          <t xml:space="preserve">LIDER </t>
        </is>
      </c>
      <c r="G861" s="3" t="inlineStr">
        <is>
          <t>89805103</t>
        </is>
      </c>
      <c r="H861" s="3" t="inlineStr">
        <is>
          <t>João</t>
        </is>
      </c>
      <c r="I861" s="3" t="inlineStr">
        <is>
          <t>Pontual</t>
        </is>
      </c>
      <c r="J861" s="2" t="n">
        <v>1168</v>
      </c>
      <c r="K861" s="3" t="inlineStr">
        <is>
          <t>Semana 4</t>
        </is>
      </c>
      <c r="L861" s="3" t="inlineStr">
        <is>
          <t>Normal</t>
        </is>
      </c>
      <c r="M861" s="3" t="inlineStr">
        <is>
          <t>chave 860</t>
        </is>
      </c>
    </row>
    <row r="862">
      <c r="A862" s="2" t="n">
        <v>861</v>
      </c>
      <c r="B862" s="3" t="inlineStr">
        <is>
          <t xml:space="preserve">ONFINITY COMERCIAL LTDA </t>
        </is>
      </c>
      <c r="C862" s="3" t="inlineStr">
        <is>
          <t>SUL</t>
        </is>
      </c>
      <c r="D862" s="3" t="inlineStr">
        <is>
          <t>SC</t>
        </is>
      </c>
      <c r="E862" s="3" t="inlineStr">
        <is>
          <t>Chapecó</t>
        </is>
      </c>
      <c r="F862" s="3" t="inlineStr">
        <is>
          <t xml:space="preserve">CRISTO REI </t>
        </is>
      </c>
      <c r="G862" s="3" t="inlineStr">
        <is>
          <t>89810060</t>
        </is>
      </c>
      <c r="H862" s="3" t="inlineStr">
        <is>
          <t>João</t>
        </is>
      </c>
      <c r="I862" s="3" t="inlineStr">
        <is>
          <t>Pontual</t>
        </is>
      </c>
      <c r="J862" s="2" t="n">
        <v>1168</v>
      </c>
      <c r="K862" s="3" t="inlineStr">
        <is>
          <t>Semana 4</t>
        </is>
      </c>
      <c r="L862" s="3" t="inlineStr">
        <is>
          <t>Normal</t>
        </is>
      </c>
      <c r="M862" s="3" t="inlineStr">
        <is>
          <t>chave 861</t>
        </is>
      </c>
    </row>
    <row r="863">
      <c r="A863" s="2" t="n">
        <v>862</v>
      </c>
      <c r="B863" s="3" t="inlineStr">
        <is>
          <t xml:space="preserve">FERNANDES &amp; SOUZA LTDA </t>
        </is>
      </c>
      <c r="C863" s="3" t="inlineStr">
        <is>
          <t>SUL</t>
        </is>
      </c>
      <c r="D863" s="3" t="inlineStr">
        <is>
          <t>SC</t>
        </is>
      </c>
      <c r="E863" s="3" t="inlineStr">
        <is>
          <t>São José</t>
        </is>
      </c>
      <c r="F863" s="3" t="inlineStr">
        <is>
          <t xml:space="preserve">PONTA DE BAIXO </t>
        </is>
      </c>
      <c r="G863" s="3" t="inlineStr">
        <is>
          <t>88104000</t>
        </is>
      </c>
      <c r="H863" s="3" t="inlineStr">
        <is>
          <t>João</t>
        </is>
      </c>
      <c r="I863" s="3" t="inlineStr">
        <is>
          <t>Pontual</t>
        </is>
      </c>
      <c r="J863" s="2" t="n">
        <v>1168</v>
      </c>
      <c r="K863" s="3" t="inlineStr">
        <is>
          <t>Semana 4</t>
        </is>
      </c>
      <c r="L863" s="3" t="inlineStr">
        <is>
          <t>Normal</t>
        </is>
      </c>
      <c r="M863" s="3" t="inlineStr">
        <is>
          <t>chave 862</t>
        </is>
      </c>
    </row>
    <row r="864">
      <c r="A864" s="2" t="n">
        <v>863</v>
      </c>
      <c r="B864" s="3" t="inlineStr">
        <is>
          <t xml:space="preserve">LM COMERCIO E DISTRIBUIDORA DE UTILIDADES LTDA </t>
        </is>
      </c>
      <c r="C864" s="3" t="inlineStr">
        <is>
          <t>SUL</t>
        </is>
      </c>
      <c r="D864" s="3" t="inlineStr">
        <is>
          <t>SC</t>
        </is>
      </c>
      <c r="E864" s="3" t="inlineStr">
        <is>
          <t>Joaçaba</t>
        </is>
      </c>
      <c r="F864" s="3" t="inlineStr">
        <is>
          <t xml:space="preserve">CENTRO </t>
        </is>
      </c>
      <c r="G864" s="3" t="inlineStr">
        <is>
          <t>89600000</t>
        </is>
      </c>
      <c r="H864" s="3" t="inlineStr">
        <is>
          <t>João</t>
        </is>
      </c>
      <c r="I864" s="3" t="inlineStr">
        <is>
          <t>Pontual</t>
        </is>
      </c>
      <c r="J864" s="2" t="n">
        <v>1168</v>
      </c>
      <c r="K864" s="3" t="inlineStr">
        <is>
          <t>Semana 4</t>
        </is>
      </c>
      <c r="L864" s="3" t="inlineStr">
        <is>
          <t>Normal</t>
        </is>
      </c>
      <c r="M864" s="3" t="inlineStr">
        <is>
          <t>chave 863</t>
        </is>
      </c>
    </row>
    <row r="865">
      <c r="A865" s="2" t="n">
        <v>864</v>
      </c>
      <c r="B865" s="3" t="inlineStr">
        <is>
          <t xml:space="preserve">GUNTHER COMERCIO DE TECIDOS LTDA </t>
        </is>
      </c>
      <c r="C865" s="3" t="inlineStr">
        <is>
          <t>SUL</t>
        </is>
      </c>
      <c r="D865" s="3" t="inlineStr">
        <is>
          <t>SC</t>
        </is>
      </c>
      <c r="E865" s="3" t="inlineStr">
        <is>
          <t>JOINVILLE</t>
        </is>
      </c>
      <c r="F865" s="3" t="inlineStr">
        <is>
          <t xml:space="preserve">SANTO ANTONIO </t>
        </is>
      </c>
      <c r="G865" s="3" t="inlineStr">
        <is>
          <t>89218055</t>
        </is>
      </c>
      <c r="H865" s="3" t="inlineStr">
        <is>
          <t>João</t>
        </is>
      </c>
      <c r="I865" s="3" t="inlineStr">
        <is>
          <t>Forte</t>
        </is>
      </c>
      <c r="J865" s="2" t="n">
        <v>1168</v>
      </c>
      <c r="K865" s="3" t="inlineStr">
        <is>
          <t>Semana 2</t>
        </is>
      </c>
      <c r="L865" s="3" t="inlineStr">
        <is>
          <t>Média</t>
        </is>
      </c>
      <c r="M865" s="3" t="inlineStr">
        <is>
          <t>chave 864</t>
        </is>
      </c>
    </row>
    <row r="866">
      <c r="A866" s="2" t="n">
        <v>865</v>
      </c>
      <c r="B866" s="3" t="inlineStr">
        <is>
          <t xml:space="preserve">BORBA &amp; ZANOTTI PRESENTES LTDA </t>
        </is>
      </c>
      <c r="C866" s="3" t="inlineStr">
        <is>
          <t>SUL</t>
        </is>
      </c>
      <c r="D866" s="3" t="inlineStr">
        <is>
          <t>SC</t>
        </is>
      </c>
      <c r="E866" s="3" t="inlineStr">
        <is>
          <t>BARRA VELHA</t>
        </is>
      </c>
      <c r="F866" s="3" t="inlineStr">
        <is>
          <t xml:space="preserve">CENTRO </t>
        </is>
      </c>
      <c r="G866" s="3" t="inlineStr">
        <is>
          <t>88390000</t>
        </is>
      </c>
      <c r="H866" s="3" t="inlineStr">
        <is>
          <t>João</t>
        </is>
      </c>
      <c r="I866" s="3" t="inlineStr">
        <is>
          <t>Pontual</t>
        </is>
      </c>
      <c r="J866" s="2" t="n">
        <v>1168</v>
      </c>
      <c r="K866" s="3" t="inlineStr">
        <is>
          <t>Semana 4</t>
        </is>
      </c>
      <c r="L866" s="3" t="inlineStr">
        <is>
          <t>Normal</t>
        </is>
      </c>
      <c r="M866" s="3" t="inlineStr">
        <is>
          <t>chave 865</t>
        </is>
      </c>
    </row>
    <row r="867">
      <c r="A867" s="2" t="n">
        <v>866</v>
      </c>
      <c r="B867" s="3" t="inlineStr">
        <is>
          <t xml:space="preserve">AQUINPEL DISTRIBUIDORA LTDA </t>
        </is>
      </c>
      <c r="C867" s="3" t="inlineStr">
        <is>
          <t>SUL</t>
        </is>
      </c>
      <c r="D867" s="3" t="inlineStr">
        <is>
          <t>SC</t>
        </is>
      </c>
      <c r="E867" s="3" t="inlineStr">
        <is>
          <t>São José</t>
        </is>
      </c>
      <c r="F867" s="3" t="inlineStr">
        <is>
          <t xml:space="preserve">CAMPINAS </t>
        </is>
      </c>
      <c r="G867" s="3" t="inlineStr">
        <is>
          <t>88117110</t>
        </is>
      </c>
      <c r="H867" s="3" t="inlineStr">
        <is>
          <t>João</t>
        </is>
      </c>
      <c r="I867" s="3" t="inlineStr">
        <is>
          <t>Pontual</t>
        </is>
      </c>
      <c r="J867" s="2" t="n">
        <v>1168</v>
      </c>
      <c r="K867" s="3" t="inlineStr">
        <is>
          <t>Semana 4</t>
        </is>
      </c>
      <c r="L867" s="3" t="inlineStr">
        <is>
          <t>Normal</t>
        </is>
      </c>
      <c r="M867" s="3" t="inlineStr">
        <is>
          <t>chave 866</t>
        </is>
      </c>
    </row>
    <row r="868">
      <c r="A868" s="2" t="n">
        <v>867</v>
      </c>
      <c r="B868" s="3" t="inlineStr">
        <is>
          <t xml:space="preserve">OBJETIVUS MATERIAIS PARA ESCRITORIO E INFORMATICA LTDA </t>
        </is>
      </c>
      <c r="C868" s="3" t="inlineStr">
        <is>
          <t>SUL</t>
        </is>
      </c>
      <c r="D868" s="3" t="inlineStr">
        <is>
          <t>SC</t>
        </is>
      </c>
      <c r="E868" s="3" t="inlineStr">
        <is>
          <t>JOINVILLE</t>
        </is>
      </c>
      <c r="F868" s="3" t="inlineStr">
        <is>
          <t xml:space="preserve">GLORIA </t>
        </is>
      </c>
      <c r="G868" s="3" t="inlineStr">
        <is>
          <t>89217001</t>
        </is>
      </c>
      <c r="H868" s="3" t="inlineStr">
        <is>
          <t>João</t>
        </is>
      </c>
      <c r="I868" s="3" t="inlineStr">
        <is>
          <t>Forte</t>
        </is>
      </c>
      <c r="J868" s="2" t="n">
        <v>1168</v>
      </c>
      <c r="K868" s="3" t="inlineStr">
        <is>
          <t>Semana 2</t>
        </is>
      </c>
      <c r="L868" s="3" t="inlineStr">
        <is>
          <t>Média</t>
        </is>
      </c>
      <c r="M868" s="3" t="inlineStr">
        <is>
          <t>chave 867</t>
        </is>
      </c>
    </row>
    <row r="869">
      <c r="A869" s="2" t="n">
        <v>868</v>
      </c>
      <c r="B869" s="3" t="inlineStr">
        <is>
          <t xml:space="preserve">KM - COMERCIO DE UTILIDADE DOMESTICA LTDA </t>
        </is>
      </c>
      <c r="C869" s="3" t="inlineStr">
        <is>
          <t>SUL</t>
        </is>
      </c>
      <c r="D869" s="3" t="inlineStr">
        <is>
          <t>SC</t>
        </is>
      </c>
      <c r="E869" s="3" t="inlineStr">
        <is>
          <t>Florianópolis</t>
        </is>
      </c>
      <c r="F869" s="3" t="inlineStr">
        <is>
          <t xml:space="preserve">CENTRO </t>
        </is>
      </c>
      <c r="G869" s="3" t="inlineStr">
        <is>
          <t>88010020</t>
        </is>
      </c>
      <c r="H869" s="3" t="inlineStr">
        <is>
          <t>João</t>
        </is>
      </c>
      <c r="I869" s="3" t="inlineStr">
        <is>
          <t>Pontual</t>
        </is>
      </c>
      <c r="J869" s="2" t="n">
        <v>1168</v>
      </c>
      <c r="K869" s="3" t="inlineStr">
        <is>
          <t>Semana 4</t>
        </is>
      </c>
      <c r="L869" s="3" t="inlineStr">
        <is>
          <t>Normal</t>
        </is>
      </c>
      <c r="M869" s="3" t="inlineStr">
        <is>
          <t>chave 868</t>
        </is>
      </c>
    </row>
    <row r="870">
      <c r="A870" s="2" t="n">
        <v>869</v>
      </c>
      <c r="B870" s="3" t="inlineStr">
        <is>
          <t xml:space="preserve">JEAN CARLOS REISCHARDT LTDA </t>
        </is>
      </c>
      <c r="C870" s="3" t="inlineStr">
        <is>
          <t>SUL</t>
        </is>
      </c>
      <c r="D870" s="3" t="inlineStr">
        <is>
          <t>SC</t>
        </is>
      </c>
      <c r="E870" s="3" t="inlineStr">
        <is>
          <t>BALNEÁRIO CAMBORIÚ</t>
        </is>
      </c>
      <c r="F870" s="3" t="inlineStr">
        <is>
          <t xml:space="preserve">VILA REAL </t>
        </is>
      </c>
      <c r="G870" s="3" t="inlineStr">
        <is>
          <t>88337010</t>
        </is>
      </c>
      <c r="H870" s="3" t="inlineStr">
        <is>
          <t>João</t>
        </is>
      </c>
      <c r="I870" s="3" t="inlineStr">
        <is>
          <t>Pontual</t>
        </is>
      </c>
      <c r="J870" s="2" t="n">
        <v>1168</v>
      </c>
      <c r="K870" s="3" t="inlineStr">
        <is>
          <t>Semana 4</t>
        </is>
      </c>
      <c r="L870" s="3" t="inlineStr">
        <is>
          <t>Normal</t>
        </is>
      </c>
      <c r="M870" s="3" t="inlineStr">
        <is>
          <t>chave 869</t>
        </is>
      </c>
    </row>
    <row r="871">
      <c r="A871" s="2" t="n">
        <v>870</v>
      </c>
      <c r="B871" s="3" t="inlineStr">
        <is>
          <t xml:space="preserve">ANCORA DISTRIBUIDORA LTDA </t>
        </is>
      </c>
      <c r="C871" s="3" t="inlineStr">
        <is>
          <t>SUL</t>
        </is>
      </c>
      <c r="D871" s="3" t="inlineStr">
        <is>
          <t>SC</t>
        </is>
      </c>
      <c r="E871" s="3" t="inlineStr">
        <is>
          <t>CORDILHEIRA ALTA</t>
        </is>
      </c>
      <c r="F871" s="3" t="inlineStr">
        <is>
          <t xml:space="preserve">INTERIOR </t>
        </is>
      </c>
      <c r="G871" s="3" t="inlineStr">
        <is>
          <t>89819000</t>
        </is>
      </c>
      <c r="H871" s="3" t="inlineStr">
        <is>
          <t>João</t>
        </is>
      </c>
      <c r="I871" s="3" t="inlineStr">
        <is>
          <t>Pontual</t>
        </is>
      </c>
      <c r="J871" s="2" t="n">
        <v>1168</v>
      </c>
      <c r="K871" s="3" t="inlineStr">
        <is>
          <t>Semana 4</t>
        </is>
      </c>
      <c r="L871" s="3" t="inlineStr">
        <is>
          <t>Normal</t>
        </is>
      </c>
      <c r="M871" s="3" t="inlineStr">
        <is>
          <t>chave 870</t>
        </is>
      </c>
    </row>
    <row r="872">
      <c r="A872" s="2" t="n">
        <v>871</v>
      </c>
      <c r="B872" s="3" t="inlineStr">
        <is>
          <t xml:space="preserve">EPROS ATACADO DISTRIBUIDOR LTDA </t>
        </is>
      </c>
      <c r="C872" s="3" t="inlineStr">
        <is>
          <t>SUL</t>
        </is>
      </c>
      <c r="D872" s="3" t="inlineStr">
        <is>
          <t>SC</t>
        </is>
      </c>
      <c r="E872" s="3" t="inlineStr">
        <is>
          <t>Chapecó</t>
        </is>
      </c>
      <c r="F872" s="3" t="inlineStr">
        <is>
          <t xml:space="preserve">LIDER </t>
        </is>
      </c>
      <c r="G872" s="3" t="inlineStr">
        <is>
          <t>89805700</t>
        </is>
      </c>
      <c r="H872" s="3" t="inlineStr">
        <is>
          <t>João</t>
        </is>
      </c>
      <c r="I872" s="3" t="inlineStr">
        <is>
          <t>Pontual</t>
        </is>
      </c>
      <c r="J872" s="2" t="n">
        <v>1168</v>
      </c>
      <c r="K872" s="3" t="inlineStr">
        <is>
          <t>Semana 4</t>
        </is>
      </c>
      <c r="L872" s="3" t="inlineStr">
        <is>
          <t>Normal</t>
        </is>
      </c>
      <c r="M872" s="3" t="inlineStr">
        <is>
          <t>chave 871</t>
        </is>
      </c>
    </row>
    <row r="873">
      <c r="A873" s="2" t="n">
        <v>872</v>
      </c>
      <c r="B873" s="3" t="inlineStr">
        <is>
          <t xml:space="preserve">FECOAGRO - FEDERACAO DAS COOPERATIVAS AGROP. DO EST. DE SANTA CATARINA </t>
        </is>
      </c>
      <c r="C873" s="3" t="inlineStr">
        <is>
          <t>SUL</t>
        </is>
      </c>
      <c r="D873" s="3" t="inlineStr">
        <is>
          <t>SC</t>
        </is>
      </c>
      <c r="E873" s="3" t="inlineStr">
        <is>
          <t>PALMITOS</t>
        </is>
      </c>
      <c r="F873" s="3" t="inlineStr">
        <is>
          <t xml:space="preserve">INDUSTRIAL </t>
        </is>
      </c>
      <c r="G873" s="3" t="inlineStr">
        <is>
          <t>89887000</t>
        </is>
      </c>
      <c r="H873" s="3" t="inlineStr">
        <is>
          <t>João</t>
        </is>
      </c>
      <c r="I873" s="3" t="inlineStr">
        <is>
          <t>Pontual</t>
        </is>
      </c>
      <c r="J873" s="2" t="n">
        <v>1168</v>
      </c>
      <c r="K873" s="3" t="inlineStr">
        <is>
          <t>Semana 4</t>
        </is>
      </c>
      <c r="L873" s="3" t="inlineStr">
        <is>
          <t>Normal</t>
        </is>
      </c>
      <c r="M873" s="3" t="inlineStr">
        <is>
          <t>chave 872</t>
        </is>
      </c>
    </row>
    <row r="874">
      <c r="A874" s="2" t="n">
        <v>873</v>
      </c>
      <c r="B874" s="3" t="inlineStr">
        <is>
          <t xml:space="preserve">ZANOTTI PRESENTES LTDA </t>
        </is>
      </c>
      <c r="C874" s="3" t="inlineStr">
        <is>
          <t>SUL</t>
        </is>
      </c>
      <c r="D874" s="3" t="inlineStr">
        <is>
          <t>SC</t>
        </is>
      </c>
      <c r="E874" s="3" t="inlineStr">
        <is>
          <t>PENHA</t>
        </is>
      </c>
      <c r="F874" s="3" t="inlineStr">
        <is>
          <t xml:space="preserve">CENTRO </t>
        </is>
      </c>
      <c r="G874" s="3" t="inlineStr">
        <is>
          <t>88385000</t>
        </is>
      </c>
      <c r="H874" s="3" t="inlineStr">
        <is>
          <t>João</t>
        </is>
      </c>
      <c r="I874" s="3" t="inlineStr">
        <is>
          <t>Pontual</t>
        </is>
      </c>
      <c r="J874" s="2" t="n">
        <v>1168</v>
      </c>
      <c r="K874" s="3" t="inlineStr">
        <is>
          <t>Semana 4</t>
        </is>
      </c>
      <c r="L874" s="3" t="inlineStr">
        <is>
          <t>Normal</t>
        </is>
      </c>
      <c r="M874" s="3" t="inlineStr">
        <is>
          <t>chave 873</t>
        </is>
      </c>
    </row>
    <row r="875">
      <c r="A875" s="2" t="n">
        <v>874</v>
      </c>
      <c r="B875" s="3" t="inlineStr">
        <is>
          <t xml:space="preserve">COMERCIAL JARES LTDA </t>
        </is>
      </c>
      <c r="C875" s="3" t="inlineStr">
        <is>
          <t>SUL</t>
        </is>
      </c>
      <c r="D875" s="3" t="inlineStr">
        <is>
          <t>SC</t>
        </is>
      </c>
      <c r="E875" s="3" t="inlineStr">
        <is>
          <t>Florianópolis</t>
        </is>
      </c>
      <c r="F875" s="3" t="inlineStr">
        <is>
          <t xml:space="preserve">CENTRO </t>
        </is>
      </c>
      <c r="G875" s="3" t="inlineStr">
        <is>
          <t>88010100</t>
        </is>
      </c>
      <c r="H875" s="3" t="inlineStr">
        <is>
          <t>João</t>
        </is>
      </c>
      <c r="I875" s="3" t="inlineStr">
        <is>
          <t>Pontual</t>
        </is>
      </c>
      <c r="J875" s="2" t="n">
        <v>1168</v>
      </c>
      <c r="K875" s="3" t="inlineStr">
        <is>
          <t>Semana 4</t>
        </is>
      </c>
      <c r="L875" s="3" t="inlineStr">
        <is>
          <t>Normal</t>
        </is>
      </c>
      <c r="M875" s="3" t="inlineStr">
        <is>
          <t>chave 874</t>
        </is>
      </c>
    </row>
    <row r="876">
      <c r="A876" s="2" t="n">
        <v>875</v>
      </c>
      <c r="B876" s="3" t="inlineStr">
        <is>
          <t xml:space="preserve">EDISON LUIS BORGES ALVES ATACADO &amp; VAREJO LTDA </t>
        </is>
      </c>
      <c r="C876" s="3" t="inlineStr">
        <is>
          <t>SUL</t>
        </is>
      </c>
      <c r="D876" s="3" t="inlineStr">
        <is>
          <t>SC</t>
        </is>
      </c>
      <c r="E876" s="3" t="inlineStr">
        <is>
          <t>ITAPEMA</t>
        </is>
      </c>
      <c r="F876" s="3" t="inlineStr">
        <is>
          <t xml:space="preserve">VARZEA </t>
        </is>
      </c>
      <c r="G876" s="3" t="inlineStr">
        <is>
          <t>88220000</t>
        </is>
      </c>
      <c r="H876" s="3" t="inlineStr">
        <is>
          <t>João</t>
        </is>
      </c>
      <c r="I876" s="3" t="inlineStr">
        <is>
          <t>Pontual</t>
        </is>
      </c>
      <c r="J876" s="2" t="n">
        <v>1168</v>
      </c>
      <c r="K876" s="3" t="inlineStr">
        <is>
          <t>Semana 4</t>
        </is>
      </c>
      <c r="L876" s="3" t="inlineStr">
        <is>
          <t>Normal</t>
        </is>
      </c>
      <c r="M876" s="3" t="inlineStr">
        <is>
          <t>chave 875</t>
        </is>
      </c>
    </row>
    <row r="877">
      <c r="A877" s="2" t="n">
        <v>876</v>
      </c>
      <c r="B877" s="3" t="inlineStr">
        <is>
          <t xml:space="preserve">COMERCIAL PRECO BOM Z &amp; C LTDA </t>
        </is>
      </c>
      <c r="C877" s="3" t="inlineStr">
        <is>
          <t>SUL</t>
        </is>
      </c>
      <c r="D877" s="3" t="inlineStr">
        <is>
          <t>SC</t>
        </is>
      </c>
      <c r="E877" s="3" t="inlineStr">
        <is>
          <t>IMBITUBA</t>
        </is>
      </c>
      <c r="F877" s="3" t="inlineStr">
        <is>
          <t xml:space="preserve">CENTRO </t>
        </is>
      </c>
      <c r="G877" s="3" t="inlineStr">
        <is>
          <t>88780000</t>
        </is>
      </c>
      <c r="H877" s="3" t="inlineStr">
        <is>
          <t>João</t>
        </is>
      </c>
      <c r="I877" s="3" t="inlineStr">
        <is>
          <t>Pontual</t>
        </is>
      </c>
      <c r="J877" s="2" t="n">
        <v>1168</v>
      </c>
      <c r="K877" s="3" t="inlineStr">
        <is>
          <t>Semana 4</t>
        </is>
      </c>
      <c r="L877" s="3" t="inlineStr">
        <is>
          <t>Normal</t>
        </is>
      </c>
      <c r="M877" s="3" t="inlineStr">
        <is>
          <t>chave 876</t>
        </is>
      </c>
    </row>
    <row r="878">
      <c r="A878" s="2" t="n">
        <v>877</v>
      </c>
      <c r="B878" s="3" t="inlineStr">
        <is>
          <t xml:space="preserve">MOINHO COMERCIO DE ARMARINHOS LTDA </t>
        </is>
      </c>
      <c r="C878" s="3" t="inlineStr">
        <is>
          <t>SUL</t>
        </is>
      </c>
      <c r="D878" s="3" t="inlineStr">
        <is>
          <t>SC</t>
        </is>
      </c>
      <c r="E878" s="3" t="inlineStr">
        <is>
          <t>JOINVILLE</t>
        </is>
      </c>
      <c r="F878" s="3" t="inlineStr">
        <is>
          <t xml:space="preserve">AVENTUREIRO </t>
        </is>
      </c>
      <c r="G878" s="3" t="inlineStr">
        <is>
          <t>89225650</t>
        </is>
      </c>
      <c r="H878" s="3" t="inlineStr">
        <is>
          <t>João</t>
        </is>
      </c>
      <c r="I878" s="3" t="inlineStr">
        <is>
          <t>Forte</t>
        </is>
      </c>
      <c r="J878" s="2" t="n">
        <v>1168</v>
      </c>
      <c r="K878" s="3" t="inlineStr">
        <is>
          <t>Semana 2</t>
        </is>
      </c>
      <c r="L878" s="3" t="inlineStr">
        <is>
          <t>Média</t>
        </is>
      </c>
      <c r="M878" s="3" t="inlineStr">
        <is>
          <t>chave 877</t>
        </is>
      </c>
    </row>
    <row r="879">
      <c r="A879" s="2" t="n">
        <v>878</v>
      </c>
      <c r="B879" s="3" t="inlineStr">
        <is>
          <t xml:space="preserve">DANIELE LUZIA GOMES KAUFMANN </t>
        </is>
      </c>
      <c r="C879" s="3" t="inlineStr">
        <is>
          <t>SUL</t>
        </is>
      </c>
      <c r="D879" s="3" t="inlineStr">
        <is>
          <t>SC</t>
        </is>
      </c>
      <c r="E879" s="3" t="inlineStr">
        <is>
          <t>Itaiópolis</t>
        </is>
      </c>
      <c r="F879" s="3" t="inlineStr">
        <is>
          <t xml:space="preserve">CENTRO </t>
        </is>
      </c>
      <c r="G879" s="3" t="inlineStr">
        <is>
          <t>89340000</t>
        </is>
      </c>
      <c r="H879" s="3" t="inlineStr">
        <is>
          <t>João</t>
        </is>
      </c>
      <c r="I879" s="3" t="inlineStr">
        <is>
          <t>Pontual</t>
        </is>
      </c>
      <c r="J879" s="2" t="n">
        <v>1168</v>
      </c>
      <c r="K879" s="3" t="inlineStr">
        <is>
          <t>Semana 4</t>
        </is>
      </c>
      <c r="L879" s="3" t="inlineStr">
        <is>
          <t>Normal</t>
        </is>
      </c>
      <c r="M879" s="3" t="inlineStr">
        <is>
          <t>chave 878</t>
        </is>
      </c>
    </row>
    <row r="880">
      <c r="A880" s="2" t="n">
        <v>879</v>
      </c>
      <c r="B880" s="3" t="inlineStr">
        <is>
          <t xml:space="preserve">CATARINENSE PAPELARIA E PRESENTES LTDA </t>
        </is>
      </c>
      <c r="C880" s="3" t="inlineStr">
        <is>
          <t>SUL</t>
        </is>
      </c>
      <c r="D880" s="3" t="inlineStr">
        <is>
          <t>SC</t>
        </is>
      </c>
      <c r="E880" s="3" t="inlineStr">
        <is>
          <t>Tubarão</t>
        </is>
      </c>
      <c r="F880" s="3" t="inlineStr">
        <is>
          <t xml:space="preserve">CENTRO </t>
        </is>
      </c>
      <c r="G880" s="3" t="inlineStr">
        <is>
          <t>88702100</t>
        </is>
      </c>
      <c r="H880" s="3" t="inlineStr">
        <is>
          <t>João</t>
        </is>
      </c>
      <c r="I880" s="3" t="inlineStr">
        <is>
          <t>Pontual</t>
        </is>
      </c>
      <c r="J880" s="2" t="n">
        <v>1168</v>
      </c>
      <c r="K880" s="3" t="inlineStr">
        <is>
          <t>Semana 4</t>
        </is>
      </c>
      <c r="L880" s="3" t="inlineStr">
        <is>
          <t>Normal</t>
        </is>
      </c>
      <c r="M880" s="3" t="inlineStr">
        <is>
          <t>chave 879</t>
        </is>
      </c>
    </row>
    <row r="881">
      <c r="A881" s="2" t="n">
        <v>880</v>
      </c>
      <c r="B881" s="3" t="inlineStr">
        <is>
          <t xml:space="preserve">TEELL-TECNICA E EQUIP. P/ ESCRITORIO LEITE LTDA </t>
        </is>
      </c>
      <c r="C881" s="3" t="inlineStr">
        <is>
          <t>SUL</t>
        </is>
      </c>
      <c r="D881" s="3" t="inlineStr">
        <is>
          <t>SC</t>
        </is>
      </c>
      <c r="E881" s="3" t="inlineStr">
        <is>
          <t>MAFRA</t>
        </is>
      </c>
      <c r="F881" s="3" t="inlineStr">
        <is>
          <t xml:space="preserve">CENTRO </t>
        </is>
      </c>
      <c r="G881" s="3" t="inlineStr">
        <is>
          <t>89300000</t>
        </is>
      </c>
      <c r="H881" s="3" t="inlineStr">
        <is>
          <t>João</t>
        </is>
      </c>
      <c r="I881" s="3" t="inlineStr">
        <is>
          <t>Pontual</t>
        </is>
      </c>
      <c r="J881" s="2" t="n">
        <v>1168</v>
      </c>
      <c r="K881" s="3" t="inlineStr">
        <is>
          <t>Semana 4</t>
        </is>
      </c>
      <c r="L881" s="3" t="inlineStr">
        <is>
          <t>Normal</t>
        </is>
      </c>
      <c r="M881" s="3" t="inlineStr">
        <is>
          <t>chave 880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5" customWidth="1" min="3" max="3"/>
    <col width="15" customWidth="1" min="4" max="4"/>
    <col width="14" customWidth="1" min="5" max="5"/>
    <col width="10" customWidth="1" min="6" max="6"/>
    <col width="10" customWidth="1" min="7" max="7"/>
    <col width="10" customWidth="1" min="8" max="8"/>
    <col width="18" customWidth="1" min="9" max="9"/>
  </cols>
  <sheetData>
    <row r="1">
      <c r="A1" s="1" t="inlineStr">
        <is>
          <t>Supervisor</t>
        </is>
      </c>
      <c r="B1" s="1" t="inlineStr">
        <is>
          <t>Base Logística</t>
        </is>
      </c>
      <c r="C1" s="1" t="inlineStr">
        <is>
          <t>Área de Atuação</t>
        </is>
      </c>
      <c r="D1" s="1" t="inlineStr">
        <is>
          <t>Total Clientes</t>
        </is>
      </c>
      <c r="E1" s="1" t="inlineStr">
        <is>
          <t>Estratégicos</t>
        </is>
      </c>
      <c r="F1" s="1" t="inlineStr">
        <is>
          <t>Fortes</t>
        </is>
      </c>
      <c r="G1" s="1" t="inlineStr">
        <is>
          <t>Médios</t>
        </is>
      </c>
      <c r="H1" s="1" t="inlineStr">
        <is>
          <t>Pontuais</t>
        </is>
      </c>
      <c r="I1" s="1" t="inlineStr">
        <is>
          <t>Distância Média (km)</t>
        </is>
      </c>
    </row>
    <row r="2">
      <c r="A2" s="4" t="inlineStr">
        <is>
          <t>Andre Pacheco</t>
        </is>
      </c>
      <c r="B2" s="4" t="inlineStr">
        <is>
          <t>Fábrica Compactor</t>
        </is>
      </c>
      <c r="C2" s="4" t="inlineStr">
        <is>
          <t>RJ Capital e Baixada</t>
        </is>
      </c>
      <c r="D2" s="2">
        <f>COUNTIF('Base de Dados'!H:H,A2)</f>
        <v/>
      </c>
      <c r="E2" s="2">
        <f>COUNTIFS('Base de Dados'!H:H,A2,'Base de Dados'!I:I,"Estratégico")</f>
        <v/>
      </c>
      <c r="F2" s="2">
        <f>COUNTIFS('Base de Dados'!H:H,A2,'Base de Dados'!I:I,"Forte")</f>
        <v/>
      </c>
      <c r="G2" s="2">
        <f>COUNTIFS('Base de Dados'!H:H,A2,'Base de Dados'!I:I,"Médio")</f>
        <v/>
      </c>
      <c r="H2" s="2">
        <f>COUNTIFS('Base de Dados'!H:H,A2,'Base de Dados'!I:I,"Pontual")</f>
        <v/>
      </c>
      <c r="I2" s="2">
        <f>ROUND(AVERAGEIF('Base de Dados'!H:H,A2,'Base de Dados'!J:J),0)</f>
        <v/>
      </c>
    </row>
    <row r="3">
      <c r="A3" s="4" t="inlineStr">
        <is>
          <t>Andressa</t>
        </is>
      </c>
      <c r="B3" s="4" t="inlineStr">
        <is>
          <t>Fábrica Compactor</t>
        </is>
      </c>
      <c r="C3" s="4" t="inlineStr">
        <is>
          <t>RJ Serrana/Lagos + MG + GO + DF</t>
        </is>
      </c>
      <c r="D3" s="2">
        <f>COUNTIF('Base de Dados'!H:H,A3)</f>
        <v/>
      </c>
      <c r="E3" s="2">
        <f>COUNTIFS('Base de Dados'!H:H,A3,'Base de Dados'!I:I,"Estratégico")</f>
        <v/>
      </c>
      <c r="F3" s="2">
        <f>COUNTIFS('Base de Dados'!H:H,A3,'Base de Dados'!I:I,"Forte")</f>
        <v/>
      </c>
      <c r="G3" s="2">
        <f>COUNTIFS('Base de Dados'!H:H,A3,'Base de Dados'!I:I,"Médio")</f>
        <v/>
      </c>
      <c r="H3" s="2">
        <f>COUNTIFS('Base de Dados'!H:H,A3,'Base de Dados'!I:I,"Pontual")</f>
        <v/>
      </c>
      <c r="I3" s="2">
        <f>ROUND(AVERAGEIF('Base de Dados'!H:H,A3,'Base de Dados'!J:J),0)</f>
        <v/>
      </c>
    </row>
    <row r="4">
      <c r="A4" s="4" t="inlineStr">
        <is>
          <t>Bernard</t>
        </is>
      </c>
      <c r="B4" s="4" t="inlineStr">
        <is>
          <t>Fábrica Compactor</t>
        </is>
      </c>
      <c r="C4" s="4" t="inlineStr">
        <is>
          <t>Espírito Santo</t>
        </is>
      </c>
      <c r="D4" s="2">
        <f>COUNTIF('Base de Dados'!H:H,A4)</f>
        <v/>
      </c>
      <c r="E4" s="2">
        <f>COUNTIFS('Base de Dados'!H:H,A4,'Base de Dados'!I:I,"Estratégico")</f>
        <v/>
      </c>
      <c r="F4" s="2">
        <f>COUNTIFS('Base de Dados'!H:H,A4,'Base de Dados'!I:I,"Forte")</f>
        <v/>
      </c>
      <c r="G4" s="2">
        <f>COUNTIFS('Base de Dados'!H:H,A4,'Base de Dados'!I:I,"Médio")</f>
        <v/>
      </c>
      <c r="H4" s="2">
        <f>COUNTIFS('Base de Dados'!H:H,A4,'Base de Dados'!I:I,"Pontual")</f>
        <v/>
      </c>
      <c r="I4" s="2">
        <f>ROUND(AVERAGEIF('Base de Dados'!H:H,A4,'Base de Dados'!J:J),0)</f>
        <v/>
      </c>
    </row>
    <row r="5">
      <c r="A5" s="4" t="inlineStr">
        <is>
          <t>Denilson</t>
        </is>
      </c>
      <c r="B5" s="4" t="inlineStr">
        <is>
          <t>Fábrica Compactor</t>
        </is>
      </c>
      <c r="C5" s="4" t="inlineStr">
        <is>
          <t>São Paulo (Parte 2)</t>
        </is>
      </c>
      <c r="D5" s="2">
        <f>COUNTIF('Base de Dados'!H:H,A5)</f>
        <v/>
      </c>
      <c r="E5" s="2">
        <f>COUNTIFS('Base de Dados'!H:H,A5,'Base de Dados'!I:I,"Estratégico")</f>
        <v/>
      </c>
      <c r="F5" s="2">
        <f>COUNTIFS('Base de Dados'!H:H,A5,'Base de Dados'!I:I,"Forte")</f>
        <v/>
      </c>
      <c r="G5" s="2">
        <f>COUNTIFS('Base de Dados'!H:H,A5,'Base de Dados'!I:I,"Médio")</f>
        <v/>
      </c>
      <c r="H5" s="2">
        <f>COUNTIFS('Base de Dados'!H:H,A5,'Base de Dados'!I:I,"Pontual")</f>
        <v/>
      </c>
      <c r="I5" s="2">
        <f>ROUND(AVERAGEIF('Base de Dados'!H:H,A5,'Base de Dados'!J:J),0)</f>
        <v/>
      </c>
    </row>
    <row r="6">
      <c r="A6" s="4" t="inlineStr">
        <is>
          <t>Fernanda</t>
        </is>
      </c>
      <c r="B6" s="4" t="inlineStr">
        <is>
          <t>São Paulo</t>
        </is>
      </c>
      <c r="C6" s="4" t="inlineStr">
        <is>
          <t>São Paulo (Parte 1)</t>
        </is>
      </c>
      <c r="D6" s="2">
        <f>COUNTIF('Base de Dados'!H:H,A6)</f>
        <v/>
      </c>
      <c r="E6" s="2">
        <f>COUNTIFS('Base de Dados'!H:H,A6,'Base de Dados'!I:I,"Estratégico")</f>
        <v/>
      </c>
      <c r="F6" s="2">
        <f>COUNTIFS('Base de Dados'!H:H,A6,'Base de Dados'!I:I,"Forte")</f>
        <v/>
      </c>
      <c r="G6" s="2">
        <f>COUNTIFS('Base de Dados'!H:H,A6,'Base de Dados'!I:I,"Médio")</f>
        <v/>
      </c>
      <c r="H6" s="2">
        <f>COUNTIFS('Base de Dados'!H:H,A6,'Base de Dados'!I:I,"Pontual")</f>
        <v/>
      </c>
      <c r="I6" s="2">
        <f>ROUND(AVERAGEIF('Base de Dados'!H:H,A6,'Base de Dados'!J:J),0)</f>
        <v/>
      </c>
    </row>
    <row r="7">
      <c r="A7" s="4" t="inlineStr">
        <is>
          <t>João</t>
        </is>
      </c>
      <c r="B7" s="4" t="inlineStr">
        <is>
          <t>Fábrica Compactor</t>
        </is>
      </c>
      <c r="C7" s="4" t="inlineStr">
        <is>
          <t>Região Sul</t>
        </is>
      </c>
      <c r="D7" s="2">
        <f>COUNTIF('Base de Dados'!H:H,A7)</f>
        <v/>
      </c>
      <c r="E7" s="2">
        <f>COUNTIFS('Base de Dados'!H:H,A7,'Base de Dados'!I:I,"Estratégico")</f>
        <v/>
      </c>
      <c r="F7" s="2">
        <f>COUNTIFS('Base de Dados'!H:H,A7,'Base de Dados'!I:I,"Forte")</f>
        <v/>
      </c>
      <c r="G7" s="2">
        <f>COUNTIFS('Base de Dados'!H:H,A7,'Base de Dados'!I:I,"Médio")</f>
        <v/>
      </c>
      <c r="H7" s="2">
        <f>COUNTIFS('Base de Dados'!H:H,A7,'Base de Dados'!I:I,"Pontual")</f>
        <v/>
      </c>
      <c r="I7" s="2">
        <f>ROUND(AVERAGEIF('Base de Dados'!H:H,A7,'Base de Dados'!J:J),0)</f>
        <v/>
      </c>
    </row>
    <row r="8">
      <c r="A8" s="4" t="inlineStr">
        <is>
          <t>Rodrigo</t>
        </is>
      </c>
      <c r="B8" s="4" t="inlineStr">
        <is>
          <t>Recife</t>
        </is>
      </c>
      <c r="C8" s="4" t="inlineStr">
        <is>
          <t>Norte e Nordeste</t>
        </is>
      </c>
      <c r="D8" s="2">
        <f>COUNTIF('Base de Dados'!H:H,A8)</f>
        <v/>
      </c>
      <c r="E8" s="2">
        <f>COUNTIFS('Base de Dados'!H:H,A8,'Base de Dados'!I:I,"Estratégico")</f>
        <v/>
      </c>
      <c r="F8" s="2">
        <f>COUNTIFS('Base de Dados'!H:H,A8,'Base de Dados'!I:I,"Forte")</f>
        <v/>
      </c>
      <c r="G8" s="2">
        <f>COUNTIFS('Base de Dados'!H:H,A8,'Base de Dados'!I:I,"Médio")</f>
        <v/>
      </c>
      <c r="H8" s="2">
        <f>COUNTIFS('Base de Dados'!H:H,A8,'Base de Dados'!I:I,"Pontual")</f>
        <v/>
      </c>
      <c r="I8" s="2">
        <f>ROUND(AVERAGEIF('Base de Dados'!H:H,A8,'Base de Dados'!J:J),0)</f>
        <v/>
      </c>
    </row>
    <row r="9">
      <c r="A9" s="4" t="inlineStr">
        <is>
          <t>Yan Aragão</t>
        </is>
      </c>
      <c r="B9" s="4" t="inlineStr">
        <is>
          <t>Fábrica Compactor</t>
        </is>
      </c>
      <c r="C9" s="4" t="inlineStr">
        <is>
          <t>Mato Grosso e MS</t>
        </is>
      </c>
      <c r="D9" s="2">
        <f>COUNTIF('Base de Dados'!H:H,A9)</f>
        <v/>
      </c>
      <c r="E9" s="2">
        <f>COUNTIFS('Base de Dados'!H:H,A9,'Base de Dados'!I:I,"Estratégico")</f>
        <v/>
      </c>
      <c r="F9" s="2">
        <f>COUNTIFS('Base de Dados'!H:H,A9,'Base de Dados'!I:I,"Forte")</f>
        <v/>
      </c>
      <c r="G9" s="2">
        <f>COUNTIFS('Base de Dados'!H:H,A9,'Base de Dados'!I:I,"Médio")</f>
        <v/>
      </c>
      <c r="H9" s="2">
        <f>COUNTIFS('Base de Dados'!H:H,A9,'Base de Dados'!I:I,"Pontual")</f>
        <v/>
      </c>
      <c r="I9" s="2">
        <f>ROUND(AVERAGEIF('Base de Dados'!H:H,A9,'Base de Dados'!J:J),0)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20" customWidth="1" min="5" max="5"/>
  </cols>
  <sheetData>
    <row r="1">
      <c r="A1" s="1" t="inlineStr">
        <is>
          <t>Supervisor</t>
        </is>
      </c>
      <c r="B1" s="1" t="inlineStr">
        <is>
          <t>Semana</t>
        </is>
      </c>
      <c r="C1" s="1" t="inlineStr">
        <is>
          <t>Clientes</t>
        </is>
      </c>
      <c r="D1" s="1" t="inlineStr">
        <is>
          <t>Estratégicos</t>
        </is>
      </c>
      <c r="E1" s="1" t="inlineStr">
        <is>
          <t>KM Total Estimado</t>
        </is>
      </c>
    </row>
    <row r="2">
      <c r="A2" s="4" t="inlineStr">
        <is>
          <t>Andre Pacheco</t>
        </is>
      </c>
      <c r="B2" s="2" t="inlineStr">
        <is>
          <t>Semana 1</t>
        </is>
      </c>
      <c r="C2" s="2">
        <f>COUNTIFS('Base de Dados'!H:H,A2,'Base de Dados'!K:K,B2)</f>
        <v/>
      </c>
      <c r="D2" s="2">
        <f>COUNTIFS('Base de Dados'!H:H,A2,'Base de Dados'!K:K,B2,'Base de Dados'!I:I,"Estratégico")</f>
        <v/>
      </c>
      <c r="E2" s="2">
        <f>SUMIFS('Base de Dados'!J:J,'Base de Dados'!H:H,A2,'Base de Dados'!K:K,B2)</f>
        <v/>
      </c>
    </row>
    <row r="3">
      <c r="A3" s="4" t="inlineStr">
        <is>
          <t>Andre Pacheco</t>
        </is>
      </c>
      <c r="B3" s="2" t="inlineStr">
        <is>
          <t>Semana 2</t>
        </is>
      </c>
      <c r="C3" s="2">
        <f>COUNTIFS('Base de Dados'!H:H,A3,'Base de Dados'!K:K,B3)</f>
        <v/>
      </c>
      <c r="D3" s="2">
        <f>COUNTIFS('Base de Dados'!H:H,A3,'Base de Dados'!K:K,B3,'Base de Dados'!I:I,"Estratégico")</f>
        <v/>
      </c>
      <c r="E3" s="2">
        <f>SUMIFS('Base de Dados'!J:J,'Base de Dados'!H:H,A3,'Base de Dados'!K:K,B3)</f>
        <v/>
      </c>
    </row>
    <row r="4">
      <c r="A4" s="4" t="inlineStr">
        <is>
          <t>Andre Pacheco</t>
        </is>
      </c>
      <c r="B4" s="2" t="inlineStr">
        <is>
          <t>Semana 3</t>
        </is>
      </c>
      <c r="C4" s="2">
        <f>COUNTIFS('Base de Dados'!H:H,A4,'Base de Dados'!K:K,B4)</f>
        <v/>
      </c>
      <c r="D4" s="2">
        <f>COUNTIFS('Base de Dados'!H:H,A4,'Base de Dados'!K:K,B4,'Base de Dados'!I:I,"Estratégico")</f>
        <v/>
      </c>
      <c r="E4" s="2">
        <f>SUMIFS('Base de Dados'!J:J,'Base de Dados'!H:H,A4,'Base de Dados'!K:K,B4)</f>
        <v/>
      </c>
    </row>
    <row r="5">
      <c r="A5" s="4" t="inlineStr">
        <is>
          <t>Andre Pacheco</t>
        </is>
      </c>
      <c r="B5" s="2" t="inlineStr">
        <is>
          <t>Semana 4</t>
        </is>
      </c>
      <c r="C5" s="2">
        <f>COUNTIFS('Base de Dados'!H:H,A5,'Base de Dados'!K:K,B5)</f>
        <v/>
      </c>
      <c r="D5" s="2">
        <f>COUNTIFS('Base de Dados'!H:H,A5,'Base de Dados'!K:K,B5,'Base de Dados'!I:I,"Estratégico")</f>
        <v/>
      </c>
      <c r="E5" s="2">
        <f>SUMIFS('Base de Dados'!J:J,'Base de Dados'!H:H,A5,'Base de Dados'!K:K,B5)</f>
        <v/>
      </c>
    </row>
    <row r="6">
      <c r="A6" s="4" t="inlineStr">
        <is>
          <t>Andressa</t>
        </is>
      </c>
      <c r="B6" s="2" t="inlineStr">
        <is>
          <t>Semana 1</t>
        </is>
      </c>
      <c r="C6" s="2">
        <f>COUNTIFS('Base de Dados'!H:H,A6,'Base de Dados'!K:K,B6)</f>
        <v/>
      </c>
      <c r="D6" s="2">
        <f>COUNTIFS('Base de Dados'!H:H,A6,'Base de Dados'!K:K,B6,'Base de Dados'!I:I,"Estratégico")</f>
        <v/>
      </c>
      <c r="E6" s="2">
        <f>SUMIFS('Base de Dados'!J:J,'Base de Dados'!H:H,A6,'Base de Dados'!K:K,B6)</f>
        <v/>
      </c>
    </row>
    <row r="7">
      <c r="A7" s="4" t="inlineStr">
        <is>
          <t>Andressa</t>
        </is>
      </c>
      <c r="B7" s="2" t="inlineStr">
        <is>
          <t>Semana 2</t>
        </is>
      </c>
      <c r="C7" s="2">
        <f>COUNTIFS('Base de Dados'!H:H,A7,'Base de Dados'!K:K,B7)</f>
        <v/>
      </c>
      <c r="D7" s="2">
        <f>COUNTIFS('Base de Dados'!H:H,A7,'Base de Dados'!K:K,B7,'Base de Dados'!I:I,"Estratégico")</f>
        <v/>
      </c>
      <c r="E7" s="2">
        <f>SUMIFS('Base de Dados'!J:J,'Base de Dados'!H:H,A7,'Base de Dados'!K:K,B7)</f>
        <v/>
      </c>
    </row>
    <row r="8">
      <c r="A8" s="4" t="inlineStr">
        <is>
          <t>Andressa</t>
        </is>
      </c>
      <c r="B8" s="2" t="inlineStr">
        <is>
          <t>Semana 3</t>
        </is>
      </c>
      <c r="C8" s="2">
        <f>COUNTIFS('Base de Dados'!H:H,A8,'Base de Dados'!K:K,B8)</f>
        <v/>
      </c>
      <c r="D8" s="2">
        <f>COUNTIFS('Base de Dados'!H:H,A8,'Base de Dados'!K:K,B8,'Base de Dados'!I:I,"Estratégico")</f>
        <v/>
      </c>
      <c r="E8" s="2">
        <f>SUMIFS('Base de Dados'!J:J,'Base de Dados'!H:H,A8,'Base de Dados'!K:K,B8)</f>
        <v/>
      </c>
    </row>
    <row r="9">
      <c r="A9" s="4" t="inlineStr">
        <is>
          <t>Andressa</t>
        </is>
      </c>
      <c r="B9" s="2" t="inlineStr">
        <is>
          <t>Semana 4</t>
        </is>
      </c>
      <c r="C9" s="2">
        <f>COUNTIFS('Base de Dados'!H:H,A9,'Base de Dados'!K:K,B9)</f>
        <v/>
      </c>
      <c r="D9" s="2">
        <f>COUNTIFS('Base de Dados'!H:H,A9,'Base de Dados'!K:K,B9,'Base de Dados'!I:I,"Estratégico")</f>
        <v/>
      </c>
      <c r="E9" s="2">
        <f>SUMIFS('Base de Dados'!J:J,'Base de Dados'!H:H,A9,'Base de Dados'!K:K,B9)</f>
        <v/>
      </c>
    </row>
    <row r="10">
      <c r="A10" s="4" t="inlineStr">
        <is>
          <t>Bernard</t>
        </is>
      </c>
      <c r="B10" s="2" t="inlineStr">
        <is>
          <t>Semana 1</t>
        </is>
      </c>
      <c r="C10" s="2">
        <f>COUNTIFS('Base de Dados'!H:H,A10,'Base de Dados'!K:K,B10)</f>
        <v/>
      </c>
      <c r="D10" s="2">
        <f>COUNTIFS('Base de Dados'!H:H,A10,'Base de Dados'!K:K,B10,'Base de Dados'!I:I,"Estratégico")</f>
        <v/>
      </c>
      <c r="E10" s="2">
        <f>SUMIFS('Base de Dados'!J:J,'Base de Dados'!H:H,A10,'Base de Dados'!K:K,B10)</f>
        <v/>
      </c>
    </row>
    <row r="11">
      <c r="A11" s="4" t="inlineStr">
        <is>
          <t>Bernard</t>
        </is>
      </c>
      <c r="B11" s="2" t="inlineStr">
        <is>
          <t>Semana 2</t>
        </is>
      </c>
      <c r="C11" s="2">
        <f>COUNTIFS('Base de Dados'!H:H,A11,'Base de Dados'!K:K,B11)</f>
        <v/>
      </c>
      <c r="D11" s="2">
        <f>COUNTIFS('Base de Dados'!H:H,A11,'Base de Dados'!K:K,B11,'Base de Dados'!I:I,"Estratégico")</f>
        <v/>
      </c>
      <c r="E11" s="2">
        <f>SUMIFS('Base de Dados'!J:J,'Base de Dados'!H:H,A11,'Base de Dados'!K:K,B11)</f>
        <v/>
      </c>
    </row>
    <row r="12">
      <c r="A12" s="4" t="inlineStr">
        <is>
          <t>Bernard</t>
        </is>
      </c>
      <c r="B12" s="2" t="inlineStr">
        <is>
          <t>Semana 3</t>
        </is>
      </c>
      <c r="C12" s="2">
        <f>COUNTIFS('Base de Dados'!H:H,A12,'Base de Dados'!K:K,B12)</f>
        <v/>
      </c>
      <c r="D12" s="2">
        <f>COUNTIFS('Base de Dados'!H:H,A12,'Base de Dados'!K:K,B12,'Base de Dados'!I:I,"Estratégico")</f>
        <v/>
      </c>
      <c r="E12" s="2">
        <f>SUMIFS('Base de Dados'!J:J,'Base de Dados'!H:H,A12,'Base de Dados'!K:K,B12)</f>
        <v/>
      </c>
    </row>
    <row r="13">
      <c r="A13" s="4" t="inlineStr">
        <is>
          <t>Bernard</t>
        </is>
      </c>
      <c r="B13" s="2" t="inlineStr">
        <is>
          <t>Semana 4</t>
        </is>
      </c>
      <c r="C13" s="2">
        <f>COUNTIFS('Base de Dados'!H:H,A13,'Base de Dados'!K:K,B13)</f>
        <v/>
      </c>
      <c r="D13" s="2">
        <f>COUNTIFS('Base de Dados'!H:H,A13,'Base de Dados'!K:K,B13,'Base de Dados'!I:I,"Estratégico")</f>
        <v/>
      </c>
      <c r="E13" s="2">
        <f>SUMIFS('Base de Dados'!J:J,'Base de Dados'!H:H,A13,'Base de Dados'!K:K,B13)</f>
        <v/>
      </c>
    </row>
    <row r="14">
      <c r="A14" s="4" t="inlineStr">
        <is>
          <t>Denilson</t>
        </is>
      </c>
      <c r="B14" s="2" t="inlineStr">
        <is>
          <t>Semana 1</t>
        </is>
      </c>
      <c r="C14" s="2">
        <f>COUNTIFS('Base de Dados'!H:H,A14,'Base de Dados'!K:K,B14)</f>
        <v/>
      </c>
      <c r="D14" s="2">
        <f>COUNTIFS('Base de Dados'!H:H,A14,'Base de Dados'!K:K,B14,'Base de Dados'!I:I,"Estratégico")</f>
        <v/>
      </c>
      <c r="E14" s="2">
        <f>SUMIFS('Base de Dados'!J:J,'Base de Dados'!H:H,A14,'Base de Dados'!K:K,B14)</f>
        <v/>
      </c>
    </row>
    <row r="15">
      <c r="A15" s="4" t="inlineStr">
        <is>
          <t>Denilson</t>
        </is>
      </c>
      <c r="B15" s="2" t="inlineStr">
        <is>
          <t>Semana 2</t>
        </is>
      </c>
      <c r="C15" s="2">
        <f>COUNTIFS('Base de Dados'!H:H,A15,'Base de Dados'!K:K,B15)</f>
        <v/>
      </c>
      <c r="D15" s="2">
        <f>COUNTIFS('Base de Dados'!H:H,A15,'Base de Dados'!K:K,B15,'Base de Dados'!I:I,"Estratégico")</f>
        <v/>
      </c>
      <c r="E15" s="2">
        <f>SUMIFS('Base de Dados'!J:J,'Base de Dados'!H:H,A15,'Base de Dados'!K:K,B15)</f>
        <v/>
      </c>
    </row>
    <row r="16">
      <c r="A16" s="4" t="inlineStr">
        <is>
          <t>Denilson</t>
        </is>
      </c>
      <c r="B16" s="2" t="inlineStr">
        <is>
          <t>Semana 3</t>
        </is>
      </c>
      <c r="C16" s="2">
        <f>COUNTIFS('Base de Dados'!H:H,A16,'Base de Dados'!K:K,B16)</f>
        <v/>
      </c>
      <c r="D16" s="2">
        <f>COUNTIFS('Base de Dados'!H:H,A16,'Base de Dados'!K:K,B16,'Base de Dados'!I:I,"Estratégico")</f>
        <v/>
      </c>
      <c r="E16" s="2">
        <f>SUMIFS('Base de Dados'!J:J,'Base de Dados'!H:H,A16,'Base de Dados'!K:K,B16)</f>
        <v/>
      </c>
    </row>
    <row r="17">
      <c r="A17" s="4" t="inlineStr">
        <is>
          <t>Denilson</t>
        </is>
      </c>
      <c r="B17" s="2" t="inlineStr">
        <is>
          <t>Semana 4</t>
        </is>
      </c>
      <c r="C17" s="2">
        <f>COUNTIFS('Base de Dados'!H:H,A17,'Base de Dados'!K:K,B17)</f>
        <v/>
      </c>
      <c r="D17" s="2">
        <f>COUNTIFS('Base de Dados'!H:H,A17,'Base de Dados'!K:K,B17,'Base de Dados'!I:I,"Estratégico")</f>
        <v/>
      </c>
      <c r="E17" s="2">
        <f>SUMIFS('Base de Dados'!J:J,'Base de Dados'!H:H,A17,'Base de Dados'!K:K,B17)</f>
        <v/>
      </c>
    </row>
    <row r="18">
      <c r="A18" s="4" t="inlineStr">
        <is>
          <t>Fernanda</t>
        </is>
      </c>
      <c r="B18" s="2" t="inlineStr">
        <is>
          <t>Semana 1</t>
        </is>
      </c>
      <c r="C18" s="2">
        <f>COUNTIFS('Base de Dados'!H:H,A18,'Base de Dados'!K:K,B18)</f>
        <v/>
      </c>
      <c r="D18" s="2">
        <f>COUNTIFS('Base de Dados'!H:H,A18,'Base de Dados'!K:K,B18,'Base de Dados'!I:I,"Estratégico")</f>
        <v/>
      </c>
      <c r="E18" s="2">
        <f>SUMIFS('Base de Dados'!J:J,'Base de Dados'!H:H,A18,'Base de Dados'!K:K,B18)</f>
        <v/>
      </c>
    </row>
    <row r="19">
      <c r="A19" s="4" t="inlineStr">
        <is>
          <t>Fernanda</t>
        </is>
      </c>
      <c r="B19" s="2" t="inlineStr">
        <is>
          <t>Semana 2</t>
        </is>
      </c>
      <c r="C19" s="2">
        <f>COUNTIFS('Base de Dados'!H:H,A19,'Base de Dados'!K:K,B19)</f>
        <v/>
      </c>
      <c r="D19" s="2">
        <f>COUNTIFS('Base de Dados'!H:H,A19,'Base de Dados'!K:K,B19,'Base de Dados'!I:I,"Estratégico")</f>
        <v/>
      </c>
      <c r="E19" s="2">
        <f>SUMIFS('Base de Dados'!J:J,'Base de Dados'!H:H,A19,'Base de Dados'!K:K,B19)</f>
        <v/>
      </c>
    </row>
    <row r="20">
      <c r="A20" s="4" t="inlineStr">
        <is>
          <t>Fernanda</t>
        </is>
      </c>
      <c r="B20" s="2" t="inlineStr">
        <is>
          <t>Semana 3</t>
        </is>
      </c>
      <c r="C20" s="2">
        <f>COUNTIFS('Base de Dados'!H:H,A20,'Base de Dados'!K:K,B20)</f>
        <v/>
      </c>
      <c r="D20" s="2">
        <f>COUNTIFS('Base de Dados'!H:H,A20,'Base de Dados'!K:K,B20,'Base de Dados'!I:I,"Estratégico")</f>
        <v/>
      </c>
      <c r="E20" s="2">
        <f>SUMIFS('Base de Dados'!J:J,'Base de Dados'!H:H,A20,'Base de Dados'!K:K,B20)</f>
        <v/>
      </c>
    </row>
    <row r="21">
      <c r="A21" s="4" t="inlineStr">
        <is>
          <t>Fernanda</t>
        </is>
      </c>
      <c r="B21" s="2" t="inlineStr">
        <is>
          <t>Semana 4</t>
        </is>
      </c>
      <c r="C21" s="2">
        <f>COUNTIFS('Base de Dados'!H:H,A21,'Base de Dados'!K:K,B21)</f>
        <v/>
      </c>
      <c r="D21" s="2">
        <f>COUNTIFS('Base de Dados'!H:H,A21,'Base de Dados'!K:K,B21,'Base de Dados'!I:I,"Estratégico")</f>
        <v/>
      </c>
      <c r="E21" s="2">
        <f>SUMIFS('Base de Dados'!J:J,'Base de Dados'!H:H,A21,'Base de Dados'!K:K,B21)</f>
        <v/>
      </c>
    </row>
    <row r="22">
      <c r="A22" s="4" t="inlineStr">
        <is>
          <t>João</t>
        </is>
      </c>
      <c r="B22" s="2" t="inlineStr">
        <is>
          <t>Semana 1</t>
        </is>
      </c>
      <c r="C22" s="2">
        <f>COUNTIFS('Base de Dados'!H:H,A22,'Base de Dados'!K:K,B22)</f>
        <v/>
      </c>
      <c r="D22" s="2">
        <f>COUNTIFS('Base de Dados'!H:H,A22,'Base de Dados'!K:K,B22,'Base de Dados'!I:I,"Estratégico")</f>
        <v/>
      </c>
      <c r="E22" s="2">
        <f>SUMIFS('Base de Dados'!J:J,'Base de Dados'!H:H,A22,'Base de Dados'!K:K,B22)</f>
        <v/>
      </c>
    </row>
    <row r="23">
      <c r="A23" s="4" t="inlineStr">
        <is>
          <t>João</t>
        </is>
      </c>
      <c r="B23" s="2" t="inlineStr">
        <is>
          <t>Semana 2</t>
        </is>
      </c>
      <c r="C23" s="2">
        <f>COUNTIFS('Base de Dados'!H:H,A23,'Base de Dados'!K:K,B23)</f>
        <v/>
      </c>
      <c r="D23" s="2">
        <f>COUNTIFS('Base de Dados'!H:H,A23,'Base de Dados'!K:K,B23,'Base de Dados'!I:I,"Estratégico")</f>
        <v/>
      </c>
      <c r="E23" s="2">
        <f>SUMIFS('Base de Dados'!J:J,'Base de Dados'!H:H,A23,'Base de Dados'!K:K,B23)</f>
        <v/>
      </c>
    </row>
    <row r="24">
      <c r="A24" s="4" t="inlineStr">
        <is>
          <t>João</t>
        </is>
      </c>
      <c r="B24" s="2" t="inlineStr">
        <is>
          <t>Semana 3</t>
        </is>
      </c>
      <c r="C24" s="2">
        <f>COUNTIFS('Base de Dados'!H:H,A24,'Base de Dados'!K:K,B24)</f>
        <v/>
      </c>
      <c r="D24" s="2">
        <f>COUNTIFS('Base de Dados'!H:H,A24,'Base de Dados'!K:K,B24,'Base de Dados'!I:I,"Estratégico")</f>
        <v/>
      </c>
      <c r="E24" s="2">
        <f>SUMIFS('Base de Dados'!J:J,'Base de Dados'!H:H,A24,'Base de Dados'!K:K,B24)</f>
        <v/>
      </c>
    </row>
    <row r="25">
      <c r="A25" s="4" t="inlineStr">
        <is>
          <t>João</t>
        </is>
      </c>
      <c r="B25" s="2" t="inlineStr">
        <is>
          <t>Semana 4</t>
        </is>
      </c>
      <c r="C25" s="2">
        <f>COUNTIFS('Base de Dados'!H:H,A25,'Base de Dados'!K:K,B25)</f>
        <v/>
      </c>
      <c r="D25" s="2">
        <f>COUNTIFS('Base de Dados'!H:H,A25,'Base de Dados'!K:K,B25,'Base de Dados'!I:I,"Estratégico")</f>
        <v/>
      </c>
      <c r="E25" s="2">
        <f>SUMIFS('Base de Dados'!J:J,'Base de Dados'!H:H,A25,'Base de Dados'!K:K,B25)</f>
        <v/>
      </c>
    </row>
    <row r="26">
      <c r="A26" s="4" t="inlineStr">
        <is>
          <t>Rodrigo</t>
        </is>
      </c>
      <c r="B26" s="2" t="inlineStr">
        <is>
          <t>Semana 1</t>
        </is>
      </c>
      <c r="C26" s="2">
        <f>COUNTIFS('Base de Dados'!H:H,A26,'Base de Dados'!K:K,B26)</f>
        <v/>
      </c>
      <c r="D26" s="2">
        <f>COUNTIFS('Base de Dados'!H:H,A26,'Base de Dados'!K:K,B26,'Base de Dados'!I:I,"Estratégico")</f>
        <v/>
      </c>
      <c r="E26" s="2">
        <f>SUMIFS('Base de Dados'!J:J,'Base de Dados'!H:H,A26,'Base de Dados'!K:K,B26)</f>
        <v/>
      </c>
    </row>
    <row r="27">
      <c r="A27" s="4" t="inlineStr">
        <is>
          <t>Rodrigo</t>
        </is>
      </c>
      <c r="B27" s="2" t="inlineStr">
        <is>
          <t>Semana 2</t>
        </is>
      </c>
      <c r="C27" s="2">
        <f>COUNTIFS('Base de Dados'!H:H,A27,'Base de Dados'!K:K,B27)</f>
        <v/>
      </c>
      <c r="D27" s="2">
        <f>COUNTIFS('Base de Dados'!H:H,A27,'Base de Dados'!K:K,B27,'Base de Dados'!I:I,"Estratégico")</f>
        <v/>
      </c>
      <c r="E27" s="2">
        <f>SUMIFS('Base de Dados'!J:J,'Base de Dados'!H:H,A27,'Base de Dados'!K:K,B27)</f>
        <v/>
      </c>
    </row>
    <row r="28">
      <c r="A28" s="4" t="inlineStr">
        <is>
          <t>Rodrigo</t>
        </is>
      </c>
      <c r="B28" s="2" t="inlineStr">
        <is>
          <t>Semana 3</t>
        </is>
      </c>
      <c r="C28" s="2">
        <f>COUNTIFS('Base de Dados'!H:H,A28,'Base de Dados'!K:K,B28)</f>
        <v/>
      </c>
      <c r="D28" s="2">
        <f>COUNTIFS('Base de Dados'!H:H,A28,'Base de Dados'!K:K,B28,'Base de Dados'!I:I,"Estratégico")</f>
        <v/>
      </c>
      <c r="E28" s="2">
        <f>SUMIFS('Base de Dados'!J:J,'Base de Dados'!H:H,A28,'Base de Dados'!K:K,B28)</f>
        <v/>
      </c>
    </row>
    <row r="29">
      <c r="A29" s="4" t="inlineStr">
        <is>
          <t>Rodrigo</t>
        </is>
      </c>
      <c r="B29" s="2" t="inlineStr">
        <is>
          <t>Semana 4</t>
        </is>
      </c>
      <c r="C29" s="2">
        <f>COUNTIFS('Base de Dados'!H:H,A29,'Base de Dados'!K:K,B29)</f>
        <v/>
      </c>
      <c r="D29" s="2">
        <f>COUNTIFS('Base de Dados'!H:H,A29,'Base de Dados'!K:K,B29,'Base de Dados'!I:I,"Estratégico")</f>
        <v/>
      </c>
      <c r="E29" s="2">
        <f>SUMIFS('Base de Dados'!J:J,'Base de Dados'!H:H,A29,'Base de Dados'!K:K,B29)</f>
        <v/>
      </c>
    </row>
    <row r="30">
      <c r="A30" s="4" t="inlineStr">
        <is>
          <t>Yan Aragão</t>
        </is>
      </c>
      <c r="B30" s="2" t="inlineStr">
        <is>
          <t>Semana 1</t>
        </is>
      </c>
      <c r="C30" s="2">
        <f>COUNTIFS('Base de Dados'!H:H,A30,'Base de Dados'!K:K,B30)</f>
        <v/>
      </c>
      <c r="D30" s="2">
        <f>COUNTIFS('Base de Dados'!H:H,A30,'Base de Dados'!K:K,B30,'Base de Dados'!I:I,"Estratégico")</f>
        <v/>
      </c>
      <c r="E30" s="2">
        <f>SUMIFS('Base de Dados'!J:J,'Base de Dados'!H:H,A30,'Base de Dados'!K:K,B30)</f>
        <v/>
      </c>
    </row>
    <row r="31">
      <c r="A31" s="4" t="inlineStr">
        <is>
          <t>Yan Aragão</t>
        </is>
      </c>
      <c r="B31" s="2" t="inlineStr">
        <is>
          <t>Semana 2</t>
        </is>
      </c>
      <c r="C31" s="2">
        <f>COUNTIFS('Base de Dados'!H:H,A31,'Base de Dados'!K:K,B31)</f>
        <v/>
      </c>
      <c r="D31" s="2">
        <f>COUNTIFS('Base de Dados'!H:H,A31,'Base de Dados'!K:K,B31,'Base de Dados'!I:I,"Estratégico")</f>
        <v/>
      </c>
      <c r="E31" s="2">
        <f>SUMIFS('Base de Dados'!J:J,'Base de Dados'!H:H,A31,'Base de Dados'!K:K,B31)</f>
        <v/>
      </c>
    </row>
    <row r="32">
      <c r="A32" s="4" t="inlineStr">
        <is>
          <t>Yan Aragão</t>
        </is>
      </c>
      <c r="B32" s="2" t="inlineStr">
        <is>
          <t>Semana 3</t>
        </is>
      </c>
      <c r="C32" s="2">
        <f>COUNTIFS('Base de Dados'!H:H,A32,'Base de Dados'!K:K,B32)</f>
        <v/>
      </c>
      <c r="D32" s="2">
        <f>COUNTIFS('Base de Dados'!H:H,A32,'Base de Dados'!K:K,B32,'Base de Dados'!I:I,"Estratégico")</f>
        <v/>
      </c>
      <c r="E32" s="2">
        <f>SUMIFS('Base de Dados'!J:J,'Base de Dados'!H:H,A32,'Base de Dados'!K:K,B32)</f>
        <v/>
      </c>
    </row>
    <row r="33">
      <c r="A33" s="4" t="inlineStr">
        <is>
          <t>Yan Aragão</t>
        </is>
      </c>
      <c r="B33" s="2" t="inlineStr">
        <is>
          <t>Semana 4</t>
        </is>
      </c>
      <c r="C33" s="2">
        <f>COUNTIFS('Base de Dados'!H:H,A33,'Base de Dados'!K:K,B33)</f>
        <v/>
      </c>
      <c r="D33" s="2">
        <f>COUNTIFS('Base de Dados'!H:H,A33,'Base de Dados'!K:K,B33,'Base de Dados'!I:I,"Estratégico")</f>
        <v/>
      </c>
      <c r="E33" s="2">
        <f>SUMIFS('Base de Dados'!J:J,'Base de Dados'!H:H,A33,'Base de Dados'!K:K,B33)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25" customWidth="1" min="3" max="3"/>
    <col width="14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UF</t>
        </is>
      </c>
      <c r="B1" s="1" t="inlineStr">
        <is>
          <t>Total Clientes</t>
        </is>
      </c>
      <c r="C1" s="1" t="inlineStr">
        <is>
          <t>Supervisor(es)</t>
        </is>
      </c>
      <c r="D1" s="1" t="inlineStr">
        <is>
          <t>Estratégicos</t>
        </is>
      </c>
      <c r="E1" s="1" t="inlineStr">
        <is>
          <t>Fortes</t>
        </is>
      </c>
      <c r="F1" s="1" t="inlineStr">
        <is>
          <t>Médios</t>
        </is>
      </c>
      <c r="G1" s="1" t="inlineStr">
        <is>
          <t>Pontuais</t>
        </is>
      </c>
    </row>
    <row r="2">
      <c r="A2" s="2" t="inlineStr">
        <is>
          <t>AC</t>
        </is>
      </c>
      <c r="B2" s="2">
        <f>COUNTIF('Base de Dados'!D:D,A2)</f>
        <v/>
      </c>
      <c r="C2" s="4" t="inlineStr">
        <is>
          <t>Rodrigo</t>
        </is>
      </c>
      <c r="D2" s="2">
        <f>COUNTIFS('Base de Dados'!D:D,A2,'Base de Dados'!I:I,"Estratégico")</f>
        <v/>
      </c>
      <c r="E2" s="2">
        <f>COUNTIFS('Base de Dados'!D:D,A2,'Base de Dados'!I:I,"Forte")</f>
        <v/>
      </c>
      <c r="F2" s="2">
        <f>COUNTIFS('Base de Dados'!D:D,A2,'Base de Dados'!I:I,"Médio")</f>
        <v/>
      </c>
      <c r="G2" s="2">
        <f>COUNTIFS('Base de Dados'!D:D,A2,'Base de Dados'!I:I,"Pontual")</f>
        <v/>
      </c>
    </row>
    <row r="3">
      <c r="A3" s="2" t="inlineStr">
        <is>
          <t>AL</t>
        </is>
      </c>
      <c r="B3" s="2">
        <f>COUNTIF('Base de Dados'!D:D,A3)</f>
        <v/>
      </c>
      <c r="C3" s="4" t="inlineStr">
        <is>
          <t>Rodrigo</t>
        </is>
      </c>
      <c r="D3" s="2">
        <f>COUNTIFS('Base de Dados'!D:D,A3,'Base de Dados'!I:I,"Estratégico")</f>
        <v/>
      </c>
      <c r="E3" s="2">
        <f>COUNTIFS('Base de Dados'!D:D,A3,'Base de Dados'!I:I,"Forte")</f>
        <v/>
      </c>
      <c r="F3" s="2">
        <f>COUNTIFS('Base de Dados'!D:D,A3,'Base de Dados'!I:I,"Médio")</f>
        <v/>
      </c>
      <c r="G3" s="2">
        <f>COUNTIFS('Base de Dados'!D:D,A3,'Base de Dados'!I:I,"Pontual")</f>
        <v/>
      </c>
    </row>
    <row r="4">
      <c r="A4" s="2" t="inlineStr">
        <is>
          <t>AM</t>
        </is>
      </c>
      <c r="B4" s="2">
        <f>COUNTIF('Base de Dados'!D:D,A4)</f>
        <v/>
      </c>
      <c r="C4" s="4" t="inlineStr">
        <is>
          <t>Rodrigo</t>
        </is>
      </c>
      <c r="D4" s="2">
        <f>COUNTIFS('Base de Dados'!D:D,A4,'Base de Dados'!I:I,"Estratégico")</f>
        <v/>
      </c>
      <c r="E4" s="2">
        <f>COUNTIFS('Base de Dados'!D:D,A4,'Base de Dados'!I:I,"Forte")</f>
        <v/>
      </c>
      <c r="F4" s="2">
        <f>COUNTIFS('Base de Dados'!D:D,A4,'Base de Dados'!I:I,"Médio")</f>
        <v/>
      </c>
      <c r="G4" s="2">
        <f>COUNTIFS('Base de Dados'!D:D,A4,'Base de Dados'!I:I,"Pontual")</f>
        <v/>
      </c>
    </row>
    <row r="5">
      <c r="A5" s="2" t="inlineStr">
        <is>
          <t>AP</t>
        </is>
      </c>
      <c r="B5" s="2">
        <f>COUNTIF('Base de Dados'!D:D,A5)</f>
        <v/>
      </c>
      <c r="C5" s="4" t="inlineStr">
        <is>
          <t>Rodrigo</t>
        </is>
      </c>
      <c r="D5" s="2">
        <f>COUNTIFS('Base de Dados'!D:D,A5,'Base de Dados'!I:I,"Estratégico")</f>
        <v/>
      </c>
      <c r="E5" s="2">
        <f>COUNTIFS('Base de Dados'!D:D,A5,'Base de Dados'!I:I,"Forte")</f>
        <v/>
      </c>
      <c r="F5" s="2">
        <f>COUNTIFS('Base de Dados'!D:D,A5,'Base de Dados'!I:I,"Médio")</f>
        <v/>
      </c>
      <c r="G5" s="2">
        <f>COUNTIFS('Base de Dados'!D:D,A5,'Base de Dados'!I:I,"Pontual")</f>
        <v/>
      </c>
    </row>
    <row r="6">
      <c r="A6" s="2" t="inlineStr">
        <is>
          <t>BA</t>
        </is>
      </c>
      <c r="B6" s="2">
        <f>COUNTIF('Base de Dados'!D:D,A6)</f>
        <v/>
      </c>
      <c r="C6" s="4" t="inlineStr">
        <is>
          <t>Rodrigo</t>
        </is>
      </c>
      <c r="D6" s="2">
        <f>COUNTIFS('Base de Dados'!D:D,A6,'Base de Dados'!I:I,"Estratégico")</f>
        <v/>
      </c>
      <c r="E6" s="2">
        <f>COUNTIFS('Base de Dados'!D:D,A6,'Base de Dados'!I:I,"Forte")</f>
        <v/>
      </c>
      <c r="F6" s="2">
        <f>COUNTIFS('Base de Dados'!D:D,A6,'Base de Dados'!I:I,"Médio")</f>
        <v/>
      </c>
      <c r="G6" s="2">
        <f>COUNTIFS('Base de Dados'!D:D,A6,'Base de Dados'!I:I,"Pontual")</f>
        <v/>
      </c>
    </row>
    <row r="7">
      <c r="A7" s="2" t="inlineStr">
        <is>
          <t>CE</t>
        </is>
      </c>
      <c r="B7" s="2">
        <f>COUNTIF('Base de Dados'!D:D,A7)</f>
        <v/>
      </c>
      <c r="C7" s="4" t="inlineStr">
        <is>
          <t>Rodrigo</t>
        </is>
      </c>
      <c r="D7" s="2">
        <f>COUNTIFS('Base de Dados'!D:D,A7,'Base de Dados'!I:I,"Estratégico")</f>
        <v/>
      </c>
      <c r="E7" s="2">
        <f>COUNTIFS('Base de Dados'!D:D,A7,'Base de Dados'!I:I,"Forte")</f>
        <v/>
      </c>
      <c r="F7" s="2">
        <f>COUNTIFS('Base de Dados'!D:D,A7,'Base de Dados'!I:I,"Médio")</f>
        <v/>
      </c>
      <c r="G7" s="2">
        <f>COUNTIFS('Base de Dados'!D:D,A7,'Base de Dados'!I:I,"Pontual")</f>
        <v/>
      </c>
    </row>
    <row r="8">
      <c r="A8" s="2" t="inlineStr">
        <is>
          <t>DF</t>
        </is>
      </c>
      <c r="B8" s="2">
        <f>COUNTIF('Base de Dados'!D:D,A8)</f>
        <v/>
      </c>
      <c r="C8" s="4" t="inlineStr">
        <is>
          <t>Andressa</t>
        </is>
      </c>
      <c r="D8" s="2">
        <f>COUNTIFS('Base de Dados'!D:D,A8,'Base de Dados'!I:I,"Estratégico")</f>
        <v/>
      </c>
      <c r="E8" s="2">
        <f>COUNTIFS('Base de Dados'!D:D,A8,'Base de Dados'!I:I,"Forte")</f>
        <v/>
      </c>
      <c r="F8" s="2">
        <f>COUNTIFS('Base de Dados'!D:D,A8,'Base de Dados'!I:I,"Médio")</f>
        <v/>
      </c>
      <c r="G8" s="2">
        <f>COUNTIFS('Base de Dados'!D:D,A8,'Base de Dados'!I:I,"Pontual")</f>
        <v/>
      </c>
    </row>
    <row r="9">
      <c r="A9" s="2" t="inlineStr">
        <is>
          <t>ES</t>
        </is>
      </c>
      <c r="B9" s="2">
        <f>COUNTIF('Base de Dados'!D:D,A9)</f>
        <v/>
      </c>
      <c r="C9" s="4" t="inlineStr">
        <is>
          <t>Bernard</t>
        </is>
      </c>
      <c r="D9" s="2">
        <f>COUNTIFS('Base de Dados'!D:D,A9,'Base de Dados'!I:I,"Estratégico")</f>
        <v/>
      </c>
      <c r="E9" s="2">
        <f>COUNTIFS('Base de Dados'!D:D,A9,'Base de Dados'!I:I,"Forte")</f>
        <v/>
      </c>
      <c r="F9" s="2">
        <f>COUNTIFS('Base de Dados'!D:D,A9,'Base de Dados'!I:I,"Médio")</f>
        <v/>
      </c>
      <c r="G9" s="2">
        <f>COUNTIFS('Base de Dados'!D:D,A9,'Base de Dados'!I:I,"Pontual")</f>
        <v/>
      </c>
    </row>
    <row r="10">
      <c r="A10" s="2" t="inlineStr">
        <is>
          <t>GO</t>
        </is>
      </c>
      <c r="B10" s="2">
        <f>COUNTIF('Base de Dados'!D:D,A10)</f>
        <v/>
      </c>
      <c r="C10" s="4" t="inlineStr">
        <is>
          <t>Andressa</t>
        </is>
      </c>
      <c r="D10" s="2">
        <f>COUNTIFS('Base de Dados'!D:D,A10,'Base de Dados'!I:I,"Estratégico")</f>
        <v/>
      </c>
      <c r="E10" s="2">
        <f>COUNTIFS('Base de Dados'!D:D,A10,'Base de Dados'!I:I,"Forte")</f>
        <v/>
      </c>
      <c r="F10" s="2">
        <f>COUNTIFS('Base de Dados'!D:D,A10,'Base de Dados'!I:I,"Médio")</f>
        <v/>
      </c>
      <c r="G10" s="2">
        <f>COUNTIFS('Base de Dados'!D:D,A10,'Base de Dados'!I:I,"Pontual")</f>
        <v/>
      </c>
    </row>
    <row r="11">
      <c r="A11" s="2" t="inlineStr">
        <is>
          <t>MA</t>
        </is>
      </c>
      <c r="B11" s="2">
        <f>COUNTIF('Base de Dados'!D:D,A11)</f>
        <v/>
      </c>
      <c r="C11" s="4" t="inlineStr">
        <is>
          <t>Rodrigo</t>
        </is>
      </c>
      <c r="D11" s="2">
        <f>COUNTIFS('Base de Dados'!D:D,A11,'Base de Dados'!I:I,"Estratégico")</f>
        <v/>
      </c>
      <c r="E11" s="2">
        <f>COUNTIFS('Base de Dados'!D:D,A11,'Base de Dados'!I:I,"Forte")</f>
        <v/>
      </c>
      <c r="F11" s="2">
        <f>COUNTIFS('Base de Dados'!D:D,A11,'Base de Dados'!I:I,"Médio")</f>
        <v/>
      </c>
      <c r="G11" s="2">
        <f>COUNTIFS('Base de Dados'!D:D,A11,'Base de Dados'!I:I,"Pontual")</f>
        <v/>
      </c>
    </row>
    <row r="12">
      <c r="A12" s="2" t="inlineStr">
        <is>
          <t>MG</t>
        </is>
      </c>
      <c r="B12" s="2">
        <f>COUNTIF('Base de Dados'!D:D,A12)</f>
        <v/>
      </c>
      <c r="C12" s="4" t="inlineStr">
        <is>
          <t>Andressa</t>
        </is>
      </c>
      <c r="D12" s="2">
        <f>COUNTIFS('Base de Dados'!D:D,A12,'Base de Dados'!I:I,"Estratégico")</f>
        <v/>
      </c>
      <c r="E12" s="2">
        <f>COUNTIFS('Base de Dados'!D:D,A12,'Base de Dados'!I:I,"Forte")</f>
        <v/>
      </c>
      <c r="F12" s="2">
        <f>COUNTIFS('Base de Dados'!D:D,A12,'Base de Dados'!I:I,"Médio")</f>
        <v/>
      </c>
      <c r="G12" s="2">
        <f>COUNTIFS('Base de Dados'!D:D,A12,'Base de Dados'!I:I,"Pontual")</f>
        <v/>
      </c>
    </row>
    <row r="13">
      <c r="A13" s="2" t="inlineStr">
        <is>
          <t>MS</t>
        </is>
      </c>
      <c r="B13" s="2">
        <f>COUNTIF('Base de Dados'!D:D,A13)</f>
        <v/>
      </c>
      <c r="C13" s="4" t="inlineStr">
        <is>
          <t>Yan Aragão</t>
        </is>
      </c>
      <c r="D13" s="2">
        <f>COUNTIFS('Base de Dados'!D:D,A13,'Base de Dados'!I:I,"Estratégico")</f>
        <v/>
      </c>
      <c r="E13" s="2">
        <f>COUNTIFS('Base de Dados'!D:D,A13,'Base de Dados'!I:I,"Forte")</f>
        <v/>
      </c>
      <c r="F13" s="2">
        <f>COUNTIFS('Base de Dados'!D:D,A13,'Base de Dados'!I:I,"Médio")</f>
        <v/>
      </c>
      <c r="G13" s="2">
        <f>COUNTIFS('Base de Dados'!D:D,A13,'Base de Dados'!I:I,"Pontual")</f>
        <v/>
      </c>
    </row>
    <row r="14">
      <c r="A14" s="2" t="inlineStr">
        <is>
          <t>MT</t>
        </is>
      </c>
      <c r="B14" s="2">
        <f>COUNTIF('Base de Dados'!D:D,A14)</f>
        <v/>
      </c>
      <c r="C14" s="4" t="inlineStr">
        <is>
          <t>Yan Aragão</t>
        </is>
      </c>
      <c r="D14" s="2">
        <f>COUNTIFS('Base de Dados'!D:D,A14,'Base de Dados'!I:I,"Estratégico")</f>
        <v/>
      </c>
      <c r="E14" s="2">
        <f>COUNTIFS('Base de Dados'!D:D,A14,'Base de Dados'!I:I,"Forte")</f>
        <v/>
      </c>
      <c r="F14" s="2">
        <f>COUNTIFS('Base de Dados'!D:D,A14,'Base de Dados'!I:I,"Médio")</f>
        <v/>
      </c>
      <c r="G14" s="2">
        <f>COUNTIFS('Base de Dados'!D:D,A14,'Base de Dados'!I:I,"Pontual")</f>
        <v/>
      </c>
    </row>
    <row r="15">
      <c r="A15" s="2" t="inlineStr">
        <is>
          <t>PA</t>
        </is>
      </c>
      <c r="B15" s="2">
        <f>COUNTIF('Base de Dados'!D:D,A15)</f>
        <v/>
      </c>
      <c r="C15" s="4" t="inlineStr">
        <is>
          <t>Rodrigo</t>
        </is>
      </c>
      <c r="D15" s="2">
        <f>COUNTIFS('Base de Dados'!D:D,A15,'Base de Dados'!I:I,"Estratégico")</f>
        <v/>
      </c>
      <c r="E15" s="2">
        <f>COUNTIFS('Base de Dados'!D:D,A15,'Base de Dados'!I:I,"Forte")</f>
        <v/>
      </c>
      <c r="F15" s="2">
        <f>COUNTIFS('Base de Dados'!D:D,A15,'Base de Dados'!I:I,"Médio")</f>
        <v/>
      </c>
      <c r="G15" s="2">
        <f>COUNTIFS('Base de Dados'!D:D,A15,'Base de Dados'!I:I,"Pontual")</f>
        <v/>
      </c>
    </row>
    <row r="16">
      <c r="A16" s="2" t="inlineStr">
        <is>
          <t>PB</t>
        </is>
      </c>
      <c r="B16" s="2">
        <f>COUNTIF('Base de Dados'!D:D,A16)</f>
        <v/>
      </c>
      <c r="C16" s="4" t="inlineStr">
        <is>
          <t>Rodrigo</t>
        </is>
      </c>
      <c r="D16" s="2">
        <f>COUNTIFS('Base de Dados'!D:D,A16,'Base de Dados'!I:I,"Estratégico")</f>
        <v/>
      </c>
      <c r="E16" s="2">
        <f>COUNTIFS('Base de Dados'!D:D,A16,'Base de Dados'!I:I,"Forte")</f>
        <v/>
      </c>
      <c r="F16" s="2">
        <f>COUNTIFS('Base de Dados'!D:D,A16,'Base de Dados'!I:I,"Médio")</f>
        <v/>
      </c>
      <c r="G16" s="2">
        <f>COUNTIFS('Base de Dados'!D:D,A16,'Base de Dados'!I:I,"Pontual")</f>
        <v/>
      </c>
    </row>
    <row r="17">
      <c r="A17" s="2" t="inlineStr">
        <is>
          <t>PE</t>
        </is>
      </c>
      <c r="B17" s="2">
        <f>COUNTIF('Base de Dados'!D:D,A17)</f>
        <v/>
      </c>
      <c r="C17" s="4" t="inlineStr">
        <is>
          <t>Rodrigo</t>
        </is>
      </c>
      <c r="D17" s="2">
        <f>COUNTIFS('Base de Dados'!D:D,A17,'Base de Dados'!I:I,"Estratégico")</f>
        <v/>
      </c>
      <c r="E17" s="2">
        <f>COUNTIFS('Base de Dados'!D:D,A17,'Base de Dados'!I:I,"Forte")</f>
        <v/>
      </c>
      <c r="F17" s="2">
        <f>COUNTIFS('Base de Dados'!D:D,A17,'Base de Dados'!I:I,"Médio")</f>
        <v/>
      </c>
      <c r="G17" s="2">
        <f>COUNTIFS('Base de Dados'!D:D,A17,'Base de Dados'!I:I,"Pontual")</f>
        <v/>
      </c>
    </row>
    <row r="18">
      <c r="A18" s="2" t="inlineStr">
        <is>
          <t>PI</t>
        </is>
      </c>
      <c r="B18" s="2">
        <f>COUNTIF('Base de Dados'!D:D,A18)</f>
        <v/>
      </c>
      <c r="C18" s="4" t="inlineStr">
        <is>
          <t>Rodrigo</t>
        </is>
      </c>
      <c r="D18" s="2">
        <f>COUNTIFS('Base de Dados'!D:D,A18,'Base de Dados'!I:I,"Estratégico")</f>
        <v/>
      </c>
      <c r="E18" s="2">
        <f>COUNTIFS('Base de Dados'!D:D,A18,'Base de Dados'!I:I,"Forte")</f>
        <v/>
      </c>
      <c r="F18" s="2">
        <f>COUNTIFS('Base de Dados'!D:D,A18,'Base de Dados'!I:I,"Médio")</f>
        <v/>
      </c>
      <c r="G18" s="2">
        <f>COUNTIFS('Base de Dados'!D:D,A18,'Base de Dados'!I:I,"Pontual")</f>
        <v/>
      </c>
    </row>
    <row r="19">
      <c r="A19" s="2" t="inlineStr">
        <is>
          <t>PR</t>
        </is>
      </c>
      <c r="B19" s="2">
        <f>COUNTIF('Base de Dados'!D:D,A19)</f>
        <v/>
      </c>
      <c r="C19" s="4" t="inlineStr">
        <is>
          <t>João</t>
        </is>
      </c>
      <c r="D19" s="2">
        <f>COUNTIFS('Base de Dados'!D:D,A19,'Base de Dados'!I:I,"Estratégico")</f>
        <v/>
      </c>
      <c r="E19" s="2">
        <f>COUNTIFS('Base de Dados'!D:D,A19,'Base de Dados'!I:I,"Forte")</f>
        <v/>
      </c>
      <c r="F19" s="2">
        <f>COUNTIFS('Base de Dados'!D:D,A19,'Base de Dados'!I:I,"Médio")</f>
        <v/>
      </c>
      <c r="G19" s="2">
        <f>COUNTIFS('Base de Dados'!D:D,A19,'Base de Dados'!I:I,"Pontual")</f>
        <v/>
      </c>
    </row>
    <row r="20">
      <c r="A20" s="2" t="inlineStr">
        <is>
          <t>RJ</t>
        </is>
      </c>
      <c r="B20" s="2">
        <f>COUNTIF('Base de Dados'!D:D,A20)</f>
        <v/>
      </c>
      <c r="C20" s="4" t="inlineStr">
        <is>
          <t>Andre Pacheco, Andressa</t>
        </is>
      </c>
      <c r="D20" s="2">
        <f>COUNTIFS('Base de Dados'!D:D,A20,'Base de Dados'!I:I,"Estratégico")</f>
        <v/>
      </c>
      <c r="E20" s="2">
        <f>COUNTIFS('Base de Dados'!D:D,A20,'Base de Dados'!I:I,"Forte")</f>
        <v/>
      </c>
      <c r="F20" s="2">
        <f>COUNTIFS('Base de Dados'!D:D,A20,'Base de Dados'!I:I,"Médio")</f>
        <v/>
      </c>
      <c r="G20" s="2">
        <f>COUNTIFS('Base de Dados'!D:D,A20,'Base de Dados'!I:I,"Pontual")</f>
        <v/>
      </c>
    </row>
    <row r="21">
      <c r="A21" s="2" t="inlineStr">
        <is>
          <t>RN</t>
        </is>
      </c>
      <c r="B21" s="2">
        <f>COUNTIF('Base de Dados'!D:D,A21)</f>
        <v/>
      </c>
      <c r="C21" s="4" t="inlineStr">
        <is>
          <t>Rodrigo</t>
        </is>
      </c>
      <c r="D21" s="2">
        <f>COUNTIFS('Base de Dados'!D:D,A21,'Base de Dados'!I:I,"Estratégico")</f>
        <v/>
      </c>
      <c r="E21" s="2">
        <f>COUNTIFS('Base de Dados'!D:D,A21,'Base de Dados'!I:I,"Forte")</f>
        <v/>
      </c>
      <c r="F21" s="2">
        <f>COUNTIFS('Base de Dados'!D:D,A21,'Base de Dados'!I:I,"Médio")</f>
        <v/>
      </c>
      <c r="G21" s="2">
        <f>COUNTIFS('Base de Dados'!D:D,A21,'Base de Dados'!I:I,"Pontual")</f>
        <v/>
      </c>
    </row>
    <row r="22">
      <c r="A22" s="2" t="inlineStr">
        <is>
          <t>RO</t>
        </is>
      </c>
      <c r="B22" s="2">
        <f>COUNTIF('Base de Dados'!D:D,A22)</f>
        <v/>
      </c>
      <c r="C22" s="4" t="inlineStr">
        <is>
          <t>Rodrigo</t>
        </is>
      </c>
      <c r="D22" s="2">
        <f>COUNTIFS('Base de Dados'!D:D,A22,'Base de Dados'!I:I,"Estratégico")</f>
        <v/>
      </c>
      <c r="E22" s="2">
        <f>COUNTIFS('Base de Dados'!D:D,A22,'Base de Dados'!I:I,"Forte")</f>
        <v/>
      </c>
      <c r="F22" s="2">
        <f>COUNTIFS('Base de Dados'!D:D,A22,'Base de Dados'!I:I,"Médio")</f>
        <v/>
      </c>
      <c r="G22" s="2">
        <f>COUNTIFS('Base de Dados'!D:D,A22,'Base de Dados'!I:I,"Pontual")</f>
        <v/>
      </c>
    </row>
    <row r="23">
      <c r="A23" s="2" t="inlineStr">
        <is>
          <t>RR</t>
        </is>
      </c>
      <c r="B23" s="2">
        <f>COUNTIF('Base de Dados'!D:D,A23)</f>
        <v/>
      </c>
      <c r="C23" s="4" t="inlineStr">
        <is>
          <t>Rodrigo</t>
        </is>
      </c>
      <c r="D23" s="2">
        <f>COUNTIFS('Base de Dados'!D:D,A23,'Base de Dados'!I:I,"Estratégico")</f>
        <v/>
      </c>
      <c r="E23" s="2">
        <f>COUNTIFS('Base de Dados'!D:D,A23,'Base de Dados'!I:I,"Forte")</f>
        <v/>
      </c>
      <c r="F23" s="2">
        <f>COUNTIFS('Base de Dados'!D:D,A23,'Base de Dados'!I:I,"Médio")</f>
        <v/>
      </c>
      <c r="G23" s="2">
        <f>COUNTIFS('Base de Dados'!D:D,A23,'Base de Dados'!I:I,"Pontual")</f>
        <v/>
      </c>
    </row>
    <row r="24">
      <c r="A24" s="2" t="inlineStr">
        <is>
          <t>RS</t>
        </is>
      </c>
      <c r="B24" s="2">
        <f>COUNTIF('Base de Dados'!D:D,A24)</f>
        <v/>
      </c>
      <c r="C24" s="4" t="inlineStr">
        <is>
          <t>João</t>
        </is>
      </c>
      <c r="D24" s="2">
        <f>COUNTIFS('Base de Dados'!D:D,A24,'Base de Dados'!I:I,"Estratégico")</f>
        <v/>
      </c>
      <c r="E24" s="2">
        <f>COUNTIFS('Base de Dados'!D:D,A24,'Base de Dados'!I:I,"Forte")</f>
        <v/>
      </c>
      <c r="F24" s="2">
        <f>COUNTIFS('Base de Dados'!D:D,A24,'Base de Dados'!I:I,"Médio")</f>
        <v/>
      </c>
      <c r="G24" s="2">
        <f>COUNTIFS('Base de Dados'!D:D,A24,'Base de Dados'!I:I,"Pontual")</f>
        <v/>
      </c>
    </row>
    <row r="25">
      <c r="A25" s="2" t="inlineStr">
        <is>
          <t>SC</t>
        </is>
      </c>
      <c r="B25" s="2">
        <f>COUNTIF('Base de Dados'!D:D,A25)</f>
        <v/>
      </c>
      <c r="C25" s="4" t="inlineStr">
        <is>
          <t>João</t>
        </is>
      </c>
      <c r="D25" s="2">
        <f>COUNTIFS('Base de Dados'!D:D,A25,'Base de Dados'!I:I,"Estratégico")</f>
        <v/>
      </c>
      <c r="E25" s="2">
        <f>COUNTIFS('Base de Dados'!D:D,A25,'Base de Dados'!I:I,"Forte")</f>
        <v/>
      </c>
      <c r="F25" s="2">
        <f>COUNTIFS('Base de Dados'!D:D,A25,'Base de Dados'!I:I,"Médio")</f>
        <v/>
      </c>
      <c r="G25" s="2">
        <f>COUNTIFS('Base de Dados'!D:D,A25,'Base de Dados'!I:I,"Pontual")</f>
        <v/>
      </c>
    </row>
    <row r="26">
      <c r="A26" s="2" t="inlineStr">
        <is>
          <t>SE</t>
        </is>
      </c>
      <c r="B26" s="2">
        <f>COUNTIF('Base de Dados'!D:D,A26)</f>
        <v/>
      </c>
      <c r="C26" s="4" t="inlineStr">
        <is>
          <t>Rodrigo</t>
        </is>
      </c>
      <c r="D26" s="2">
        <f>COUNTIFS('Base de Dados'!D:D,A26,'Base de Dados'!I:I,"Estratégico")</f>
        <v/>
      </c>
      <c r="E26" s="2">
        <f>COUNTIFS('Base de Dados'!D:D,A26,'Base de Dados'!I:I,"Forte")</f>
        <v/>
      </c>
      <c r="F26" s="2">
        <f>COUNTIFS('Base de Dados'!D:D,A26,'Base de Dados'!I:I,"Médio")</f>
        <v/>
      </c>
      <c r="G26" s="2">
        <f>COUNTIFS('Base de Dados'!D:D,A26,'Base de Dados'!I:I,"Pontual")</f>
        <v/>
      </c>
    </row>
    <row r="27">
      <c r="A27" s="2" t="inlineStr">
        <is>
          <t>SP</t>
        </is>
      </c>
      <c r="B27" s="2">
        <f>COUNTIF('Base de Dados'!D:D,A27)</f>
        <v/>
      </c>
      <c r="C27" s="4" t="inlineStr">
        <is>
          <t>Denilson, Fernanda</t>
        </is>
      </c>
      <c r="D27" s="2">
        <f>COUNTIFS('Base de Dados'!D:D,A27,'Base de Dados'!I:I,"Estratégico")</f>
        <v/>
      </c>
      <c r="E27" s="2">
        <f>COUNTIFS('Base de Dados'!D:D,A27,'Base de Dados'!I:I,"Forte")</f>
        <v/>
      </c>
      <c r="F27" s="2">
        <f>COUNTIFS('Base de Dados'!D:D,A27,'Base de Dados'!I:I,"Médio")</f>
        <v/>
      </c>
      <c r="G27" s="2">
        <f>COUNTIFS('Base de Dados'!D:D,A27,'Base de Dados'!I:I,"Pontual")</f>
        <v/>
      </c>
    </row>
    <row r="28">
      <c r="A28" s="2" t="inlineStr">
        <is>
          <t>TO</t>
        </is>
      </c>
      <c r="B28" s="2">
        <f>COUNTIF('Base de Dados'!D:D,A28)</f>
        <v/>
      </c>
      <c r="C28" s="4" t="inlineStr">
        <is>
          <t>Rodrigo</t>
        </is>
      </c>
      <c r="D28" s="2">
        <f>COUNTIFS('Base de Dados'!D:D,A28,'Base de Dados'!I:I,"Estratégico")</f>
        <v/>
      </c>
      <c r="E28" s="2">
        <f>COUNTIFS('Base de Dados'!D:D,A28,'Base de Dados'!I:I,"Forte")</f>
        <v/>
      </c>
      <c r="F28" s="2">
        <f>COUNTIFS('Base de Dados'!D:D,A28,'Base de Dados'!I:I,"Médio")</f>
        <v/>
      </c>
      <c r="G28" s="2">
        <f>COUNTIFS('Base de Dados'!D:D,A28,'Base de Dados'!I:I,"Pontual")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45" customWidth="1" min="4" max="4"/>
  </cols>
  <sheetData>
    <row r="1">
      <c r="A1" s="1" t="inlineStr">
        <is>
          <t>Classificação</t>
        </is>
      </c>
      <c r="B1" s="1" t="inlineStr">
        <is>
          <t>Total Clientes</t>
        </is>
      </c>
      <c r="C1" s="1" t="inlineStr">
        <is>
          <t>% do Total</t>
        </is>
      </c>
      <c r="D1" s="1" t="inlineStr">
        <is>
          <t>Prioridade Sugerida</t>
        </is>
      </c>
    </row>
    <row r="2">
      <c r="A2" s="4" t="inlineStr">
        <is>
          <t>Estratégico</t>
        </is>
      </c>
      <c r="B2" s="2">
        <f>COUNTIF('Base de Dados'!I:I,A2)</f>
        <v/>
      </c>
      <c r="C2" s="2">
        <f>ROUND(B2/SUM(B$2:B$5)*100,1)&amp;"%"</f>
        <v/>
      </c>
      <c r="D2" s="4" t="inlineStr">
        <is>
          <t>ALTA - Visitar prioritariamente</t>
        </is>
      </c>
    </row>
    <row r="3">
      <c r="A3" s="4" t="inlineStr">
        <is>
          <t>Forte</t>
        </is>
      </c>
      <c r="B3" s="2">
        <f>COUNTIF('Base de Dados'!I:I,A3)</f>
        <v/>
      </c>
      <c r="C3" s="2">
        <f>ROUND(B3/SUM(B$2:B$5)*100,1)&amp;"%"</f>
        <v/>
      </c>
      <c r="D3" s="4" t="inlineStr">
        <is>
          <t>MÉDIA - Visitar nas primeiras 2 semanas</t>
        </is>
      </c>
    </row>
    <row r="4">
      <c r="A4" s="4" t="inlineStr">
        <is>
          <t>Médio</t>
        </is>
      </c>
      <c r="B4" s="2">
        <f>COUNTIF('Base de Dados'!I:I,A4)</f>
        <v/>
      </c>
      <c r="C4" s="2">
        <f>ROUND(B4/SUM(B$2:B$5)*100,1)&amp;"%"</f>
        <v/>
      </c>
      <c r="D4" s="4" t="inlineStr">
        <is>
          <t>MÉDIA - Distribuir ao longo do mês</t>
        </is>
      </c>
    </row>
    <row r="5">
      <c r="A5" s="4" t="inlineStr">
        <is>
          <t>Pontual</t>
        </is>
      </c>
      <c r="B5" s="2">
        <f>COUNTIF('Base de Dados'!I:I,A5)</f>
        <v/>
      </c>
      <c r="C5" s="2">
        <f>ROUND(B5/SUM(B$2:B$5)*100,1)&amp;"%"</f>
        <v/>
      </c>
      <c r="D5" s="4" t="inlineStr">
        <is>
          <t>NORMAL - Visitar quando em região próxima</t>
        </is>
      </c>
    </row>
    <row r="6">
      <c r="A6" s="5" t="inlineStr">
        <is>
          <t>TOTAL</t>
        </is>
      </c>
      <c r="B6" s="6">
        <f>SUM(B2:B5)</f>
        <v/>
      </c>
      <c r="C6" s="6" t="inlineStr">
        <is>
          <t>100%</t>
        </is>
      </c>
      <c r="D6" s="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20" customWidth="1" min="4" max="4"/>
  </cols>
  <sheetData>
    <row r="1">
      <c r="A1" s="8" t="inlineStr">
        <is>
          <t>DASHBOARD EXECUTIVO - PLANEJAMENTO NACIONAL DE VISITAS</t>
        </is>
      </c>
    </row>
    <row r="3">
      <c r="A3" s="9" t="inlineStr">
        <is>
          <t>📊 INDICADORES GERAIS</t>
        </is>
      </c>
    </row>
    <row r="4">
      <c r="A4" s="10" t="inlineStr">
        <is>
          <t>Total de Clientes</t>
        </is>
      </c>
      <c r="B4" s="11">
        <f>COUNTA('Base de Dados'!A2:A881)</f>
        <v/>
      </c>
    </row>
    <row r="5">
      <c r="A5" s="10" t="inlineStr">
        <is>
          <t>Total de Supervisores</t>
        </is>
      </c>
      <c r="B5" s="11" t="inlineStr">
        <is>
          <t>8</t>
        </is>
      </c>
    </row>
    <row r="6">
      <c r="A6" s="10" t="inlineStr">
        <is>
          <t>Total de Estados</t>
        </is>
      </c>
      <c r="B6" s="11" t="inlineStr">
        <is>
          <t>27</t>
        </is>
      </c>
    </row>
    <row r="7">
      <c r="A7" s="10" t="inlineStr">
        <is>
          <t>Total de Cidades</t>
        </is>
      </c>
      <c r="B7" s="11" t="inlineStr">
        <is>
          <t>476</t>
        </is>
      </c>
    </row>
    <row r="9">
      <c r="A9" s="9" t="inlineStr">
        <is>
          <t>🎯 DISTRIBUIÇÃO POR PRIORIDADE</t>
        </is>
      </c>
    </row>
    <row r="10">
      <c r="A10" s="10" t="inlineStr">
        <is>
          <t>Alta (Estratégicos)</t>
        </is>
      </c>
      <c r="B10" s="12">
        <f>COUNTIF('Base de Dados'!L:L,"Alta")</f>
        <v/>
      </c>
      <c r="C10" s="2">
        <f>ROUND(B10/B8*100,1)&amp;"%"</f>
        <v/>
      </c>
    </row>
    <row r="11">
      <c r="A11" s="10" t="inlineStr">
        <is>
          <t>Média (Fortes)</t>
        </is>
      </c>
      <c r="B11" s="12">
        <f>COUNTIF('Base de Dados'!L:L,"Média")</f>
        <v/>
      </c>
      <c r="C11" s="2">
        <f>ROUND(B11/B8*100,1)&amp;"%"</f>
        <v/>
      </c>
    </row>
    <row r="12">
      <c r="A12" s="10" t="inlineStr">
        <is>
          <t>Normal (Demais)</t>
        </is>
      </c>
      <c r="B12" s="12">
        <f>COUNTIF('Base de Dados'!L:L,"Normal")</f>
        <v/>
      </c>
      <c r="C12" s="2">
        <f>ROUND(B12/B8*100,1)&amp;"%"</f>
        <v/>
      </c>
    </row>
    <row r="14">
      <c r="A14" s="9" t="inlineStr">
        <is>
          <t>👥 RANKING DE SUPERVISORES (por qtd de clientes)</t>
        </is>
      </c>
    </row>
    <row r="15">
      <c r="A15" s="13" t="inlineStr">
        <is>
          <t>Supervisor</t>
        </is>
      </c>
      <c r="B15" s="1" t="inlineStr">
        <is>
          <t>Clientes</t>
        </is>
      </c>
    </row>
    <row r="16">
      <c r="A16" s="4" t="inlineStr">
        <is>
          <t>Rodrigo</t>
        </is>
      </c>
      <c r="B16" s="2">
        <f>COUNTIF('Base de Dados'!H:H,A16)</f>
        <v/>
      </c>
    </row>
    <row r="17">
      <c r="A17" s="4" t="inlineStr">
        <is>
          <t>Andressa</t>
        </is>
      </c>
      <c r="B17" s="2">
        <f>COUNTIF('Base de Dados'!H:H,A17)</f>
        <v/>
      </c>
    </row>
    <row r="18">
      <c r="A18" s="4" t="inlineStr">
        <is>
          <t>João</t>
        </is>
      </c>
      <c r="B18" s="2">
        <f>COUNTIF('Base de Dados'!H:H,A18)</f>
        <v/>
      </c>
    </row>
    <row r="19">
      <c r="A19" s="4" t="inlineStr">
        <is>
          <t>Fernanda</t>
        </is>
      </c>
      <c r="B19" s="2">
        <f>COUNTIF('Base de Dados'!H:H,A19)</f>
        <v/>
      </c>
    </row>
    <row r="20">
      <c r="A20" s="4" t="inlineStr">
        <is>
          <t>Bernard</t>
        </is>
      </c>
      <c r="B20" s="2">
        <f>COUNTIF('Base de Dados'!H:H,A20)</f>
        <v/>
      </c>
    </row>
  </sheetData>
  <mergeCells count="4">
    <mergeCell ref="A1:D1"/>
    <mergeCell ref="A9:D9"/>
    <mergeCell ref="A3:D3"/>
    <mergeCell ref="A14:D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3" t="inlineStr">
        <is>
          <t>Supervisor</t>
        </is>
      </c>
      <c r="B1" s="1" t="inlineStr">
        <is>
          <t>Semana 1</t>
        </is>
      </c>
      <c r="C1" s="1" t="inlineStr">
        <is>
          <t>Semana 2</t>
        </is>
      </c>
      <c r="D1" s="1" t="inlineStr">
        <is>
          <t>Semana 3</t>
        </is>
      </c>
      <c r="E1" s="1" t="inlineStr">
        <is>
          <t>Semana 4</t>
        </is>
      </c>
      <c r="F1" s="1" t="inlineStr">
        <is>
          <t>TOTAL</t>
        </is>
      </c>
    </row>
    <row r="2">
      <c r="A2" s="10" t="inlineStr">
        <is>
          <t>Andre Pacheco</t>
        </is>
      </c>
      <c r="B2" s="2">
        <f>COUNTIFS('Base de Dados'!H:H,A2,'Base de Dados'!K:K,"Semana 1")</f>
        <v/>
      </c>
      <c r="C2" s="2">
        <f>COUNTIFS('Base de Dados'!H:H,A2,'Base de Dados'!K:K,"Semana 2")</f>
        <v/>
      </c>
      <c r="D2" s="2">
        <f>COUNTIFS('Base de Dados'!H:H,A2,'Base de Dados'!K:K,"Semana 3")</f>
        <v/>
      </c>
      <c r="E2" s="2">
        <f>COUNTIFS('Base de Dados'!H:H,A2,'Base de Dados'!K:K,"Semana 4")</f>
        <v/>
      </c>
      <c r="F2" s="6">
        <f>SUM(B2:E2)</f>
        <v/>
      </c>
    </row>
    <row r="3">
      <c r="A3" s="10" t="inlineStr">
        <is>
          <t>Andressa</t>
        </is>
      </c>
      <c r="B3" s="2">
        <f>COUNTIFS('Base de Dados'!H:H,A3,'Base de Dados'!K:K,"Semana 1")</f>
        <v/>
      </c>
      <c r="C3" s="2">
        <f>COUNTIFS('Base de Dados'!H:H,A3,'Base de Dados'!K:K,"Semana 2")</f>
        <v/>
      </c>
      <c r="D3" s="2">
        <f>COUNTIFS('Base de Dados'!H:H,A3,'Base de Dados'!K:K,"Semana 3")</f>
        <v/>
      </c>
      <c r="E3" s="2">
        <f>COUNTIFS('Base de Dados'!H:H,A3,'Base de Dados'!K:K,"Semana 4")</f>
        <v/>
      </c>
      <c r="F3" s="6">
        <f>SUM(B3:E3)</f>
        <v/>
      </c>
    </row>
    <row r="4">
      <c r="A4" s="10" t="inlineStr">
        <is>
          <t>Bernard</t>
        </is>
      </c>
      <c r="B4" s="2">
        <f>COUNTIFS('Base de Dados'!H:H,A4,'Base de Dados'!K:K,"Semana 1")</f>
        <v/>
      </c>
      <c r="C4" s="2">
        <f>COUNTIFS('Base de Dados'!H:H,A4,'Base de Dados'!K:K,"Semana 2")</f>
        <v/>
      </c>
      <c r="D4" s="2">
        <f>COUNTIFS('Base de Dados'!H:H,A4,'Base de Dados'!K:K,"Semana 3")</f>
        <v/>
      </c>
      <c r="E4" s="2">
        <f>COUNTIFS('Base de Dados'!H:H,A4,'Base de Dados'!K:K,"Semana 4")</f>
        <v/>
      </c>
      <c r="F4" s="6">
        <f>SUM(B4:E4)</f>
        <v/>
      </c>
    </row>
    <row r="5">
      <c r="A5" s="10" t="inlineStr">
        <is>
          <t>Denilson</t>
        </is>
      </c>
      <c r="B5" s="2">
        <f>COUNTIFS('Base de Dados'!H:H,A5,'Base de Dados'!K:K,"Semana 1")</f>
        <v/>
      </c>
      <c r="C5" s="2">
        <f>COUNTIFS('Base de Dados'!H:H,A5,'Base de Dados'!K:K,"Semana 2")</f>
        <v/>
      </c>
      <c r="D5" s="2">
        <f>COUNTIFS('Base de Dados'!H:H,A5,'Base de Dados'!K:K,"Semana 3")</f>
        <v/>
      </c>
      <c r="E5" s="2">
        <f>COUNTIFS('Base de Dados'!H:H,A5,'Base de Dados'!K:K,"Semana 4")</f>
        <v/>
      </c>
      <c r="F5" s="6">
        <f>SUM(B5:E5)</f>
        <v/>
      </c>
    </row>
    <row r="6">
      <c r="A6" s="10" t="inlineStr">
        <is>
          <t>Fernanda</t>
        </is>
      </c>
      <c r="B6" s="2">
        <f>COUNTIFS('Base de Dados'!H:H,A6,'Base de Dados'!K:K,"Semana 1")</f>
        <v/>
      </c>
      <c r="C6" s="2">
        <f>COUNTIFS('Base de Dados'!H:H,A6,'Base de Dados'!K:K,"Semana 2")</f>
        <v/>
      </c>
      <c r="D6" s="2">
        <f>COUNTIFS('Base de Dados'!H:H,A6,'Base de Dados'!K:K,"Semana 3")</f>
        <v/>
      </c>
      <c r="E6" s="2">
        <f>COUNTIFS('Base de Dados'!H:H,A6,'Base de Dados'!K:K,"Semana 4")</f>
        <v/>
      </c>
      <c r="F6" s="6">
        <f>SUM(B6:E6)</f>
        <v/>
      </c>
    </row>
    <row r="7">
      <c r="A7" s="10" t="inlineStr">
        <is>
          <t>João</t>
        </is>
      </c>
      <c r="B7" s="2">
        <f>COUNTIFS('Base de Dados'!H:H,A7,'Base de Dados'!K:K,"Semana 1")</f>
        <v/>
      </c>
      <c r="C7" s="2">
        <f>COUNTIFS('Base de Dados'!H:H,A7,'Base de Dados'!K:K,"Semana 2")</f>
        <v/>
      </c>
      <c r="D7" s="2">
        <f>COUNTIFS('Base de Dados'!H:H,A7,'Base de Dados'!K:K,"Semana 3")</f>
        <v/>
      </c>
      <c r="E7" s="2">
        <f>COUNTIFS('Base de Dados'!H:H,A7,'Base de Dados'!K:K,"Semana 4")</f>
        <v/>
      </c>
      <c r="F7" s="6">
        <f>SUM(B7:E7)</f>
        <v/>
      </c>
    </row>
    <row r="8">
      <c r="A8" s="10" t="inlineStr">
        <is>
          <t>Rodrigo</t>
        </is>
      </c>
      <c r="B8" s="2">
        <f>COUNTIFS('Base de Dados'!H:H,A8,'Base de Dados'!K:K,"Semana 1")</f>
        <v/>
      </c>
      <c r="C8" s="2">
        <f>COUNTIFS('Base de Dados'!H:H,A8,'Base de Dados'!K:K,"Semana 2")</f>
        <v/>
      </c>
      <c r="D8" s="2">
        <f>COUNTIFS('Base de Dados'!H:H,A8,'Base de Dados'!K:K,"Semana 3")</f>
        <v/>
      </c>
      <c r="E8" s="2">
        <f>COUNTIFS('Base de Dados'!H:H,A8,'Base de Dados'!K:K,"Semana 4")</f>
        <v/>
      </c>
      <c r="F8" s="6">
        <f>SUM(B8:E8)</f>
        <v/>
      </c>
    </row>
    <row r="9">
      <c r="A9" s="10" t="inlineStr">
        <is>
          <t>Yan Aragão</t>
        </is>
      </c>
      <c r="B9" s="2">
        <f>COUNTIFS('Base de Dados'!H:H,A9,'Base de Dados'!K:K,"Semana 1")</f>
        <v/>
      </c>
      <c r="C9" s="2">
        <f>COUNTIFS('Base de Dados'!H:H,A9,'Base de Dados'!K:K,"Semana 2")</f>
        <v/>
      </c>
      <c r="D9" s="2">
        <f>COUNTIFS('Base de Dados'!H:H,A9,'Base de Dados'!K:K,"Semana 3")</f>
        <v/>
      </c>
      <c r="E9" s="2">
        <f>COUNTIFS('Base de Dados'!H:H,A9,'Base de Dados'!K:K,"Semana 4")</f>
        <v/>
      </c>
      <c r="F9" s="6">
        <f>SUM(B9:E9)</f>
        <v/>
      </c>
    </row>
    <row r="10">
      <c r="A10" s="14" t="inlineStr">
        <is>
          <t>TOTAL</t>
        </is>
      </c>
      <c r="B10" s="15">
        <f>SUM(B2:B9)</f>
        <v/>
      </c>
      <c r="C10" s="15">
        <f>SUM(C2:C9)</f>
        <v/>
      </c>
      <c r="D10" s="15">
        <f>SUM(D2:D9)</f>
        <v/>
      </c>
      <c r="E10" s="15">
        <f>SUM(E2:E9)</f>
        <v/>
      </c>
      <c r="F10" s="15">
        <f>SUM(F2:F9)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20" customWidth="1" min="4" max="4"/>
    <col width="25" customWidth="1" min="5" max="5"/>
    <col width="45" customWidth="1" min="6" max="6"/>
  </cols>
  <sheetData>
    <row r="1">
      <c r="A1" s="1" t="inlineStr">
        <is>
          <t>Supervisor</t>
        </is>
      </c>
      <c r="B1" s="1" t="inlineStr">
        <is>
          <t>Base</t>
        </is>
      </c>
      <c r="C1" s="1" t="inlineStr">
        <is>
          <t>Distância Média (km)</t>
        </is>
      </c>
      <c r="D1" s="1" t="inlineStr">
        <is>
          <t>Distância Máxima (km)</t>
        </is>
      </c>
      <c r="E1" s="1" t="inlineStr">
        <is>
          <t>Modo Sugerido</t>
        </is>
      </c>
      <c r="F1" s="1" t="inlineStr">
        <is>
          <t>Observações</t>
        </is>
      </c>
    </row>
    <row r="2">
      <c r="A2" s="10" t="inlineStr">
        <is>
          <t>Andre Pacheco</t>
        </is>
      </c>
      <c r="B2" s="4" t="inlineStr">
        <is>
          <t>Fábrica Compactor</t>
        </is>
      </c>
      <c r="C2" s="2">
        <f>ROUND(AVERAGEIF('Base de Dados'!H:H,A2,'Base de Dados'!J:J),0)</f>
        <v/>
      </c>
      <c r="D2" s="2">
        <f>ROUND(MAX(IF('Base de Dados'!$H$2:$H$881=A2,'Base de Dados'!$J$2:$J$881)),0)</f>
        <v/>
      </c>
      <c r="E2" s="2">
        <f>IF(C2&lt;300,"Carro",IF(C2&lt;800,"Carro + Avião ocasional","Avião + Carro"))</f>
        <v/>
      </c>
      <c r="F2" s="4" t="inlineStr">
        <is>
          <t>Carro/Van - Região metropolitana</t>
        </is>
      </c>
    </row>
    <row r="3">
      <c r="A3" s="10" t="inlineStr">
        <is>
          <t>Andressa</t>
        </is>
      </c>
      <c r="B3" s="4" t="inlineStr">
        <is>
          <t>Fábrica Compactor</t>
        </is>
      </c>
      <c r="C3" s="2">
        <f>ROUND(AVERAGEIF('Base de Dados'!H:H,A3,'Base de Dados'!J:J),0)</f>
        <v/>
      </c>
      <c r="D3" s="2">
        <f>ROUND(MAX(IF('Base de Dados'!$H$2:$H$881=A3,'Base de Dados'!$J$2:$J$881)),0)</f>
        <v/>
      </c>
      <c r="E3" s="2">
        <f>IF(C3&lt;300,"Carro",IF(C3&lt;800,"Carro + Avião ocasional","Avião + Carro"))</f>
        <v/>
      </c>
      <c r="F3" s="4" t="inlineStr">
        <is>
          <t>Carro + Avião - Estados distantes (GO/DF)</t>
        </is>
      </c>
    </row>
    <row r="4">
      <c r="A4" s="10" t="inlineStr">
        <is>
          <t>Bernard</t>
        </is>
      </c>
      <c r="B4" s="4" t="inlineStr">
        <is>
          <t>Fábrica Compactor</t>
        </is>
      </c>
      <c r="C4" s="2">
        <f>ROUND(AVERAGEIF('Base de Dados'!H:H,A4,'Base de Dados'!J:J),0)</f>
        <v/>
      </c>
      <c r="D4" s="2">
        <f>ROUND(MAX(IF('Base de Dados'!$H$2:$H$881=A4,'Base de Dados'!$J$2:$J$881)),0)</f>
        <v/>
      </c>
      <c r="E4" s="2">
        <f>IF(C4&lt;300,"Carro",IF(C4&lt;800,"Carro + Avião ocasional","Avião + Carro"))</f>
        <v/>
      </c>
      <c r="F4" s="4" t="inlineStr">
        <is>
          <t>Carro - Proximidade da base</t>
        </is>
      </c>
    </row>
    <row r="5">
      <c r="A5" s="10" t="inlineStr">
        <is>
          <t>Denilson</t>
        </is>
      </c>
      <c r="B5" s="4" t="inlineStr">
        <is>
          <t>Fábrica Compactor</t>
        </is>
      </c>
      <c r="C5" s="2">
        <f>ROUND(AVERAGEIF('Base de Dados'!H:H,A5,'Base de Dados'!J:J),0)</f>
        <v/>
      </c>
      <c r="D5" s="2">
        <f>ROUND(MAX(IF('Base de Dados'!$H$2:$H$881=A5,'Base de Dados'!$J$2:$J$881)),0)</f>
        <v/>
      </c>
      <c r="E5" s="2">
        <f>IF(C5&lt;300,"Carro",IF(C5&lt;800,"Carro + Avião ocasional","Avião + Carro"))</f>
        <v/>
      </c>
      <c r="F5" s="4" t="inlineStr">
        <is>
          <t>Carro/Avião - Interior de SP</t>
        </is>
      </c>
    </row>
    <row r="6">
      <c r="A6" s="10" t="inlineStr">
        <is>
          <t>Fernanda</t>
        </is>
      </c>
      <c r="B6" s="4" t="inlineStr">
        <is>
          <t>São Paulo</t>
        </is>
      </c>
      <c r="C6" s="2">
        <f>ROUND(AVERAGEIF('Base de Dados'!H:H,A6,'Base de Dados'!J:J),0)</f>
        <v/>
      </c>
      <c r="D6" s="2">
        <f>ROUND(MAX(IF('Base de Dados'!$H$2:$H$881=A6,'Base de Dados'!$J$2:$J$881)),0)</f>
        <v/>
      </c>
      <c r="E6" s="2">
        <f>IF(C6&lt;300,"Carro",IF(C6&lt;800,"Carro + Avião ocasional","Avião + Carro"))</f>
        <v/>
      </c>
      <c r="F6" s="4" t="inlineStr">
        <is>
          <t>Carro - Região metropolitana SP</t>
        </is>
      </c>
    </row>
    <row r="7">
      <c r="A7" s="10" t="inlineStr">
        <is>
          <t>João</t>
        </is>
      </c>
      <c r="B7" s="4" t="inlineStr">
        <is>
          <t>Fábrica Compactor</t>
        </is>
      </c>
      <c r="C7" s="2">
        <f>ROUND(AVERAGEIF('Base de Dados'!H:H,A7,'Base de Dados'!J:J),0)</f>
        <v/>
      </c>
      <c r="D7" s="2">
        <f>ROUND(MAX(IF('Base de Dados'!$H$2:$H$881=A7,'Base de Dados'!$J$2:$J$881)),0)</f>
        <v/>
      </c>
      <c r="E7" s="2">
        <f>IF(C7&lt;300,"Carro",IF(C7&lt;800,"Carro + Avião ocasional","Avião + Carro"))</f>
        <v/>
      </c>
      <c r="F7" s="4" t="inlineStr">
        <is>
          <t>Avião + Carro - Região Sul</t>
        </is>
      </c>
    </row>
    <row r="8">
      <c r="A8" s="10" t="inlineStr">
        <is>
          <t>Rodrigo</t>
        </is>
      </c>
      <c r="B8" s="4" t="inlineStr">
        <is>
          <t>Recife</t>
        </is>
      </c>
      <c r="C8" s="2">
        <f>ROUND(AVERAGEIF('Base de Dados'!H:H,A8,'Base de Dados'!J:J),0)</f>
        <v/>
      </c>
      <c r="D8" s="2">
        <f>ROUND(MAX(IF('Base de Dados'!$H$2:$H$881=A8,'Base de Dados'!$J$2:$J$881)),0)</f>
        <v/>
      </c>
      <c r="E8" s="2">
        <f>IF(C8&lt;300,"Carro",IF(C8&lt;800,"Carro + Avião ocasional","Avião + Carro"))</f>
        <v/>
      </c>
      <c r="F8" s="4" t="inlineStr">
        <is>
          <t>Avião + Carro - Norte e Nordeste</t>
        </is>
      </c>
    </row>
    <row r="9">
      <c r="A9" s="10" t="inlineStr">
        <is>
          <t>Yan Aragão</t>
        </is>
      </c>
      <c r="B9" s="4" t="inlineStr">
        <is>
          <t>Fábrica Compactor</t>
        </is>
      </c>
      <c r="C9" s="2">
        <f>ROUND(AVERAGEIF('Base de Dados'!H:H,A9,'Base de Dados'!J:J),0)</f>
        <v/>
      </c>
      <c r="D9" s="2">
        <f>ROUND(MAX(IF('Base de Dados'!$H$2:$H$881=A9,'Base de Dados'!$J$2:$J$881)),0)</f>
        <v/>
      </c>
      <c r="E9" s="2">
        <f>IF(C9&lt;300,"Carro",IF(C9&lt;800,"Carro + Avião ocasional","Avião + Carro"))</f>
        <v/>
      </c>
      <c r="F9" s="4" t="inlineStr">
        <is>
          <t>Avião + Carro - Centro-Oeste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8" customWidth="1" min="4" max="4"/>
    <col width="25" customWidth="1" min="5" max="5"/>
    <col width="25" customWidth="1" min="6" max="6"/>
  </cols>
  <sheetData>
    <row r="1">
      <c r="A1" s="1" t="inlineStr">
        <is>
          <t>UF</t>
        </is>
      </c>
      <c r="B1" s="1" t="inlineStr">
        <is>
          <t>Região</t>
        </is>
      </c>
      <c r="C1" s="1" t="inlineStr">
        <is>
          <t>Total Clientes</t>
        </is>
      </c>
      <c r="D1" s="1" t="inlineStr">
        <is>
          <t>Cidades Atendidas</t>
        </is>
      </c>
      <c r="E1" s="1" t="inlineStr">
        <is>
          <t>Densidade (Clientes/Cidade)</t>
        </is>
      </c>
      <c r="F1" s="1" t="inlineStr">
        <is>
          <t>Classificação Densidade</t>
        </is>
      </c>
    </row>
    <row r="2">
      <c r="A2" s="16" t="inlineStr">
        <is>
          <t>AC</t>
        </is>
      </c>
      <c r="B2" s="4" t="inlineStr">
        <is>
          <t>NORTE</t>
        </is>
      </c>
      <c r="C2" s="2">
        <f>COUNTIF('Base de Dados'!D:D,A2)</f>
        <v/>
      </c>
      <c r="D2" s="2" t="n">
        <v>2</v>
      </c>
      <c r="E2" s="2">
        <f>ROUND(C2/D2,1)</f>
        <v/>
      </c>
      <c r="F2" s="2">
        <f>IF(E2&gt;=3,"Alta (&gt;3)",IF(E2&gt;=1.5,"Média (1.5-3)","Baixa (&lt;1.5)"))</f>
        <v/>
      </c>
    </row>
    <row r="3">
      <c r="A3" s="16" t="inlineStr">
        <is>
          <t>AL</t>
        </is>
      </c>
      <c r="B3" s="4" t="inlineStr">
        <is>
          <t>NORDESTE</t>
        </is>
      </c>
      <c r="C3" s="2">
        <f>COUNTIF('Base de Dados'!D:D,A3)</f>
        <v/>
      </c>
      <c r="D3" s="2" t="n">
        <v>10</v>
      </c>
      <c r="E3" s="2">
        <f>ROUND(C3/D3,1)</f>
        <v/>
      </c>
      <c r="F3" s="2">
        <f>IF(E3&gt;=3,"Alta (&gt;3)",IF(E3&gt;=1.5,"Média (1.5-3)","Baixa (&lt;1.5)"))</f>
        <v/>
      </c>
    </row>
    <row r="4">
      <c r="A4" s="16" t="inlineStr">
        <is>
          <t>AM</t>
        </is>
      </c>
      <c r="B4" s="4" t="inlineStr">
        <is>
          <t>NORTE</t>
        </is>
      </c>
      <c r="C4" s="2">
        <f>COUNTIF('Base de Dados'!D:D,A4)</f>
        <v/>
      </c>
      <c r="D4" s="2" t="n">
        <v>3</v>
      </c>
      <c r="E4" s="2">
        <f>ROUND(C4/D4,1)</f>
        <v/>
      </c>
      <c r="F4" s="2">
        <f>IF(E4&gt;=3,"Alta (&gt;3)",IF(E4&gt;=1.5,"Média (1.5-3)","Baixa (&lt;1.5)"))</f>
        <v/>
      </c>
    </row>
    <row r="5">
      <c r="A5" s="16" t="inlineStr">
        <is>
          <t>AP</t>
        </is>
      </c>
      <c r="B5" s="4" t="inlineStr">
        <is>
          <t>NORTE</t>
        </is>
      </c>
      <c r="C5" s="2">
        <f>COUNTIF('Base de Dados'!D:D,A5)</f>
        <v/>
      </c>
      <c r="D5" s="2" t="n">
        <v>2</v>
      </c>
      <c r="E5" s="2">
        <f>ROUND(C5/D5,1)</f>
        <v/>
      </c>
      <c r="F5" s="2">
        <f>IF(E5&gt;=3,"Alta (&gt;3)",IF(E5&gt;=1.5,"Média (1.5-3)","Baixa (&lt;1.5)"))</f>
        <v/>
      </c>
    </row>
    <row r="6">
      <c r="A6" s="16" t="inlineStr">
        <is>
          <t>BA</t>
        </is>
      </c>
      <c r="B6" s="4" t="inlineStr">
        <is>
          <t>NORDESTE</t>
        </is>
      </c>
      <c r="C6" s="2">
        <f>COUNTIF('Base de Dados'!D:D,A6)</f>
        <v/>
      </c>
      <c r="D6" s="2" t="n">
        <v>26</v>
      </c>
      <c r="E6" s="2">
        <f>ROUND(C6/D6,1)</f>
        <v/>
      </c>
      <c r="F6" s="2">
        <f>IF(E6&gt;=3,"Alta (&gt;3)",IF(E6&gt;=1.5,"Média (1.5-3)","Baixa (&lt;1.5)"))</f>
        <v/>
      </c>
    </row>
    <row r="7">
      <c r="A7" s="16" t="inlineStr">
        <is>
          <t>CE</t>
        </is>
      </c>
      <c r="B7" s="4" t="inlineStr">
        <is>
          <t>NORDESTE</t>
        </is>
      </c>
      <c r="C7" s="2">
        <f>COUNTIF('Base de Dados'!D:D,A7)</f>
        <v/>
      </c>
      <c r="D7" s="2" t="n">
        <v>10</v>
      </c>
      <c r="E7" s="2">
        <f>ROUND(C7/D7,1)</f>
        <v/>
      </c>
      <c r="F7" s="2">
        <f>IF(E7&gt;=3,"Alta (&gt;3)",IF(E7&gt;=1.5,"Média (1.5-3)","Baixa (&lt;1.5)"))</f>
        <v/>
      </c>
    </row>
    <row r="8">
      <c r="A8" s="16" t="inlineStr">
        <is>
          <t>DF</t>
        </is>
      </c>
      <c r="B8" s="4" t="inlineStr">
        <is>
          <t>CENTRO-OESTE</t>
        </is>
      </c>
      <c r="C8" s="2">
        <f>COUNTIF('Base de Dados'!D:D,A8)</f>
        <v/>
      </c>
      <c r="D8" s="2" t="n">
        <v>2</v>
      </c>
      <c r="E8" s="2">
        <f>ROUND(C8/D8,1)</f>
        <v/>
      </c>
      <c r="F8" s="2">
        <f>IF(E8&gt;=3,"Alta (&gt;3)",IF(E8&gt;=1.5,"Média (1.5-3)","Baixa (&lt;1.5)"))</f>
        <v/>
      </c>
    </row>
    <row r="9">
      <c r="A9" s="16" t="inlineStr">
        <is>
          <t>ES</t>
        </is>
      </c>
      <c r="B9" s="4" t="inlineStr">
        <is>
          <t>SUDESTE</t>
        </is>
      </c>
      <c r="C9" s="2">
        <f>COUNTIF('Base de Dados'!D:D,A9)</f>
        <v/>
      </c>
      <c r="D9" s="2" t="n">
        <v>32</v>
      </c>
      <c r="E9" s="2">
        <f>ROUND(C9/D9,1)</f>
        <v/>
      </c>
      <c r="F9" s="2">
        <f>IF(E9&gt;=3,"Alta (&gt;3)",IF(E9&gt;=1.5,"Média (1.5-3)","Baixa (&lt;1.5)"))</f>
        <v/>
      </c>
    </row>
    <row r="10">
      <c r="A10" s="16" t="inlineStr">
        <is>
          <t>GO</t>
        </is>
      </c>
      <c r="B10" s="4" t="inlineStr">
        <is>
          <t>CENTRO-OESTE</t>
        </is>
      </c>
      <c r="C10" s="2">
        <f>COUNTIF('Base de Dados'!D:D,A10)</f>
        <v/>
      </c>
      <c r="D10" s="2" t="n">
        <v>16</v>
      </c>
      <c r="E10" s="2">
        <f>ROUND(C10/D10,1)</f>
        <v/>
      </c>
      <c r="F10" s="2">
        <f>IF(E10&gt;=3,"Alta (&gt;3)",IF(E10&gt;=1.5,"Média (1.5-3)","Baixa (&lt;1.5)"))</f>
        <v/>
      </c>
    </row>
    <row r="11">
      <c r="A11" s="16" t="inlineStr">
        <is>
          <t>MA</t>
        </is>
      </c>
      <c r="B11" s="4" t="inlineStr">
        <is>
          <t>NORDESTE</t>
        </is>
      </c>
      <c r="C11" s="2">
        <f>COUNTIF('Base de Dados'!D:D,A11)</f>
        <v/>
      </c>
      <c r="D11" s="2" t="n">
        <v>9</v>
      </c>
      <c r="E11" s="2">
        <f>ROUND(C11/D11,1)</f>
        <v/>
      </c>
      <c r="F11" s="2">
        <f>IF(E11&gt;=3,"Alta (&gt;3)",IF(E11&gt;=1.5,"Média (1.5-3)","Baixa (&lt;1.5)"))</f>
        <v/>
      </c>
    </row>
    <row r="12">
      <c r="A12" s="16" t="inlineStr">
        <is>
          <t>MG</t>
        </is>
      </c>
      <c r="B12" s="4" t="inlineStr">
        <is>
          <t>SUDESTE</t>
        </is>
      </c>
      <c r="C12" s="2">
        <f>COUNTIF('Base de Dados'!D:D,A12)</f>
        <v/>
      </c>
      <c r="D12" s="2" t="n">
        <v>58</v>
      </c>
      <c r="E12" s="2">
        <f>ROUND(C12/D12,1)</f>
        <v/>
      </c>
      <c r="F12" s="2">
        <f>IF(E12&gt;=3,"Alta (&gt;3)",IF(E12&gt;=1.5,"Média (1.5-3)","Baixa (&lt;1.5)"))</f>
        <v/>
      </c>
    </row>
    <row r="13">
      <c r="A13" s="16" t="inlineStr">
        <is>
          <t>MS</t>
        </is>
      </c>
      <c r="B13" s="4" t="inlineStr">
        <is>
          <t>CENTRO-OESTE</t>
        </is>
      </c>
      <c r="C13" s="2">
        <f>COUNTIF('Base de Dados'!D:D,A13)</f>
        <v/>
      </c>
      <c r="D13" s="2" t="n">
        <v>3</v>
      </c>
      <c r="E13" s="2">
        <f>ROUND(C13/D13,1)</f>
        <v/>
      </c>
      <c r="F13" s="2">
        <f>IF(E13&gt;=3,"Alta (&gt;3)",IF(E13&gt;=1.5,"Média (1.5-3)","Baixa (&lt;1.5)"))</f>
        <v/>
      </c>
    </row>
    <row r="14">
      <c r="A14" s="16" t="inlineStr">
        <is>
          <t>MT</t>
        </is>
      </c>
      <c r="B14" s="4" t="inlineStr">
        <is>
          <t>CENTRO-OESTE</t>
        </is>
      </c>
      <c r="C14" s="2">
        <f>COUNTIF('Base de Dados'!D:D,A14)</f>
        <v/>
      </c>
      <c r="D14" s="2" t="n">
        <v>10</v>
      </c>
      <c r="E14" s="2">
        <f>ROUND(C14/D14,1)</f>
        <v/>
      </c>
      <c r="F14" s="2">
        <f>IF(E14&gt;=3,"Alta (&gt;3)",IF(E14&gt;=1.5,"Média (1.5-3)","Baixa (&lt;1.5)"))</f>
        <v/>
      </c>
    </row>
    <row r="15">
      <c r="A15" s="16" t="inlineStr">
        <is>
          <t>PA</t>
        </is>
      </c>
      <c r="B15" s="4" t="inlineStr">
        <is>
          <t>NORTE</t>
        </is>
      </c>
      <c r="C15" s="2">
        <f>COUNTIF('Base de Dados'!D:D,A15)</f>
        <v/>
      </c>
      <c r="D15" s="2" t="n">
        <v>38</v>
      </c>
      <c r="E15" s="2">
        <f>ROUND(C15/D15,1)</f>
        <v/>
      </c>
      <c r="F15" s="2">
        <f>IF(E15&gt;=3,"Alta (&gt;3)",IF(E15&gt;=1.5,"Média (1.5-3)","Baixa (&lt;1.5)"))</f>
        <v/>
      </c>
    </row>
    <row r="16">
      <c r="A16" s="16" t="inlineStr">
        <is>
          <t>PB</t>
        </is>
      </c>
      <c r="B16" s="4" t="inlineStr">
        <is>
          <t>NORDESTE</t>
        </is>
      </c>
      <c r="C16" s="2">
        <f>COUNTIF('Base de Dados'!D:D,A16)</f>
        <v/>
      </c>
      <c r="D16" s="2" t="n">
        <v>14</v>
      </c>
      <c r="E16" s="2">
        <f>ROUND(C16/D16,1)</f>
        <v/>
      </c>
      <c r="F16" s="2">
        <f>IF(E16&gt;=3,"Alta (&gt;3)",IF(E16&gt;=1.5,"Média (1.5-3)","Baixa (&lt;1.5)"))</f>
        <v/>
      </c>
    </row>
    <row r="17">
      <c r="A17" s="16" t="inlineStr">
        <is>
          <t>PE</t>
        </is>
      </c>
      <c r="B17" s="4" t="inlineStr">
        <is>
          <t>NORDESTE</t>
        </is>
      </c>
      <c r="C17" s="2">
        <f>COUNTIF('Base de Dados'!D:D,A17)</f>
        <v/>
      </c>
      <c r="D17" s="2" t="n">
        <v>44</v>
      </c>
      <c r="E17" s="2">
        <f>ROUND(C17/D17,1)</f>
        <v/>
      </c>
      <c r="F17" s="2">
        <f>IF(E17&gt;=3,"Alta (&gt;3)",IF(E17&gt;=1.5,"Média (1.5-3)","Baixa (&lt;1.5)"))</f>
        <v/>
      </c>
    </row>
    <row r="18">
      <c r="A18" s="16" t="inlineStr">
        <is>
          <t>PI</t>
        </is>
      </c>
      <c r="B18" s="4" t="inlineStr">
        <is>
          <t>NORDESTE</t>
        </is>
      </c>
      <c r="C18" s="2">
        <f>COUNTIF('Base de Dados'!D:D,A18)</f>
        <v/>
      </c>
      <c r="D18" s="2" t="n">
        <v>4</v>
      </c>
      <c r="E18" s="2">
        <f>ROUND(C18/D18,1)</f>
        <v/>
      </c>
      <c r="F18" s="2">
        <f>IF(E18&gt;=3,"Alta (&gt;3)",IF(E18&gt;=1.5,"Média (1.5-3)","Baixa (&lt;1.5)"))</f>
        <v/>
      </c>
    </row>
    <row r="19">
      <c r="A19" s="16" t="inlineStr">
        <is>
          <t>PR</t>
        </is>
      </c>
      <c r="B19" s="4" t="inlineStr">
        <is>
          <t>SUL</t>
        </is>
      </c>
      <c r="C19" s="2">
        <f>COUNTIF('Base de Dados'!D:D,A19)</f>
        <v/>
      </c>
      <c r="D19" s="2" t="n">
        <v>26</v>
      </c>
      <c r="E19" s="2">
        <f>ROUND(C19/D19,1)</f>
        <v/>
      </c>
      <c r="F19" s="2">
        <f>IF(E19&gt;=3,"Alta (&gt;3)",IF(E19&gt;=1.5,"Média (1.5-3)","Baixa (&lt;1.5)"))</f>
        <v/>
      </c>
    </row>
    <row r="20">
      <c r="A20" s="16" t="inlineStr">
        <is>
          <t>RJ</t>
        </is>
      </c>
      <c r="B20" s="4" t="inlineStr">
        <is>
          <t>SUDESTE</t>
        </is>
      </c>
      <c r="C20" s="2">
        <f>COUNTIF('Base de Dados'!D:D,A20)</f>
        <v/>
      </c>
      <c r="D20" s="2" t="n">
        <v>37</v>
      </c>
      <c r="E20" s="2">
        <f>ROUND(C20/D20,1)</f>
        <v/>
      </c>
      <c r="F20" s="2">
        <f>IF(E20&gt;=3,"Alta (&gt;3)",IF(E20&gt;=1.5,"Média (1.5-3)","Baixa (&lt;1.5)"))</f>
        <v/>
      </c>
    </row>
    <row r="21">
      <c r="A21" s="16" t="inlineStr">
        <is>
          <t>RN</t>
        </is>
      </c>
      <c r="B21" s="4" t="inlineStr">
        <is>
          <t>NORDESTE</t>
        </is>
      </c>
      <c r="C21" s="2">
        <f>COUNTIF('Base de Dados'!D:D,A21)</f>
        <v/>
      </c>
      <c r="D21" s="2" t="n">
        <v>11</v>
      </c>
      <c r="E21" s="2">
        <f>ROUND(C21/D21,1)</f>
        <v/>
      </c>
      <c r="F21" s="2">
        <f>IF(E21&gt;=3,"Alta (&gt;3)",IF(E21&gt;=1.5,"Média (1.5-3)","Baixa (&lt;1.5)"))</f>
        <v/>
      </c>
    </row>
    <row r="22">
      <c r="A22" s="16" t="inlineStr">
        <is>
          <t>RO</t>
        </is>
      </c>
      <c r="B22" s="4" t="inlineStr">
        <is>
          <t>NORTE</t>
        </is>
      </c>
      <c r="C22" s="2">
        <f>COUNTIF('Base de Dados'!D:D,A22)</f>
        <v/>
      </c>
      <c r="D22" s="2" t="n">
        <v>6</v>
      </c>
      <c r="E22" s="2">
        <f>ROUND(C22/D22,1)</f>
        <v/>
      </c>
      <c r="F22" s="2">
        <f>IF(E22&gt;=3,"Alta (&gt;3)",IF(E22&gt;=1.5,"Média (1.5-3)","Baixa (&lt;1.5)"))</f>
        <v/>
      </c>
    </row>
    <row r="23">
      <c r="A23" s="16" t="inlineStr">
        <is>
          <t>RR</t>
        </is>
      </c>
      <c r="B23" s="4" t="inlineStr">
        <is>
          <t>NORTE</t>
        </is>
      </c>
      <c r="C23" s="2">
        <f>COUNTIF('Base de Dados'!D:D,A23)</f>
        <v/>
      </c>
      <c r="D23" s="2" t="n">
        <v>1</v>
      </c>
      <c r="E23" s="2">
        <f>ROUND(C23/D23,1)</f>
        <v/>
      </c>
      <c r="F23" s="2">
        <f>IF(E23&gt;=3,"Alta (&gt;3)",IF(E23&gt;=1.5,"Média (1.5-3)","Baixa (&lt;1.5)"))</f>
        <v/>
      </c>
    </row>
    <row r="24">
      <c r="A24" s="16" t="inlineStr">
        <is>
          <t>RS</t>
        </is>
      </c>
      <c r="B24" s="4" t="inlineStr">
        <is>
          <t>SUL</t>
        </is>
      </c>
      <c r="C24" s="2">
        <f>COUNTIF('Base de Dados'!D:D,A24)</f>
        <v/>
      </c>
      <c r="D24" s="2" t="n">
        <v>23</v>
      </c>
      <c r="E24" s="2">
        <f>ROUND(C24/D24,1)</f>
        <v/>
      </c>
      <c r="F24" s="2">
        <f>IF(E24&gt;=3,"Alta (&gt;3)",IF(E24&gt;=1.5,"Média (1.5-3)","Baixa (&lt;1.5)"))</f>
        <v/>
      </c>
    </row>
    <row r="25">
      <c r="A25" s="16" t="inlineStr">
        <is>
          <t>SC</t>
        </is>
      </c>
      <c r="B25" s="4" t="inlineStr">
        <is>
          <t>SUL</t>
        </is>
      </c>
      <c r="C25" s="2">
        <f>COUNTIF('Base de Dados'!D:D,A25)</f>
        <v/>
      </c>
      <c r="D25" s="2" t="n">
        <v>20</v>
      </c>
      <c r="E25" s="2">
        <f>ROUND(C25/D25,1)</f>
        <v/>
      </c>
      <c r="F25" s="2">
        <f>IF(E25&gt;=3,"Alta (&gt;3)",IF(E25&gt;=1.5,"Média (1.5-3)","Baixa (&lt;1.5)"))</f>
        <v/>
      </c>
    </row>
    <row r="26">
      <c r="A26" s="16" t="inlineStr">
        <is>
          <t>SE</t>
        </is>
      </c>
      <c r="B26" s="4" t="inlineStr">
        <is>
          <t>NORDESTE</t>
        </is>
      </c>
      <c r="C26" s="2">
        <f>COUNTIF('Base de Dados'!D:D,A26)</f>
        <v/>
      </c>
      <c r="D26" s="2" t="n">
        <v>6</v>
      </c>
      <c r="E26" s="2">
        <f>ROUND(C26/D26,1)</f>
        <v/>
      </c>
      <c r="F26" s="2">
        <f>IF(E26&gt;=3,"Alta (&gt;3)",IF(E26&gt;=1.5,"Média (1.5-3)","Baixa (&lt;1.5)"))</f>
        <v/>
      </c>
    </row>
    <row r="27">
      <c r="A27" s="16" t="inlineStr">
        <is>
          <t>SP</t>
        </is>
      </c>
      <c r="B27" s="4" t="inlineStr">
        <is>
          <t>SUDESTE</t>
        </is>
      </c>
      <c r="C27" s="2">
        <f>COUNTIF('Base de Dados'!D:D,A27)</f>
        <v/>
      </c>
      <c r="D27" s="2" t="n">
        <v>57</v>
      </c>
      <c r="E27" s="2">
        <f>ROUND(C27/D27,1)</f>
        <v/>
      </c>
      <c r="F27" s="2">
        <f>IF(E27&gt;=3,"Alta (&gt;3)",IF(E27&gt;=1.5,"Média (1.5-3)","Baixa (&lt;1.5)"))</f>
        <v/>
      </c>
    </row>
    <row r="28">
      <c r="A28" s="16" t="inlineStr">
        <is>
          <t>TO</t>
        </is>
      </c>
      <c r="B28" s="4" t="inlineStr">
        <is>
          <t>NORTE</t>
        </is>
      </c>
      <c r="C28" s="2">
        <f>COUNTIF('Base de Dados'!D:D,A28)</f>
        <v/>
      </c>
      <c r="D28" s="2" t="n">
        <v>7</v>
      </c>
      <c r="E28" s="2">
        <f>ROUND(C28/D28,1)</f>
        <v/>
      </c>
      <c r="F28" s="2">
        <f>IF(E28&gt;=3,"Alta (&gt;3)",IF(E28&gt;=1.5,"Média (1.5-3)","Baixa (&lt;1.5)"))</f>
        <v/>
      </c>
    </row>
    <row r="29">
      <c r="A29" s="14" t="inlineStr">
        <is>
          <t>TOTAL BRASIL</t>
        </is>
      </c>
      <c r="B29" s="17" t="inlineStr">
        <is>
          <t>Todas</t>
        </is>
      </c>
      <c r="C29" s="15">
        <f>SUM(C2:C28)</f>
        <v/>
      </c>
      <c r="D29" s="15">
        <f>SUM(D2:D28)</f>
        <v/>
      </c>
      <c r="E29" s="15">
        <f>ROUND(C29/D29,1)</f>
        <v/>
      </c>
      <c r="F29" s="18" t="inlineStr">
        <is>
          <t>Densidade Nacional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Bloco</t>
        </is>
      </c>
      <c r="B1" s="1" t="inlineStr">
        <is>
          <t>Supervisor</t>
        </is>
      </c>
      <c r="C1" s="1" t="inlineStr">
        <is>
          <t>UF</t>
        </is>
      </c>
      <c r="D1" s="1" t="inlineStr">
        <is>
          <t>Semana</t>
        </is>
      </c>
      <c r="E1" s="1" t="inlineStr">
        <is>
          <t>Clientes</t>
        </is>
      </c>
      <c r="F1" s="1" t="inlineStr">
        <is>
          <t>Estratégicos</t>
        </is>
      </c>
      <c r="G1" s="1" t="inlineStr">
        <is>
          <t>KM Estimado</t>
        </is>
      </c>
      <c r="H1" s="1" t="inlineStr">
        <is>
          <t>Prioridade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Bloco</t>
        </is>
      </c>
      <c r="B1" s="1" t="inlineStr">
        <is>
          <t>Supervisor</t>
        </is>
      </c>
      <c r="C1" s="1" t="inlineStr">
        <is>
          <t>UF</t>
        </is>
      </c>
      <c r="D1" s="1" t="inlineStr">
        <is>
          <t>Semana</t>
        </is>
      </c>
      <c r="E1" s="1" t="inlineStr">
        <is>
          <t>Clientes</t>
        </is>
      </c>
      <c r="F1" s="1" t="inlineStr">
        <is>
          <t>Estratégicos</t>
        </is>
      </c>
      <c r="G1" s="1" t="inlineStr">
        <is>
          <t>KM Estimado</t>
        </is>
      </c>
      <c r="H1" s="1" t="inlineStr">
        <is>
          <t>Prioridade</t>
        </is>
      </c>
    </row>
    <row r="2">
      <c r="A2" s="2" t="inlineStr">
        <is>
          <t>BL-001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6" customWidth="1" min="3" max="3"/>
    <col width="12" customWidth="1" min="4" max="4"/>
    <col width="10" customWidth="1" min="5" max="5"/>
    <col width="14" customWidth="1" min="6" max="6"/>
    <col width="14" customWidth="1" min="7" max="7"/>
    <col width="12" customWidth="1" min="8" max="8"/>
  </cols>
  <sheetData>
    <row r="1">
      <c r="A1" s="1" t="inlineStr">
        <is>
          <t>Bloco</t>
        </is>
      </c>
      <c r="B1" s="1" t="inlineStr">
        <is>
          <t>Supervisor</t>
        </is>
      </c>
      <c r="C1" s="1" t="inlineStr">
        <is>
          <t>UF</t>
        </is>
      </c>
      <c r="D1" s="1" t="inlineStr">
        <is>
          <t>Semana</t>
        </is>
      </c>
      <c r="E1" s="1" t="inlineStr">
        <is>
          <t>Clientes</t>
        </is>
      </c>
      <c r="F1" s="1" t="inlineStr">
        <is>
          <t>Estratégicos</t>
        </is>
      </c>
      <c r="G1" s="1" t="inlineStr">
        <is>
          <t>KM Estimado</t>
        </is>
      </c>
      <c r="H1" s="1" t="inlineStr">
        <is>
          <t>Prioridade</t>
        </is>
      </c>
    </row>
    <row r="2">
      <c r="A2" s="16" t="inlineStr">
        <is>
          <t>BL-001</t>
        </is>
      </c>
      <c r="B2" s="4" t="inlineStr">
        <is>
          <t>Andre Pacheco</t>
        </is>
      </c>
      <c r="C2" s="2" t="inlineStr">
        <is>
          <t>RJ</t>
        </is>
      </c>
      <c r="D2" s="2" t="inlineStr">
        <is>
          <t>Semana 1</t>
        </is>
      </c>
      <c r="E2" s="2">
        <f>COUNTIFS('Base de Dados'!H:H,B2,'Base de Dados'!D:D,C2,'Base de Dados'!K:K,D2)</f>
        <v/>
      </c>
      <c r="F2" s="2">
        <f>COUNTIFS('Base de Dados'!H:H,B2,'Base de Dados'!D:D,C2,'Base de Dados'!K:K,D2,'Base de Dados'!I:I,"Estratégico")</f>
        <v/>
      </c>
      <c r="G2" s="2">
        <f>SUMIFS('Base de Dados'!J:J,'Base de Dados'!H:H,B2,'Base de Dados'!D:D,C2,'Base de Dados'!K:K,D2)</f>
        <v/>
      </c>
      <c r="H2" s="2">
        <f>IF(F2&gt;=3,"ALTA",IF(F2&gt;=1,"MÉDIA","NORMAL"))</f>
        <v/>
      </c>
    </row>
    <row r="3">
      <c r="A3" s="16" t="inlineStr">
        <is>
          <t>BL-002</t>
        </is>
      </c>
      <c r="B3" s="4" t="inlineStr">
        <is>
          <t>Andre Pacheco</t>
        </is>
      </c>
      <c r="C3" s="2" t="inlineStr">
        <is>
          <t>RJ</t>
        </is>
      </c>
      <c r="D3" s="2" t="inlineStr">
        <is>
          <t>Semana 2</t>
        </is>
      </c>
      <c r="E3" s="2">
        <f>COUNTIFS('Base de Dados'!H:H,B3,'Base de Dados'!D:D,C3,'Base de Dados'!K:K,D3)</f>
        <v/>
      </c>
      <c r="F3" s="2">
        <f>COUNTIFS('Base de Dados'!H:H,B3,'Base de Dados'!D:D,C3,'Base de Dados'!K:K,D3,'Base de Dados'!I:I,"Estratégico")</f>
        <v/>
      </c>
      <c r="G3" s="2">
        <f>SUMIFS('Base de Dados'!J:J,'Base de Dados'!H:H,B3,'Base de Dados'!D:D,C3,'Base de Dados'!K:K,D3)</f>
        <v/>
      </c>
      <c r="H3" s="2">
        <f>IF(F3&gt;=3,"ALTA",IF(F3&gt;=1,"MÉDIA","NORMAL"))</f>
        <v/>
      </c>
    </row>
    <row r="4">
      <c r="A4" s="16" t="inlineStr">
        <is>
          <t>BL-003</t>
        </is>
      </c>
      <c r="B4" s="4" t="inlineStr">
        <is>
          <t>Andre Pacheco</t>
        </is>
      </c>
      <c r="C4" s="2" t="inlineStr">
        <is>
          <t>RJ</t>
        </is>
      </c>
      <c r="D4" s="2" t="inlineStr">
        <is>
          <t>Semana 3</t>
        </is>
      </c>
      <c r="E4" s="2">
        <f>COUNTIFS('Base de Dados'!H:H,B4,'Base de Dados'!D:D,C4,'Base de Dados'!K:K,D4)</f>
        <v/>
      </c>
      <c r="F4" s="2">
        <f>COUNTIFS('Base de Dados'!H:H,B4,'Base de Dados'!D:D,C4,'Base de Dados'!K:K,D4,'Base de Dados'!I:I,"Estratégico")</f>
        <v/>
      </c>
      <c r="G4" s="2">
        <f>SUMIFS('Base de Dados'!J:J,'Base de Dados'!H:H,B4,'Base de Dados'!D:D,C4,'Base de Dados'!K:K,D4)</f>
        <v/>
      </c>
      <c r="H4" s="2">
        <f>IF(F4&gt;=3,"ALTA",IF(F4&gt;=1,"MÉDIA","NORMAL"))</f>
        <v/>
      </c>
    </row>
    <row r="5">
      <c r="A5" s="16" t="inlineStr">
        <is>
          <t>BL-004</t>
        </is>
      </c>
      <c r="B5" s="4" t="inlineStr">
        <is>
          <t>Andre Pacheco</t>
        </is>
      </c>
      <c r="C5" s="2" t="inlineStr">
        <is>
          <t>RJ</t>
        </is>
      </c>
      <c r="D5" s="2" t="inlineStr">
        <is>
          <t>Semana 4</t>
        </is>
      </c>
      <c r="E5" s="2">
        <f>COUNTIFS('Base de Dados'!H:H,B5,'Base de Dados'!D:D,C5,'Base de Dados'!K:K,D5)</f>
        <v/>
      </c>
      <c r="F5" s="2">
        <f>COUNTIFS('Base de Dados'!H:H,B5,'Base de Dados'!D:D,C5,'Base de Dados'!K:K,D5,'Base de Dados'!I:I,"Estratégico")</f>
        <v/>
      </c>
      <c r="G5" s="2">
        <f>SUMIFS('Base de Dados'!J:J,'Base de Dados'!H:H,B5,'Base de Dados'!D:D,C5,'Base de Dados'!K:K,D5)</f>
        <v/>
      </c>
      <c r="H5" s="2">
        <f>IF(F5&gt;=3,"ALTA",IF(F5&gt;=1,"MÉDIA","NORMAL"))</f>
        <v/>
      </c>
    </row>
    <row r="6">
      <c r="A6" s="16" t="inlineStr">
        <is>
          <t>BL-005</t>
        </is>
      </c>
      <c r="B6" s="4" t="inlineStr">
        <is>
          <t>Andressa</t>
        </is>
      </c>
      <c r="C6" s="2" t="inlineStr">
        <is>
          <t>RJ</t>
        </is>
      </c>
      <c r="D6" s="2" t="inlineStr">
        <is>
          <t>Semana 1</t>
        </is>
      </c>
      <c r="E6" s="2">
        <f>COUNTIFS('Base de Dados'!H:H,B6,'Base de Dados'!D:D,C6,'Base de Dados'!K:K,D6)</f>
        <v/>
      </c>
      <c r="F6" s="2">
        <f>COUNTIFS('Base de Dados'!H:H,B6,'Base de Dados'!D:D,C6,'Base de Dados'!K:K,D6,'Base de Dados'!I:I,"Estratégico")</f>
        <v/>
      </c>
      <c r="G6" s="2">
        <f>SUMIFS('Base de Dados'!J:J,'Base de Dados'!H:H,B6,'Base de Dados'!D:D,C6,'Base de Dados'!K:K,D6)</f>
        <v/>
      </c>
      <c r="H6" s="2">
        <f>IF(F6&gt;=3,"ALTA",IF(F6&gt;=1,"MÉDIA","NORMAL"))</f>
        <v/>
      </c>
    </row>
    <row r="7">
      <c r="A7" s="16" t="inlineStr">
        <is>
          <t>BL-006</t>
        </is>
      </c>
      <c r="B7" s="4" t="inlineStr">
        <is>
          <t>Andressa</t>
        </is>
      </c>
      <c r="C7" s="2" t="inlineStr">
        <is>
          <t>RJ</t>
        </is>
      </c>
      <c r="D7" s="2" t="inlineStr">
        <is>
          <t>Semana 2</t>
        </is>
      </c>
      <c r="E7" s="2">
        <f>COUNTIFS('Base de Dados'!H:H,B7,'Base de Dados'!D:D,C7,'Base de Dados'!K:K,D7)</f>
        <v/>
      </c>
      <c r="F7" s="2">
        <f>COUNTIFS('Base de Dados'!H:H,B7,'Base de Dados'!D:D,C7,'Base de Dados'!K:K,D7,'Base de Dados'!I:I,"Estratégico")</f>
        <v/>
      </c>
      <c r="G7" s="2">
        <f>SUMIFS('Base de Dados'!J:J,'Base de Dados'!H:H,B7,'Base de Dados'!D:D,C7,'Base de Dados'!K:K,D7)</f>
        <v/>
      </c>
      <c r="H7" s="2">
        <f>IF(F7&gt;=3,"ALTA",IF(F7&gt;=1,"MÉDIA","NORMAL"))</f>
        <v/>
      </c>
    </row>
    <row r="8">
      <c r="A8" s="16" t="inlineStr">
        <is>
          <t>BL-007</t>
        </is>
      </c>
      <c r="B8" s="4" t="inlineStr">
        <is>
          <t>Andressa</t>
        </is>
      </c>
      <c r="C8" s="2" t="inlineStr">
        <is>
          <t>RJ</t>
        </is>
      </c>
      <c r="D8" s="2" t="inlineStr">
        <is>
          <t>Semana 3</t>
        </is>
      </c>
      <c r="E8" s="2">
        <f>COUNTIFS('Base de Dados'!H:H,B8,'Base de Dados'!D:D,C8,'Base de Dados'!K:K,D8)</f>
        <v/>
      </c>
      <c r="F8" s="2">
        <f>COUNTIFS('Base de Dados'!H:H,B8,'Base de Dados'!D:D,C8,'Base de Dados'!K:K,D8,'Base de Dados'!I:I,"Estratégico")</f>
        <v/>
      </c>
      <c r="G8" s="2">
        <f>SUMIFS('Base de Dados'!J:J,'Base de Dados'!H:H,B8,'Base de Dados'!D:D,C8,'Base de Dados'!K:K,D8)</f>
        <v/>
      </c>
      <c r="H8" s="2">
        <f>IF(F8&gt;=3,"ALTA",IF(F8&gt;=1,"MÉDIA","NORMAL"))</f>
        <v/>
      </c>
    </row>
    <row r="9">
      <c r="A9" s="16" t="inlineStr">
        <is>
          <t>BL-008</t>
        </is>
      </c>
      <c r="B9" s="4" t="inlineStr">
        <is>
          <t>Andressa</t>
        </is>
      </c>
      <c r="C9" s="2" t="inlineStr">
        <is>
          <t>RJ</t>
        </is>
      </c>
      <c r="D9" s="2" t="inlineStr">
        <is>
          <t>Semana 4</t>
        </is>
      </c>
      <c r="E9" s="2">
        <f>COUNTIFS('Base de Dados'!H:H,B9,'Base de Dados'!D:D,C9,'Base de Dados'!K:K,D9)</f>
        <v/>
      </c>
      <c r="F9" s="2">
        <f>COUNTIFS('Base de Dados'!H:H,B9,'Base de Dados'!D:D,C9,'Base de Dados'!K:K,D9,'Base de Dados'!I:I,"Estratégico")</f>
        <v/>
      </c>
      <c r="G9" s="2">
        <f>SUMIFS('Base de Dados'!J:J,'Base de Dados'!H:H,B9,'Base de Dados'!D:D,C9,'Base de Dados'!K:K,D9)</f>
        <v/>
      </c>
      <c r="H9" s="2">
        <f>IF(F9&gt;=3,"ALTA",IF(F9&gt;=1,"MÉDIA","NORMAL"))</f>
        <v/>
      </c>
    </row>
    <row r="10">
      <c r="A10" s="16" t="inlineStr">
        <is>
          <t>BL-009</t>
        </is>
      </c>
      <c r="B10" s="4" t="inlineStr">
        <is>
          <t>Andressa</t>
        </is>
      </c>
      <c r="C10" s="2" t="inlineStr">
        <is>
          <t>MG</t>
        </is>
      </c>
      <c r="D10" s="2" t="inlineStr">
        <is>
          <t>Semana 1</t>
        </is>
      </c>
      <c r="E10" s="2">
        <f>COUNTIFS('Base de Dados'!H:H,B10,'Base de Dados'!D:D,C10,'Base de Dados'!K:K,D10)</f>
        <v/>
      </c>
      <c r="F10" s="2">
        <f>COUNTIFS('Base de Dados'!H:H,B10,'Base de Dados'!D:D,C10,'Base de Dados'!K:K,D10,'Base de Dados'!I:I,"Estratégico")</f>
        <v/>
      </c>
      <c r="G10" s="2">
        <f>SUMIFS('Base de Dados'!J:J,'Base de Dados'!H:H,B10,'Base de Dados'!D:D,C10,'Base de Dados'!K:K,D10)</f>
        <v/>
      </c>
      <c r="H10" s="2">
        <f>IF(F10&gt;=3,"ALTA",IF(F10&gt;=1,"MÉDIA","NORMAL"))</f>
        <v/>
      </c>
    </row>
    <row r="11">
      <c r="A11" s="16" t="inlineStr">
        <is>
          <t>BL-010</t>
        </is>
      </c>
      <c r="B11" s="4" t="inlineStr">
        <is>
          <t>Andressa</t>
        </is>
      </c>
      <c r="C11" s="2" t="inlineStr">
        <is>
          <t>MG</t>
        </is>
      </c>
      <c r="D11" s="2" t="inlineStr">
        <is>
          <t>Semana 2</t>
        </is>
      </c>
      <c r="E11" s="2">
        <f>COUNTIFS('Base de Dados'!H:H,B11,'Base de Dados'!D:D,C11,'Base de Dados'!K:K,D11)</f>
        <v/>
      </c>
      <c r="F11" s="2">
        <f>COUNTIFS('Base de Dados'!H:H,B11,'Base de Dados'!D:D,C11,'Base de Dados'!K:K,D11,'Base de Dados'!I:I,"Estratégico")</f>
        <v/>
      </c>
      <c r="G11" s="2">
        <f>SUMIFS('Base de Dados'!J:J,'Base de Dados'!H:H,B11,'Base de Dados'!D:D,C11,'Base de Dados'!K:K,D11)</f>
        <v/>
      </c>
      <c r="H11" s="2">
        <f>IF(F11&gt;=3,"ALTA",IF(F11&gt;=1,"MÉDIA","NORMAL"))</f>
        <v/>
      </c>
    </row>
    <row r="12">
      <c r="A12" s="16" t="inlineStr">
        <is>
          <t>BL-011</t>
        </is>
      </c>
      <c r="B12" s="4" t="inlineStr">
        <is>
          <t>Andressa</t>
        </is>
      </c>
      <c r="C12" s="2" t="inlineStr">
        <is>
          <t>MG</t>
        </is>
      </c>
      <c r="D12" s="2" t="inlineStr">
        <is>
          <t>Semana 3</t>
        </is>
      </c>
      <c r="E12" s="2">
        <f>COUNTIFS('Base de Dados'!H:H,B12,'Base de Dados'!D:D,C12,'Base de Dados'!K:K,D12)</f>
        <v/>
      </c>
      <c r="F12" s="2">
        <f>COUNTIFS('Base de Dados'!H:H,B12,'Base de Dados'!D:D,C12,'Base de Dados'!K:K,D12,'Base de Dados'!I:I,"Estratégico")</f>
        <v/>
      </c>
      <c r="G12" s="2">
        <f>SUMIFS('Base de Dados'!J:J,'Base de Dados'!H:H,B12,'Base de Dados'!D:D,C12,'Base de Dados'!K:K,D12)</f>
        <v/>
      </c>
      <c r="H12" s="2">
        <f>IF(F12&gt;=3,"ALTA",IF(F12&gt;=1,"MÉDIA","NORMAL"))</f>
        <v/>
      </c>
    </row>
    <row r="13">
      <c r="A13" s="16" t="inlineStr">
        <is>
          <t>BL-012</t>
        </is>
      </c>
      <c r="B13" s="4" t="inlineStr">
        <is>
          <t>Andressa</t>
        </is>
      </c>
      <c r="C13" s="2" t="inlineStr">
        <is>
          <t>MG</t>
        </is>
      </c>
      <c r="D13" s="2" t="inlineStr">
        <is>
          <t>Semana 4</t>
        </is>
      </c>
      <c r="E13" s="2">
        <f>COUNTIFS('Base de Dados'!H:H,B13,'Base de Dados'!D:D,C13,'Base de Dados'!K:K,D13)</f>
        <v/>
      </c>
      <c r="F13" s="2">
        <f>COUNTIFS('Base de Dados'!H:H,B13,'Base de Dados'!D:D,C13,'Base de Dados'!K:K,D13,'Base de Dados'!I:I,"Estratégico")</f>
        <v/>
      </c>
      <c r="G13" s="2">
        <f>SUMIFS('Base de Dados'!J:J,'Base de Dados'!H:H,B13,'Base de Dados'!D:D,C13,'Base de Dados'!K:K,D13)</f>
        <v/>
      </c>
      <c r="H13" s="2">
        <f>IF(F13&gt;=3,"ALTA",IF(F13&gt;=1,"MÉDIA","NORMAL"))</f>
        <v/>
      </c>
    </row>
    <row r="14">
      <c r="A14" s="16" t="inlineStr">
        <is>
          <t>BL-013</t>
        </is>
      </c>
      <c r="B14" s="4" t="inlineStr">
        <is>
          <t>Andressa</t>
        </is>
      </c>
      <c r="C14" s="2" t="inlineStr">
        <is>
          <t>GO</t>
        </is>
      </c>
      <c r="D14" s="2" t="inlineStr">
        <is>
          <t>Semana 1</t>
        </is>
      </c>
      <c r="E14" s="2">
        <f>COUNTIFS('Base de Dados'!H:H,B14,'Base de Dados'!D:D,C14,'Base de Dados'!K:K,D14)</f>
        <v/>
      </c>
      <c r="F14" s="2">
        <f>COUNTIFS('Base de Dados'!H:H,B14,'Base de Dados'!D:D,C14,'Base de Dados'!K:K,D14,'Base de Dados'!I:I,"Estratégico")</f>
        <v/>
      </c>
      <c r="G14" s="2">
        <f>SUMIFS('Base de Dados'!J:J,'Base de Dados'!H:H,B14,'Base de Dados'!D:D,C14,'Base de Dados'!K:K,D14)</f>
        <v/>
      </c>
      <c r="H14" s="2">
        <f>IF(F14&gt;=3,"ALTA",IF(F14&gt;=1,"MÉDIA","NORMAL"))</f>
        <v/>
      </c>
    </row>
    <row r="15">
      <c r="A15" s="16" t="inlineStr">
        <is>
          <t>BL-014</t>
        </is>
      </c>
      <c r="B15" s="4" t="inlineStr">
        <is>
          <t>Andressa</t>
        </is>
      </c>
      <c r="C15" s="2" t="inlineStr">
        <is>
          <t>GO</t>
        </is>
      </c>
      <c r="D15" s="2" t="inlineStr">
        <is>
          <t>Semana 2</t>
        </is>
      </c>
      <c r="E15" s="2">
        <f>COUNTIFS('Base de Dados'!H:H,B15,'Base de Dados'!D:D,C15,'Base de Dados'!K:K,D15)</f>
        <v/>
      </c>
      <c r="F15" s="2">
        <f>COUNTIFS('Base de Dados'!H:H,B15,'Base de Dados'!D:D,C15,'Base de Dados'!K:K,D15,'Base de Dados'!I:I,"Estratégico")</f>
        <v/>
      </c>
      <c r="G15" s="2">
        <f>SUMIFS('Base de Dados'!J:J,'Base de Dados'!H:H,B15,'Base de Dados'!D:D,C15,'Base de Dados'!K:K,D15)</f>
        <v/>
      </c>
      <c r="H15" s="2">
        <f>IF(F15&gt;=3,"ALTA",IF(F15&gt;=1,"MÉDIA","NORMAL"))</f>
        <v/>
      </c>
    </row>
    <row r="16">
      <c r="A16" s="16" t="inlineStr">
        <is>
          <t>BL-015</t>
        </is>
      </c>
      <c r="B16" s="4" t="inlineStr">
        <is>
          <t>Andressa</t>
        </is>
      </c>
      <c r="C16" s="2" t="inlineStr">
        <is>
          <t>GO</t>
        </is>
      </c>
      <c r="D16" s="2" t="inlineStr">
        <is>
          <t>Semana 3</t>
        </is>
      </c>
      <c r="E16" s="2">
        <f>COUNTIFS('Base de Dados'!H:H,B16,'Base de Dados'!D:D,C16,'Base de Dados'!K:K,D16)</f>
        <v/>
      </c>
      <c r="F16" s="2">
        <f>COUNTIFS('Base de Dados'!H:H,B16,'Base de Dados'!D:D,C16,'Base de Dados'!K:K,D16,'Base de Dados'!I:I,"Estratégico")</f>
        <v/>
      </c>
      <c r="G16" s="2">
        <f>SUMIFS('Base de Dados'!J:J,'Base de Dados'!H:H,B16,'Base de Dados'!D:D,C16,'Base de Dados'!K:K,D16)</f>
        <v/>
      </c>
      <c r="H16" s="2">
        <f>IF(F16&gt;=3,"ALTA",IF(F16&gt;=1,"MÉDIA","NORMAL"))</f>
        <v/>
      </c>
    </row>
    <row r="17">
      <c r="A17" s="16" t="inlineStr">
        <is>
          <t>BL-016</t>
        </is>
      </c>
      <c r="B17" s="4" t="inlineStr">
        <is>
          <t>Andressa</t>
        </is>
      </c>
      <c r="C17" s="2" t="inlineStr">
        <is>
          <t>GO</t>
        </is>
      </c>
      <c r="D17" s="2" t="inlineStr">
        <is>
          <t>Semana 4</t>
        </is>
      </c>
      <c r="E17" s="2">
        <f>COUNTIFS('Base de Dados'!H:H,B17,'Base de Dados'!D:D,C17,'Base de Dados'!K:K,D17)</f>
        <v/>
      </c>
      <c r="F17" s="2">
        <f>COUNTIFS('Base de Dados'!H:H,B17,'Base de Dados'!D:D,C17,'Base de Dados'!K:K,D17,'Base de Dados'!I:I,"Estratégico")</f>
        <v/>
      </c>
      <c r="G17" s="2">
        <f>SUMIFS('Base de Dados'!J:J,'Base de Dados'!H:H,B17,'Base de Dados'!D:D,C17,'Base de Dados'!K:K,D17)</f>
        <v/>
      </c>
      <c r="H17" s="2">
        <f>IF(F17&gt;=3,"ALTA",IF(F17&gt;=1,"MÉDIA","NORMAL"))</f>
        <v/>
      </c>
    </row>
    <row r="18">
      <c r="A18" s="16" t="inlineStr">
        <is>
          <t>BL-017</t>
        </is>
      </c>
      <c r="B18" s="4" t="inlineStr">
        <is>
          <t>Bernard</t>
        </is>
      </c>
      <c r="C18" s="2" t="inlineStr">
        <is>
          <t>ES</t>
        </is>
      </c>
      <c r="D18" s="2" t="inlineStr">
        <is>
          <t>Semana 1</t>
        </is>
      </c>
      <c r="E18" s="2">
        <f>COUNTIFS('Base de Dados'!H:H,B18,'Base de Dados'!D:D,C18,'Base de Dados'!K:K,D18)</f>
        <v/>
      </c>
      <c r="F18" s="2">
        <f>COUNTIFS('Base de Dados'!H:H,B18,'Base de Dados'!D:D,C18,'Base de Dados'!K:K,D18,'Base de Dados'!I:I,"Estratégico")</f>
        <v/>
      </c>
      <c r="G18" s="2">
        <f>SUMIFS('Base de Dados'!J:J,'Base de Dados'!H:H,B18,'Base de Dados'!D:D,C18,'Base de Dados'!K:K,D18)</f>
        <v/>
      </c>
      <c r="H18" s="2">
        <f>IF(F18&gt;=3,"ALTA",IF(F18&gt;=1,"MÉDIA","NORMAL"))</f>
        <v/>
      </c>
    </row>
    <row r="19">
      <c r="A19" s="16" t="inlineStr">
        <is>
          <t>BL-018</t>
        </is>
      </c>
      <c r="B19" s="4" t="inlineStr">
        <is>
          <t>Bernard</t>
        </is>
      </c>
      <c r="C19" s="2" t="inlineStr">
        <is>
          <t>ES</t>
        </is>
      </c>
      <c r="D19" s="2" t="inlineStr">
        <is>
          <t>Semana 2</t>
        </is>
      </c>
      <c r="E19" s="2">
        <f>COUNTIFS('Base de Dados'!H:H,B19,'Base de Dados'!D:D,C19,'Base de Dados'!K:K,D19)</f>
        <v/>
      </c>
      <c r="F19" s="2">
        <f>COUNTIFS('Base de Dados'!H:H,B19,'Base de Dados'!D:D,C19,'Base de Dados'!K:K,D19,'Base de Dados'!I:I,"Estratégico")</f>
        <v/>
      </c>
      <c r="G19" s="2">
        <f>SUMIFS('Base de Dados'!J:J,'Base de Dados'!H:H,B19,'Base de Dados'!D:D,C19,'Base de Dados'!K:K,D19)</f>
        <v/>
      </c>
      <c r="H19" s="2">
        <f>IF(F19&gt;=3,"ALTA",IF(F19&gt;=1,"MÉDIA","NORMAL"))</f>
        <v/>
      </c>
    </row>
    <row r="20">
      <c r="A20" s="16" t="inlineStr">
        <is>
          <t>BL-019</t>
        </is>
      </c>
      <c r="B20" s="4" t="inlineStr">
        <is>
          <t>Bernard</t>
        </is>
      </c>
      <c r="C20" s="2" t="inlineStr">
        <is>
          <t>ES</t>
        </is>
      </c>
      <c r="D20" s="2" t="inlineStr">
        <is>
          <t>Semana 3</t>
        </is>
      </c>
      <c r="E20" s="2">
        <f>COUNTIFS('Base de Dados'!H:H,B20,'Base de Dados'!D:D,C20,'Base de Dados'!K:K,D20)</f>
        <v/>
      </c>
      <c r="F20" s="2">
        <f>COUNTIFS('Base de Dados'!H:H,B20,'Base de Dados'!D:D,C20,'Base de Dados'!K:K,D20,'Base de Dados'!I:I,"Estratégico")</f>
        <v/>
      </c>
      <c r="G20" s="2">
        <f>SUMIFS('Base de Dados'!J:J,'Base de Dados'!H:H,B20,'Base de Dados'!D:D,C20,'Base de Dados'!K:K,D20)</f>
        <v/>
      </c>
      <c r="H20" s="2">
        <f>IF(F20&gt;=3,"ALTA",IF(F20&gt;=1,"MÉDIA","NORMAL"))</f>
        <v/>
      </c>
    </row>
    <row r="21">
      <c r="A21" s="16" t="inlineStr">
        <is>
          <t>BL-020</t>
        </is>
      </c>
      <c r="B21" s="4" t="inlineStr">
        <is>
          <t>Bernard</t>
        </is>
      </c>
      <c r="C21" s="2" t="inlineStr">
        <is>
          <t>ES</t>
        </is>
      </c>
      <c r="D21" s="2" t="inlineStr">
        <is>
          <t>Semana 4</t>
        </is>
      </c>
      <c r="E21" s="2">
        <f>COUNTIFS('Base de Dados'!H:H,B21,'Base de Dados'!D:D,C21,'Base de Dados'!K:K,D21)</f>
        <v/>
      </c>
      <c r="F21" s="2">
        <f>COUNTIFS('Base de Dados'!H:H,B21,'Base de Dados'!D:D,C21,'Base de Dados'!K:K,D21,'Base de Dados'!I:I,"Estratégico")</f>
        <v/>
      </c>
      <c r="G21" s="2">
        <f>SUMIFS('Base de Dados'!J:J,'Base de Dados'!H:H,B21,'Base de Dados'!D:D,C21,'Base de Dados'!K:K,D21)</f>
        <v/>
      </c>
      <c r="H21" s="2">
        <f>IF(F21&gt;=3,"ALTA",IF(F21&gt;=1,"MÉDIA","NORMAL"))</f>
        <v/>
      </c>
    </row>
    <row r="22">
      <c r="A22" s="16" t="inlineStr">
        <is>
          <t>BL-021</t>
        </is>
      </c>
      <c r="B22" s="4" t="inlineStr">
        <is>
          <t>Denilson</t>
        </is>
      </c>
      <c r="C22" s="2" t="inlineStr">
        <is>
          <t>SP</t>
        </is>
      </c>
      <c r="D22" s="2" t="inlineStr">
        <is>
          <t>Semana 1</t>
        </is>
      </c>
      <c r="E22" s="2">
        <f>COUNTIFS('Base de Dados'!H:H,B22,'Base de Dados'!D:D,C22,'Base de Dados'!K:K,D22)</f>
        <v/>
      </c>
      <c r="F22" s="2">
        <f>COUNTIFS('Base de Dados'!H:H,B22,'Base de Dados'!D:D,C22,'Base de Dados'!K:K,D22,'Base de Dados'!I:I,"Estratégico")</f>
        <v/>
      </c>
      <c r="G22" s="2">
        <f>SUMIFS('Base de Dados'!J:J,'Base de Dados'!H:H,B22,'Base de Dados'!D:D,C22,'Base de Dados'!K:K,D22)</f>
        <v/>
      </c>
      <c r="H22" s="2">
        <f>IF(F22&gt;=3,"ALTA",IF(F22&gt;=1,"MÉDIA","NORMAL"))</f>
        <v/>
      </c>
    </row>
    <row r="23">
      <c r="A23" s="16" t="inlineStr">
        <is>
          <t>BL-022</t>
        </is>
      </c>
      <c r="B23" s="4" t="inlineStr">
        <is>
          <t>Denilson</t>
        </is>
      </c>
      <c r="C23" s="2" t="inlineStr">
        <is>
          <t>SP</t>
        </is>
      </c>
      <c r="D23" s="2" t="inlineStr">
        <is>
          <t>Semana 2</t>
        </is>
      </c>
      <c r="E23" s="2">
        <f>COUNTIFS('Base de Dados'!H:H,B23,'Base de Dados'!D:D,C23,'Base de Dados'!K:K,D23)</f>
        <v/>
      </c>
      <c r="F23" s="2">
        <f>COUNTIFS('Base de Dados'!H:H,B23,'Base de Dados'!D:D,C23,'Base de Dados'!K:K,D23,'Base de Dados'!I:I,"Estratégico")</f>
        <v/>
      </c>
      <c r="G23" s="2">
        <f>SUMIFS('Base de Dados'!J:J,'Base de Dados'!H:H,B23,'Base de Dados'!D:D,C23,'Base de Dados'!K:K,D23)</f>
        <v/>
      </c>
      <c r="H23" s="2">
        <f>IF(F23&gt;=3,"ALTA",IF(F23&gt;=1,"MÉDIA","NORMAL"))</f>
        <v/>
      </c>
    </row>
    <row r="24">
      <c r="A24" s="16" t="inlineStr">
        <is>
          <t>BL-023</t>
        </is>
      </c>
      <c r="B24" s="4" t="inlineStr">
        <is>
          <t>Denilson</t>
        </is>
      </c>
      <c r="C24" s="2" t="inlineStr">
        <is>
          <t>SP</t>
        </is>
      </c>
      <c r="D24" s="2" t="inlineStr">
        <is>
          <t>Semana 3</t>
        </is>
      </c>
      <c r="E24" s="2">
        <f>COUNTIFS('Base de Dados'!H:H,B24,'Base de Dados'!D:D,C24,'Base de Dados'!K:K,D24)</f>
        <v/>
      </c>
      <c r="F24" s="2">
        <f>COUNTIFS('Base de Dados'!H:H,B24,'Base de Dados'!D:D,C24,'Base de Dados'!K:K,D24,'Base de Dados'!I:I,"Estratégico")</f>
        <v/>
      </c>
      <c r="G24" s="2">
        <f>SUMIFS('Base de Dados'!J:J,'Base de Dados'!H:H,B24,'Base de Dados'!D:D,C24,'Base de Dados'!K:K,D24)</f>
        <v/>
      </c>
      <c r="H24" s="2">
        <f>IF(F24&gt;=3,"ALTA",IF(F24&gt;=1,"MÉDIA","NORMAL"))</f>
        <v/>
      </c>
    </row>
    <row r="25">
      <c r="A25" s="16" t="inlineStr">
        <is>
          <t>BL-024</t>
        </is>
      </c>
      <c r="B25" s="4" t="inlineStr">
        <is>
          <t>Denilson</t>
        </is>
      </c>
      <c r="C25" s="2" t="inlineStr">
        <is>
          <t>SP</t>
        </is>
      </c>
      <c r="D25" s="2" t="inlineStr">
        <is>
          <t>Semana 4</t>
        </is>
      </c>
      <c r="E25" s="2">
        <f>COUNTIFS('Base de Dados'!H:H,B25,'Base de Dados'!D:D,C25,'Base de Dados'!K:K,D25)</f>
        <v/>
      </c>
      <c r="F25" s="2">
        <f>COUNTIFS('Base de Dados'!H:H,B25,'Base de Dados'!D:D,C25,'Base de Dados'!K:K,D25,'Base de Dados'!I:I,"Estratégico")</f>
        <v/>
      </c>
      <c r="G25" s="2">
        <f>SUMIFS('Base de Dados'!J:J,'Base de Dados'!H:H,B25,'Base de Dados'!D:D,C25,'Base de Dados'!K:K,D25)</f>
        <v/>
      </c>
      <c r="H25" s="2">
        <f>IF(F25&gt;=3,"ALTA",IF(F25&gt;=1,"MÉDIA","NORMAL"))</f>
        <v/>
      </c>
    </row>
    <row r="26">
      <c r="A26" s="16" t="inlineStr">
        <is>
          <t>BL-025</t>
        </is>
      </c>
      <c r="B26" s="4" t="inlineStr">
        <is>
          <t>Fernanda</t>
        </is>
      </c>
      <c r="C26" s="2" t="inlineStr">
        <is>
          <t>SP</t>
        </is>
      </c>
      <c r="D26" s="2" t="inlineStr">
        <is>
          <t>Semana 1</t>
        </is>
      </c>
      <c r="E26" s="2">
        <f>COUNTIFS('Base de Dados'!H:H,B26,'Base de Dados'!D:D,C26,'Base de Dados'!K:K,D26)</f>
        <v/>
      </c>
      <c r="F26" s="2">
        <f>COUNTIFS('Base de Dados'!H:H,B26,'Base de Dados'!D:D,C26,'Base de Dados'!K:K,D26,'Base de Dados'!I:I,"Estratégico")</f>
        <v/>
      </c>
      <c r="G26" s="2">
        <f>SUMIFS('Base de Dados'!J:J,'Base de Dados'!H:H,B26,'Base de Dados'!D:D,C26,'Base de Dados'!K:K,D26)</f>
        <v/>
      </c>
      <c r="H26" s="2">
        <f>IF(F26&gt;=3,"ALTA",IF(F26&gt;=1,"MÉDIA","NORMAL"))</f>
        <v/>
      </c>
    </row>
    <row r="27">
      <c r="A27" s="16" t="inlineStr">
        <is>
          <t>BL-026</t>
        </is>
      </c>
      <c r="B27" s="4" t="inlineStr">
        <is>
          <t>Fernanda</t>
        </is>
      </c>
      <c r="C27" s="2" t="inlineStr">
        <is>
          <t>SP</t>
        </is>
      </c>
      <c r="D27" s="2" t="inlineStr">
        <is>
          <t>Semana 2</t>
        </is>
      </c>
      <c r="E27" s="2">
        <f>COUNTIFS('Base de Dados'!H:H,B27,'Base de Dados'!D:D,C27,'Base de Dados'!K:K,D27)</f>
        <v/>
      </c>
      <c r="F27" s="2">
        <f>COUNTIFS('Base de Dados'!H:H,B27,'Base de Dados'!D:D,C27,'Base de Dados'!K:K,D27,'Base de Dados'!I:I,"Estratégico")</f>
        <v/>
      </c>
      <c r="G27" s="2">
        <f>SUMIFS('Base de Dados'!J:J,'Base de Dados'!H:H,B27,'Base de Dados'!D:D,C27,'Base de Dados'!K:K,D27)</f>
        <v/>
      </c>
      <c r="H27" s="2">
        <f>IF(F27&gt;=3,"ALTA",IF(F27&gt;=1,"MÉDIA","NORMAL"))</f>
        <v/>
      </c>
    </row>
    <row r="28">
      <c r="A28" s="16" t="inlineStr">
        <is>
          <t>BL-027</t>
        </is>
      </c>
      <c r="B28" s="4" t="inlineStr">
        <is>
          <t>Fernanda</t>
        </is>
      </c>
      <c r="C28" s="2" t="inlineStr">
        <is>
          <t>SP</t>
        </is>
      </c>
      <c r="D28" s="2" t="inlineStr">
        <is>
          <t>Semana 3</t>
        </is>
      </c>
      <c r="E28" s="2">
        <f>COUNTIFS('Base de Dados'!H:H,B28,'Base de Dados'!D:D,C28,'Base de Dados'!K:K,D28)</f>
        <v/>
      </c>
      <c r="F28" s="2">
        <f>COUNTIFS('Base de Dados'!H:H,B28,'Base de Dados'!D:D,C28,'Base de Dados'!K:K,D28,'Base de Dados'!I:I,"Estratégico")</f>
        <v/>
      </c>
      <c r="G28" s="2">
        <f>SUMIFS('Base de Dados'!J:J,'Base de Dados'!H:H,B28,'Base de Dados'!D:D,C28,'Base de Dados'!K:K,D28)</f>
        <v/>
      </c>
      <c r="H28" s="2">
        <f>IF(F28&gt;=3,"ALTA",IF(F28&gt;=1,"MÉDIA","NORMAL"))</f>
        <v/>
      </c>
    </row>
    <row r="29">
      <c r="A29" s="16" t="inlineStr">
        <is>
          <t>BL-028</t>
        </is>
      </c>
      <c r="B29" s="4" t="inlineStr">
        <is>
          <t>Fernanda</t>
        </is>
      </c>
      <c r="C29" s="2" t="inlineStr">
        <is>
          <t>SP</t>
        </is>
      </c>
      <c r="D29" s="2" t="inlineStr">
        <is>
          <t>Semana 4</t>
        </is>
      </c>
      <c r="E29" s="2">
        <f>COUNTIFS('Base de Dados'!H:H,B29,'Base de Dados'!D:D,C29,'Base de Dados'!K:K,D29)</f>
        <v/>
      </c>
      <c r="F29" s="2">
        <f>COUNTIFS('Base de Dados'!H:H,B29,'Base de Dados'!D:D,C29,'Base de Dados'!K:K,D29,'Base de Dados'!I:I,"Estratégico")</f>
        <v/>
      </c>
      <c r="G29" s="2">
        <f>SUMIFS('Base de Dados'!J:J,'Base de Dados'!H:H,B29,'Base de Dados'!D:D,C29,'Base de Dados'!K:K,D29)</f>
        <v/>
      </c>
      <c r="H29" s="2">
        <f>IF(F29&gt;=3,"ALTA",IF(F29&gt;=1,"MÉDIA","NORMAL"))</f>
        <v/>
      </c>
    </row>
    <row r="30">
      <c r="A30" s="16" t="inlineStr">
        <is>
          <t>BL-029</t>
        </is>
      </c>
      <c r="B30" s="4" t="inlineStr">
        <is>
          <t>João</t>
        </is>
      </c>
      <c r="C30" s="2" t="inlineStr">
        <is>
          <t>PR</t>
        </is>
      </c>
      <c r="D30" s="2" t="inlineStr">
        <is>
          <t>Semana 1</t>
        </is>
      </c>
      <c r="E30" s="2">
        <f>COUNTIFS('Base de Dados'!H:H,B30,'Base de Dados'!D:D,C30,'Base de Dados'!K:K,D30)</f>
        <v/>
      </c>
      <c r="F30" s="2">
        <f>COUNTIFS('Base de Dados'!H:H,B30,'Base de Dados'!D:D,C30,'Base de Dados'!K:K,D30,'Base de Dados'!I:I,"Estratégico")</f>
        <v/>
      </c>
      <c r="G30" s="2">
        <f>SUMIFS('Base de Dados'!J:J,'Base de Dados'!H:H,B30,'Base de Dados'!D:D,C30,'Base de Dados'!K:K,D30)</f>
        <v/>
      </c>
      <c r="H30" s="2">
        <f>IF(F30&gt;=3,"ALTA",IF(F30&gt;=1,"MÉDIA","NORMAL"))</f>
        <v/>
      </c>
    </row>
    <row r="31">
      <c r="A31" s="16" t="inlineStr">
        <is>
          <t>BL-030</t>
        </is>
      </c>
      <c r="B31" s="4" t="inlineStr">
        <is>
          <t>João</t>
        </is>
      </c>
      <c r="C31" s="2" t="inlineStr">
        <is>
          <t>PR</t>
        </is>
      </c>
      <c r="D31" s="2" t="inlineStr">
        <is>
          <t>Semana 2</t>
        </is>
      </c>
      <c r="E31" s="2">
        <f>COUNTIFS('Base de Dados'!H:H,B31,'Base de Dados'!D:D,C31,'Base de Dados'!K:K,D31)</f>
        <v/>
      </c>
      <c r="F31" s="2">
        <f>COUNTIFS('Base de Dados'!H:H,B31,'Base de Dados'!D:D,C31,'Base de Dados'!K:K,D31,'Base de Dados'!I:I,"Estratégico")</f>
        <v/>
      </c>
      <c r="G31" s="2">
        <f>SUMIFS('Base de Dados'!J:J,'Base de Dados'!H:H,B31,'Base de Dados'!D:D,C31,'Base de Dados'!K:K,D31)</f>
        <v/>
      </c>
      <c r="H31" s="2">
        <f>IF(F31&gt;=3,"ALTA",IF(F31&gt;=1,"MÉDIA","NORMAL"))</f>
        <v/>
      </c>
    </row>
    <row r="32">
      <c r="A32" s="16" t="inlineStr">
        <is>
          <t>BL-031</t>
        </is>
      </c>
      <c r="B32" s="4" t="inlineStr">
        <is>
          <t>João</t>
        </is>
      </c>
      <c r="C32" s="2" t="inlineStr">
        <is>
          <t>PR</t>
        </is>
      </c>
      <c r="D32" s="2" t="inlineStr">
        <is>
          <t>Semana 3</t>
        </is>
      </c>
      <c r="E32" s="2">
        <f>COUNTIFS('Base de Dados'!H:H,B32,'Base de Dados'!D:D,C32,'Base de Dados'!K:K,D32)</f>
        <v/>
      </c>
      <c r="F32" s="2">
        <f>COUNTIFS('Base de Dados'!H:H,B32,'Base de Dados'!D:D,C32,'Base de Dados'!K:K,D32,'Base de Dados'!I:I,"Estratégico")</f>
        <v/>
      </c>
      <c r="G32" s="2">
        <f>SUMIFS('Base de Dados'!J:J,'Base de Dados'!H:H,B32,'Base de Dados'!D:D,C32,'Base de Dados'!K:K,D32)</f>
        <v/>
      </c>
      <c r="H32" s="2">
        <f>IF(F32&gt;=3,"ALTA",IF(F32&gt;=1,"MÉDIA","NORMAL"))</f>
        <v/>
      </c>
    </row>
    <row r="33">
      <c r="A33" s="16" t="inlineStr">
        <is>
          <t>BL-032</t>
        </is>
      </c>
      <c r="B33" s="4" t="inlineStr">
        <is>
          <t>João</t>
        </is>
      </c>
      <c r="C33" s="2" t="inlineStr">
        <is>
          <t>PR</t>
        </is>
      </c>
      <c r="D33" s="2" t="inlineStr">
        <is>
          <t>Semana 4</t>
        </is>
      </c>
      <c r="E33" s="2">
        <f>COUNTIFS('Base de Dados'!H:H,B33,'Base de Dados'!D:D,C33,'Base de Dados'!K:K,D33)</f>
        <v/>
      </c>
      <c r="F33" s="2">
        <f>COUNTIFS('Base de Dados'!H:H,B33,'Base de Dados'!D:D,C33,'Base de Dados'!K:K,D33,'Base de Dados'!I:I,"Estratégico")</f>
        <v/>
      </c>
      <c r="G33" s="2">
        <f>SUMIFS('Base de Dados'!J:J,'Base de Dados'!H:H,B33,'Base de Dados'!D:D,C33,'Base de Dados'!K:K,D33)</f>
        <v/>
      </c>
      <c r="H33" s="2">
        <f>IF(F33&gt;=3,"ALTA",IF(F33&gt;=1,"MÉDIA","NORMAL"))</f>
        <v/>
      </c>
    </row>
    <row r="34">
      <c r="A34" s="16" t="inlineStr">
        <is>
          <t>BL-033</t>
        </is>
      </c>
      <c r="B34" s="4" t="inlineStr">
        <is>
          <t>João</t>
        </is>
      </c>
      <c r="C34" s="2" t="inlineStr">
        <is>
          <t>RS</t>
        </is>
      </c>
      <c r="D34" s="2" t="inlineStr">
        <is>
          <t>Semana 1</t>
        </is>
      </c>
      <c r="E34" s="2">
        <f>COUNTIFS('Base de Dados'!H:H,B34,'Base de Dados'!D:D,C34,'Base de Dados'!K:K,D34)</f>
        <v/>
      </c>
      <c r="F34" s="2">
        <f>COUNTIFS('Base de Dados'!H:H,B34,'Base de Dados'!D:D,C34,'Base de Dados'!K:K,D34,'Base de Dados'!I:I,"Estratégico")</f>
        <v/>
      </c>
      <c r="G34" s="2">
        <f>SUMIFS('Base de Dados'!J:J,'Base de Dados'!H:H,B34,'Base de Dados'!D:D,C34,'Base de Dados'!K:K,D34)</f>
        <v/>
      </c>
      <c r="H34" s="2">
        <f>IF(F34&gt;=3,"ALTA",IF(F34&gt;=1,"MÉDIA","NORMAL"))</f>
        <v/>
      </c>
    </row>
    <row r="35">
      <c r="A35" s="16" t="inlineStr">
        <is>
          <t>BL-034</t>
        </is>
      </c>
      <c r="B35" s="4" t="inlineStr">
        <is>
          <t>João</t>
        </is>
      </c>
      <c r="C35" s="2" t="inlineStr">
        <is>
          <t>RS</t>
        </is>
      </c>
      <c r="D35" s="2" t="inlineStr">
        <is>
          <t>Semana 2</t>
        </is>
      </c>
      <c r="E35" s="2">
        <f>COUNTIFS('Base de Dados'!H:H,B35,'Base de Dados'!D:D,C35,'Base de Dados'!K:K,D35)</f>
        <v/>
      </c>
      <c r="F35" s="2">
        <f>COUNTIFS('Base de Dados'!H:H,B35,'Base de Dados'!D:D,C35,'Base de Dados'!K:K,D35,'Base de Dados'!I:I,"Estratégico")</f>
        <v/>
      </c>
      <c r="G35" s="2">
        <f>SUMIFS('Base de Dados'!J:J,'Base de Dados'!H:H,B35,'Base de Dados'!D:D,C35,'Base de Dados'!K:K,D35)</f>
        <v/>
      </c>
      <c r="H35" s="2">
        <f>IF(F35&gt;=3,"ALTA",IF(F35&gt;=1,"MÉDIA","NORMAL"))</f>
        <v/>
      </c>
    </row>
    <row r="36">
      <c r="A36" s="16" t="inlineStr">
        <is>
          <t>BL-035</t>
        </is>
      </c>
      <c r="B36" s="4" t="inlineStr">
        <is>
          <t>João</t>
        </is>
      </c>
      <c r="C36" s="2" t="inlineStr">
        <is>
          <t>RS</t>
        </is>
      </c>
      <c r="D36" s="2" t="inlineStr">
        <is>
          <t>Semana 3</t>
        </is>
      </c>
      <c r="E36" s="2">
        <f>COUNTIFS('Base de Dados'!H:H,B36,'Base de Dados'!D:D,C36,'Base de Dados'!K:K,D36)</f>
        <v/>
      </c>
      <c r="F36" s="2">
        <f>COUNTIFS('Base de Dados'!H:H,B36,'Base de Dados'!D:D,C36,'Base de Dados'!K:K,D36,'Base de Dados'!I:I,"Estratégico")</f>
        <v/>
      </c>
      <c r="G36" s="2">
        <f>SUMIFS('Base de Dados'!J:J,'Base de Dados'!H:H,B36,'Base de Dados'!D:D,C36,'Base de Dados'!K:K,D36)</f>
        <v/>
      </c>
      <c r="H36" s="2">
        <f>IF(F36&gt;=3,"ALTA",IF(F36&gt;=1,"MÉDIA","NORMAL"))</f>
        <v/>
      </c>
    </row>
    <row r="37">
      <c r="A37" s="16" t="inlineStr">
        <is>
          <t>BL-036</t>
        </is>
      </c>
      <c r="B37" s="4" t="inlineStr">
        <is>
          <t>João</t>
        </is>
      </c>
      <c r="C37" s="2" t="inlineStr">
        <is>
          <t>RS</t>
        </is>
      </c>
      <c r="D37" s="2" t="inlineStr">
        <is>
          <t>Semana 4</t>
        </is>
      </c>
      <c r="E37" s="2">
        <f>COUNTIFS('Base de Dados'!H:H,B37,'Base de Dados'!D:D,C37,'Base de Dados'!K:K,D37)</f>
        <v/>
      </c>
      <c r="F37" s="2">
        <f>COUNTIFS('Base de Dados'!H:H,B37,'Base de Dados'!D:D,C37,'Base de Dados'!K:K,D37,'Base de Dados'!I:I,"Estratégico")</f>
        <v/>
      </c>
      <c r="G37" s="2">
        <f>SUMIFS('Base de Dados'!J:J,'Base de Dados'!H:H,B37,'Base de Dados'!D:D,C37,'Base de Dados'!K:K,D37)</f>
        <v/>
      </c>
      <c r="H37" s="2">
        <f>IF(F37&gt;=3,"ALTA",IF(F37&gt;=1,"MÉDIA","NORMAL"))</f>
        <v/>
      </c>
    </row>
    <row r="38">
      <c r="A38" s="16" t="inlineStr">
        <is>
          <t>BL-037</t>
        </is>
      </c>
      <c r="B38" s="4" t="inlineStr">
        <is>
          <t>João</t>
        </is>
      </c>
      <c r="C38" s="2" t="inlineStr">
        <is>
          <t>SC</t>
        </is>
      </c>
      <c r="D38" s="2" t="inlineStr">
        <is>
          <t>Semana 1</t>
        </is>
      </c>
      <c r="E38" s="2">
        <f>COUNTIFS('Base de Dados'!H:H,B38,'Base de Dados'!D:D,C38,'Base de Dados'!K:K,D38)</f>
        <v/>
      </c>
      <c r="F38" s="2">
        <f>COUNTIFS('Base de Dados'!H:H,B38,'Base de Dados'!D:D,C38,'Base de Dados'!K:K,D38,'Base de Dados'!I:I,"Estratégico")</f>
        <v/>
      </c>
      <c r="G38" s="2">
        <f>SUMIFS('Base de Dados'!J:J,'Base de Dados'!H:H,B38,'Base de Dados'!D:D,C38,'Base de Dados'!K:K,D38)</f>
        <v/>
      </c>
      <c r="H38" s="2">
        <f>IF(F38&gt;=3,"ALTA",IF(F38&gt;=1,"MÉDIA","NORMAL"))</f>
        <v/>
      </c>
    </row>
    <row r="39">
      <c r="A39" s="16" t="inlineStr">
        <is>
          <t>BL-038</t>
        </is>
      </c>
      <c r="B39" s="4" t="inlineStr">
        <is>
          <t>João</t>
        </is>
      </c>
      <c r="C39" s="2" t="inlineStr">
        <is>
          <t>SC</t>
        </is>
      </c>
      <c r="D39" s="2" t="inlineStr">
        <is>
          <t>Semana 2</t>
        </is>
      </c>
      <c r="E39" s="2">
        <f>COUNTIFS('Base de Dados'!H:H,B39,'Base de Dados'!D:D,C39,'Base de Dados'!K:K,D39)</f>
        <v/>
      </c>
      <c r="F39" s="2">
        <f>COUNTIFS('Base de Dados'!H:H,B39,'Base de Dados'!D:D,C39,'Base de Dados'!K:K,D39,'Base de Dados'!I:I,"Estratégico")</f>
        <v/>
      </c>
      <c r="G39" s="2">
        <f>SUMIFS('Base de Dados'!J:J,'Base de Dados'!H:H,B39,'Base de Dados'!D:D,C39,'Base de Dados'!K:K,D39)</f>
        <v/>
      </c>
      <c r="H39" s="2">
        <f>IF(F39&gt;=3,"ALTA",IF(F39&gt;=1,"MÉDIA","NORMAL"))</f>
        <v/>
      </c>
    </row>
    <row r="40">
      <c r="A40" s="16" t="inlineStr">
        <is>
          <t>BL-039</t>
        </is>
      </c>
      <c r="B40" s="4" t="inlineStr">
        <is>
          <t>João</t>
        </is>
      </c>
      <c r="C40" s="2" t="inlineStr">
        <is>
          <t>SC</t>
        </is>
      </c>
      <c r="D40" s="2" t="inlineStr">
        <is>
          <t>Semana 3</t>
        </is>
      </c>
      <c r="E40" s="2">
        <f>COUNTIFS('Base de Dados'!H:H,B40,'Base de Dados'!D:D,C40,'Base de Dados'!K:K,D40)</f>
        <v/>
      </c>
      <c r="F40" s="2">
        <f>COUNTIFS('Base de Dados'!H:H,B40,'Base de Dados'!D:D,C40,'Base de Dados'!K:K,D40,'Base de Dados'!I:I,"Estratégico")</f>
        <v/>
      </c>
      <c r="G40" s="2">
        <f>SUMIFS('Base de Dados'!J:J,'Base de Dados'!H:H,B40,'Base de Dados'!D:D,C40,'Base de Dados'!K:K,D40)</f>
        <v/>
      </c>
      <c r="H40" s="2">
        <f>IF(F40&gt;=3,"ALTA",IF(F40&gt;=1,"MÉDIA","NORMAL"))</f>
        <v/>
      </c>
    </row>
    <row r="41">
      <c r="A41" s="16" t="inlineStr">
        <is>
          <t>BL-040</t>
        </is>
      </c>
      <c r="B41" s="4" t="inlineStr">
        <is>
          <t>João</t>
        </is>
      </c>
      <c r="C41" s="2" t="inlineStr">
        <is>
          <t>SC</t>
        </is>
      </c>
      <c r="D41" s="2" t="inlineStr">
        <is>
          <t>Semana 4</t>
        </is>
      </c>
      <c r="E41" s="2">
        <f>COUNTIFS('Base de Dados'!H:H,B41,'Base de Dados'!D:D,C41,'Base de Dados'!K:K,D41)</f>
        <v/>
      </c>
      <c r="F41" s="2">
        <f>COUNTIFS('Base de Dados'!H:H,B41,'Base de Dados'!D:D,C41,'Base de Dados'!K:K,D41,'Base de Dados'!I:I,"Estratégico")</f>
        <v/>
      </c>
      <c r="G41" s="2">
        <f>SUMIFS('Base de Dados'!J:J,'Base de Dados'!H:H,B41,'Base de Dados'!D:D,C41,'Base de Dados'!K:K,D41)</f>
        <v/>
      </c>
      <c r="H41" s="2">
        <f>IF(F41&gt;=3,"ALTA",IF(F41&gt;=1,"MÉDIA","NORMAL"))</f>
        <v/>
      </c>
    </row>
    <row r="42">
      <c r="A42" s="16" t="inlineStr">
        <is>
          <t>BL-041</t>
        </is>
      </c>
      <c r="B42" s="4" t="inlineStr">
        <is>
          <t>Rodrigo</t>
        </is>
      </c>
      <c r="C42" s="2" t="inlineStr">
        <is>
          <t>PE</t>
        </is>
      </c>
      <c r="D42" s="2" t="inlineStr">
        <is>
          <t>Semana 1</t>
        </is>
      </c>
      <c r="E42" s="2">
        <f>COUNTIFS('Base de Dados'!H:H,B42,'Base de Dados'!D:D,C42,'Base de Dados'!K:K,D42)</f>
        <v/>
      </c>
      <c r="F42" s="2">
        <f>COUNTIFS('Base de Dados'!H:H,B42,'Base de Dados'!D:D,C42,'Base de Dados'!K:K,D42,'Base de Dados'!I:I,"Estratégico")</f>
        <v/>
      </c>
      <c r="G42" s="2">
        <f>SUMIFS('Base de Dados'!J:J,'Base de Dados'!H:H,B42,'Base de Dados'!D:D,C42,'Base de Dados'!K:K,D42)</f>
        <v/>
      </c>
      <c r="H42" s="2">
        <f>IF(F42&gt;=3,"ALTA",IF(F42&gt;=1,"MÉDIA","NORMAL"))</f>
        <v/>
      </c>
    </row>
    <row r="43">
      <c r="A43" s="16" t="inlineStr">
        <is>
          <t>BL-042</t>
        </is>
      </c>
      <c r="B43" s="4" t="inlineStr">
        <is>
          <t>Rodrigo</t>
        </is>
      </c>
      <c r="C43" s="2" t="inlineStr">
        <is>
          <t>PE</t>
        </is>
      </c>
      <c r="D43" s="2" t="inlineStr">
        <is>
          <t>Semana 2</t>
        </is>
      </c>
      <c r="E43" s="2">
        <f>COUNTIFS('Base de Dados'!H:H,B43,'Base de Dados'!D:D,C43,'Base de Dados'!K:K,D43)</f>
        <v/>
      </c>
      <c r="F43" s="2">
        <f>COUNTIFS('Base de Dados'!H:H,B43,'Base de Dados'!D:D,C43,'Base de Dados'!K:K,D43,'Base de Dados'!I:I,"Estratégico")</f>
        <v/>
      </c>
      <c r="G43" s="2">
        <f>SUMIFS('Base de Dados'!J:J,'Base de Dados'!H:H,B43,'Base de Dados'!D:D,C43,'Base de Dados'!K:K,D43)</f>
        <v/>
      </c>
      <c r="H43" s="2">
        <f>IF(F43&gt;=3,"ALTA",IF(F43&gt;=1,"MÉDIA","NORMAL"))</f>
        <v/>
      </c>
    </row>
    <row r="44">
      <c r="A44" s="16" t="inlineStr">
        <is>
          <t>BL-043</t>
        </is>
      </c>
      <c r="B44" s="4" t="inlineStr">
        <is>
          <t>Rodrigo</t>
        </is>
      </c>
      <c r="C44" s="2" t="inlineStr">
        <is>
          <t>PE</t>
        </is>
      </c>
      <c r="D44" s="2" t="inlineStr">
        <is>
          <t>Semana 3</t>
        </is>
      </c>
      <c r="E44" s="2">
        <f>COUNTIFS('Base de Dados'!H:H,B44,'Base de Dados'!D:D,C44,'Base de Dados'!K:K,D44)</f>
        <v/>
      </c>
      <c r="F44" s="2">
        <f>COUNTIFS('Base de Dados'!H:H,B44,'Base de Dados'!D:D,C44,'Base de Dados'!K:K,D44,'Base de Dados'!I:I,"Estratégico")</f>
        <v/>
      </c>
      <c r="G44" s="2">
        <f>SUMIFS('Base de Dados'!J:J,'Base de Dados'!H:H,B44,'Base de Dados'!D:D,C44,'Base de Dados'!K:K,D44)</f>
        <v/>
      </c>
      <c r="H44" s="2">
        <f>IF(F44&gt;=3,"ALTA",IF(F44&gt;=1,"MÉDIA","NORMAL"))</f>
        <v/>
      </c>
    </row>
    <row r="45">
      <c r="A45" s="16" t="inlineStr">
        <is>
          <t>BL-044</t>
        </is>
      </c>
      <c r="B45" s="4" t="inlineStr">
        <is>
          <t>Rodrigo</t>
        </is>
      </c>
      <c r="C45" s="2" t="inlineStr">
        <is>
          <t>PE</t>
        </is>
      </c>
      <c r="D45" s="2" t="inlineStr">
        <is>
          <t>Semana 4</t>
        </is>
      </c>
      <c r="E45" s="2">
        <f>COUNTIFS('Base de Dados'!H:H,B45,'Base de Dados'!D:D,C45,'Base de Dados'!K:K,D45)</f>
        <v/>
      </c>
      <c r="F45" s="2">
        <f>COUNTIFS('Base de Dados'!H:H,B45,'Base de Dados'!D:D,C45,'Base de Dados'!K:K,D45,'Base de Dados'!I:I,"Estratégico")</f>
        <v/>
      </c>
      <c r="G45" s="2">
        <f>SUMIFS('Base de Dados'!J:J,'Base de Dados'!H:H,B45,'Base de Dados'!D:D,C45,'Base de Dados'!K:K,D45)</f>
        <v/>
      </c>
      <c r="H45" s="2">
        <f>IF(F45&gt;=3,"ALTA",IF(F45&gt;=1,"MÉDIA","NORMAL"))</f>
        <v/>
      </c>
    </row>
    <row r="46">
      <c r="A46" s="16" t="inlineStr">
        <is>
          <t>BL-045</t>
        </is>
      </c>
      <c r="B46" s="4" t="inlineStr">
        <is>
          <t>Rodrigo</t>
        </is>
      </c>
      <c r="C46" s="2" t="inlineStr">
        <is>
          <t>BA</t>
        </is>
      </c>
      <c r="D46" s="2" t="inlineStr">
        <is>
          <t>Semana 1</t>
        </is>
      </c>
      <c r="E46" s="2">
        <f>COUNTIFS('Base de Dados'!H:H,B46,'Base de Dados'!D:D,C46,'Base de Dados'!K:K,D46)</f>
        <v/>
      </c>
      <c r="F46" s="2">
        <f>COUNTIFS('Base de Dados'!H:H,B46,'Base de Dados'!D:D,C46,'Base de Dados'!K:K,D46,'Base de Dados'!I:I,"Estratégico")</f>
        <v/>
      </c>
      <c r="G46" s="2">
        <f>SUMIFS('Base de Dados'!J:J,'Base de Dados'!H:H,B46,'Base de Dados'!D:D,C46,'Base de Dados'!K:K,D46)</f>
        <v/>
      </c>
      <c r="H46" s="2">
        <f>IF(F46&gt;=3,"ALTA",IF(F46&gt;=1,"MÉDIA","NORMAL"))</f>
        <v/>
      </c>
    </row>
    <row r="47">
      <c r="A47" s="16" t="inlineStr">
        <is>
          <t>BL-046</t>
        </is>
      </c>
      <c r="B47" s="4" t="inlineStr">
        <is>
          <t>Rodrigo</t>
        </is>
      </c>
      <c r="C47" s="2" t="inlineStr">
        <is>
          <t>BA</t>
        </is>
      </c>
      <c r="D47" s="2" t="inlineStr">
        <is>
          <t>Semana 2</t>
        </is>
      </c>
      <c r="E47" s="2">
        <f>COUNTIFS('Base de Dados'!H:H,B47,'Base de Dados'!D:D,C47,'Base de Dados'!K:K,D47)</f>
        <v/>
      </c>
      <c r="F47" s="2">
        <f>COUNTIFS('Base de Dados'!H:H,B47,'Base de Dados'!D:D,C47,'Base de Dados'!K:K,D47,'Base de Dados'!I:I,"Estratégico")</f>
        <v/>
      </c>
      <c r="G47" s="2">
        <f>SUMIFS('Base de Dados'!J:J,'Base de Dados'!H:H,B47,'Base de Dados'!D:D,C47,'Base de Dados'!K:K,D47)</f>
        <v/>
      </c>
      <c r="H47" s="2">
        <f>IF(F47&gt;=3,"ALTA",IF(F47&gt;=1,"MÉDIA","NORMAL"))</f>
        <v/>
      </c>
    </row>
    <row r="48">
      <c r="A48" s="16" t="inlineStr">
        <is>
          <t>BL-047</t>
        </is>
      </c>
      <c r="B48" s="4" t="inlineStr">
        <is>
          <t>Rodrigo</t>
        </is>
      </c>
      <c r="C48" s="2" t="inlineStr">
        <is>
          <t>BA</t>
        </is>
      </c>
      <c r="D48" s="2" t="inlineStr">
        <is>
          <t>Semana 3</t>
        </is>
      </c>
      <c r="E48" s="2">
        <f>COUNTIFS('Base de Dados'!H:H,B48,'Base de Dados'!D:D,C48,'Base de Dados'!K:K,D48)</f>
        <v/>
      </c>
      <c r="F48" s="2">
        <f>COUNTIFS('Base de Dados'!H:H,B48,'Base de Dados'!D:D,C48,'Base de Dados'!K:K,D48,'Base de Dados'!I:I,"Estratégico")</f>
        <v/>
      </c>
      <c r="G48" s="2">
        <f>SUMIFS('Base de Dados'!J:J,'Base de Dados'!H:H,B48,'Base de Dados'!D:D,C48,'Base de Dados'!K:K,D48)</f>
        <v/>
      </c>
      <c r="H48" s="2">
        <f>IF(F48&gt;=3,"ALTA",IF(F48&gt;=1,"MÉDIA","NORMAL"))</f>
        <v/>
      </c>
    </row>
    <row r="49">
      <c r="A49" s="16" t="inlineStr">
        <is>
          <t>BL-048</t>
        </is>
      </c>
      <c r="B49" s="4" t="inlineStr">
        <is>
          <t>Rodrigo</t>
        </is>
      </c>
      <c r="C49" s="2" t="inlineStr">
        <is>
          <t>BA</t>
        </is>
      </c>
      <c r="D49" s="2" t="inlineStr">
        <is>
          <t>Semana 4</t>
        </is>
      </c>
      <c r="E49" s="2">
        <f>COUNTIFS('Base de Dados'!H:H,B49,'Base de Dados'!D:D,C49,'Base de Dados'!K:K,D49)</f>
        <v/>
      </c>
      <c r="F49" s="2">
        <f>COUNTIFS('Base de Dados'!H:H,B49,'Base de Dados'!D:D,C49,'Base de Dados'!K:K,D49,'Base de Dados'!I:I,"Estratégico")</f>
        <v/>
      </c>
      <c r="G49" s="2">
        <f>SUMIFS('Base de Dados'!J:J,'Base de Dados'!H:H,B49,'Base de Dados'!D:D,C49,'Base de Dados'!K:K,D49)</f>
        <v/>
      </c>
      <c r="H49" s="2">
        <f>IF(F49&gt;=3,"ALTA",IF(F49&gt;=1,"MÉDIA","NORMAL"))</f>
        <v/>
      </c>
    </row>
    <row r="50">
      <c r="A50" s="16" t="inlineStr">
        <is>
          <t>BL-049</t>
        </is>
      </c>
      <c r="B50" s="4" t="inlineStr">
        <is>
          <t>Rodrigo</t>
        </is>
      </c>
      <c r="C50" s="2" t="inlineStr">
        <is>
          <t>CE</t>
        </is>
      </c>
      <c r="D50" s="2" t="inlineStr">
        <is>
          <t>Semana 1</t>
        </is>
      </c>
      <c r="E50" s="2">
        <f>COUNTIFS('Base de Dados'!H:H,B50,'Base de Dados'!D:D,C50,'Base de Dados'!K:K,D50)</f>
        <v/>
      </c>
      <c r="F50" s="2">
        <f>COUNTIFS('Base de Dados'!H:H,B50,'Base de Dados'!D:D,C50,'Base de Dados'!K:K,D50,'Base de Dados'!I:I,"Estratégico")</f>
        <v/>
      </c>
      <c r="G50" s="2">
        <f>SUMIFS('Base de Dados'!J:J,'Base de Dados'!H:H,B50,'Base de Dados'!D:D,C50,'Base de Dados'!K:K,D50)</f>
        <v/>
      </c>
      <c r="H50" s="2">
        <f>IF(F50&gt;=3,"ALTA",IF(F50&gt;=1,"MÉDIA","NORMAL"))</f>
        <v/>
      </c>
    </row>
    <row r="51">
      <c r="A51" s="16" t="inlineStr">
        <is>
          <t>BL-050</t>
        </is>
      </c>
      <c r="B51" s="4" t="inlineStr">
        <is>
          <t>Rodrigo</t>
        </is>
      </c>
      <c r="C51" s="2" t="inlineStr">
        <is>
          <t>CE</t>
        </is>
      </c>
      <c r="D51" s="2" t="inlineStr">
        <is>
          <t>Semana 2</t>
        </is>
      </c>
      <c r="E51" s="2">
        <f>COUNTIFS('Base de Dados'!H:H,B51,'Base de Dados'!D:D,C51,'Base de Dados'!K:K,D51)</f>
        <v/>
      </c>
      <c r="F51" s="2">
        <f>COUNTIFS('Base de Dados'!H:H,B51,'Base de Dados'!D:D,C51,'Base de Dados'!K:K,D51,'Base de Dados'!I:I,"Estratégico")</f>
        <v/>
      </c>
      <c r="G51" s="2">
        <f>SUMIFS('Base de Dados'!J:J,'Base de Dados'!H:H,B51,'Base de Dados'!D:D,C51,'Base de Dados'!K:K,D51)</f>
        <v/>
      </c>
      <c r="H51" s="2">
        <f>IF(F51&gt;=3,"ALTA",IF(F51&gt;=1,"MÉDIA","NORMAL"))</f>
        <v/>
      </c>
    </row>
    <row r="52">
      <c r="A52" s="16" t="inlineStr">
        <is>
          <t>BL-051</t>
        </is>
      </c>
      <c r="B52" s="4" t="inlineStr">
        <is>
          <t>Rodrigo</t>
        </is>
      </c>
      <c r="C52" s="2" t="inlineStr">
        <is>
          <t>CE</t>
        </is>
      </c>
      <c r="D52" s="2" t="inlineStr">
        <is>
          <t>Semana 3</t>
        </is>
      </c>
      <c r="E52" s="2">
        <f>COUNTIFS('Base de Dados'!H:H,B52,'Base de Dados'!D:D,C52,'Base de Dados'!K:K,D52)</f>
        <v/>
      </c>
      <c r="F52" s="2">
        <f>COUNTIFS('Base de Dados'!H:H,B52,'Base de Dados'!D:D,C52,'Base de Dados'!K:K,D52,'Base de Dados'!I:I,"Estratégico")</f>
        <v/>
      </c>
      <c r="G52" s="2">
        <f>SUMIFS('Base de Dados'!J:J,'Base de Dados'!H:H,B52,'Base de Dados'!D:D,C52,'Base de Dados'!K:K,D52)</f>
        <v/>
      </c>
      <c r="H52" s="2">
        <f>IF(F52&gt;=3,"ALTA",IF(F52&gt;=1,"MÉDIA","NORMAL"))</f>
        <v/>
      </c>
    </row>
    <row r="53">
      <c r="A53" s="16" t="inlineStr">
        <is>
          <t>BL-052</t>
        </is>
      </c>
      <c r="B53" s="4" t="inlineStr">
        <is>
          <t>Rodrigo</t>
        </is>
      </c>
      <c r="C53" s="2" t="inlineStr">
        <is>
          <t>CE</t>
        </is>
      </c>
      <c r="D53" s="2" t="inlineStr">
        <is>
          <t>Semana 4</t>
        </is>
      </c>
      <c r="E53" s="2">
        <f>COUNTIFS('Base de Dados'!H:H,B53,'Base de Dados'!D:D,C53,'Base de Dados'!K:K,D53)</f>
        <v/>
      </c>
      <c r="F53" s="2">
        <f>COUNTIFS('Base de Dados'!H:H,B53,'Base de Dados'!D:D,C53,'Base de Dados'!K:K,D53,'Base de Dados'!I:I,"Estratégico")</f>
        <v/>
      </c>
      <c r="G53" s="2">
        <f>SUMIFS('Base de Dados'!J:J,'Base de Dados'!H:H,B53,'Base de Dados'!D:D,C53,'Base de Dados'!K:K,D53)</f>
        <v/>
      </c>
      <c r="H53" s="2">
        <f>IF(F53&gt;=3,"ALTA",IF(F53&gt;=1,"MÉDIA","NORMAL"))</f>
        <v/>
      </c>
    </row>
    <row r="54">
      <c r="A54" s="16" t="inlineStr">
        <is>
          <t>BL-053</t>
        </is>
      </c>
      <c r="B54" s="4" t="inlineStr">
        <is>
          <t>Yan Aragão</t>
        </is>
      </c>
      <c r="C54" s="2" t="inlineStr">
        <is>
          <t>MT</t>
        </is>
      </c>
      <c r="D54" s="2" t="inlineStr">
        <is>
          <t>Semana 1</t>
        </is>
      </c>
      <c r="E54" s="2">
        <f>COUNTIFS('Base de Dados'!H:H,B54,'Base de Dados'!D:D,C54,'Base de Dados'!K:K,D54)</f>
        <v/>
      </c>
      <c r="F54" s="2">
        <f>COUNTIFS('Base de Dados'!H:H,B54,'Base de Dados'!D:D,C54,'Base de Dados'!K:K,D54,'Base de Dados'!I:I,"Estratégico")</f>
        <v/>
      </c>
      <c r="G54" s="2">
        <f>SUMIFS('Base de Dados'!J:J,'Base de Dados'!H:H,B54,'Base de Dados'!D:D,C54,'Base de Dados'!K:K,D54)</f>
        <v/>
      </c>
      <c r="H54" s="2">
        <f>IF(F54&gt;=3,"ALTA",IF(F54&gt;=1,"MÉDIA","NORMAL"))</f>
        <v/>
      </c>
    </row>
    <row r="55">
      <c r="A55" s="16" t="inlineStr">
        <is>
          <t>BL-054</t>
        </is>
      </c>
      <c r="B55" s="4" t="inlineStr">
        <is>
          <t>Yan Aragão</t>
        </is>
      </c>
      <c r="C55" s="2" t="inlineStr">
        <is>
          <t>MT</t>
        </is>
      </c>
      <c r="D55" s="2" t="inlineStr">
        <is>
          <t>Semana 2</t>
        </is>
      </c>
      <c r="E55" s="2">
        <f>COUNTIFS('Base de Dados'!H:H,B55,'Base de Dados'!D:D,C55,'Base de Dados'!K:K,D55)</f>
        <v/>
      </c>
      <c r="F55" s="2">
        <f>COUNTIFS('Base de Dados'!H:H,B55,'Base de Dados'!D:D,C55,'Base de Dados'!K:K,D55,'Base de Dados'!I:I,"Estratégico")</f>
        <v/>
      </c>
      <c r="G55" s="2">
        <f>SUMIFS('Base de Dados'!J:J,'Base de Dados'!H:H,B55,'Base de Dados'!D:D,C55,'Base de Dados'!K:K,D55)</f>
        <v/>
      </c>
      <c r="H55" s="2">
        <f>IF(F55&gt;=3,"ALTA",IF(F55&gt;=1,"MÉDIA","NORMAL"))</f>
        <v/>
      </c>
    </row>
    <row r="56">
      <c r="A56" s="16" t="inlineStr">
        <is>
          <t>BL-055</t>
        </is>
      </c>
      <c r="B56" s="4" t="inlineStr">
        <is>
          <t>Yan Aragão</t>
        </is>
      </c>
      <c r="C56" s="2" t="inlineStr">
        <is>
          <t>MT</t>
        </is>
      </c>
      <c r="D56" s="2" t="inlineStr">
        <is>
          <t>Semana 3</t>
        </is>
      </c>
      <c r="E56" s="2">
        <f>COUNTIFS('Base de Dados'!H:H,B56,'Base de Dados'!D:D,C56,'Base de Dados'!K:K,D56)</f>
        <v/>
      </c>
      <c r="F56" s="2">
        <f>COUNTIFS('Base de Dados'!H:H,B56,'Base de Dados'!D:D,C56,'Base de Dados'!K:K,D56,'Base de Dados'!I:I,"Estratégico")</f>
        <v/>
      </c>
      <c r="G56" s="2">
        <f>SUMIFS('Base de Dados'!J:J,'Base de Dados'!H:H,B56,'Base de Dados'!D:D,C56,'Base de Dados'!K:K,D56)</f>
        <v/>
      </c>
      <c r="H56" s="2">
        <f>IF(F56&gt;=3,"ALTA",IF(F56&gt;=1,"MÉDIA","NORMAL"))</f>
        <v/>
      </c>
    </row>
    <row r="57">
      <c r="A57" s="16" t="inlineStr">
        <is>
          <t>BL-056</t>
        </is>
      </c>
      <c r="B57" s="4" t="inlineStr">
        <is>
          <t>Yan Aragão</t>
        </is>
      </c>
      <c r="C57" s="2" t="inlineStr">
        <is>
          <t>MT</t>
        </is>
      </c>
      <c r="D57" s="2" t="inlineStr">
        <is>
          <t>Semana 4</t>
        </is>
      </c>
      <c r="E57" s="2">
        <f>COUNTIFS('Base de Dados'!H:H,B57,'Base de Dados'!D:D,C57,'Base de Dados'!K:K,D57)</f>
        <v/>
      </c>
      <c r="F57" s="2">
        <f>COUNTIFS('Base de Dados'!H:H,B57,'Base de Dados'!D:D,C57,'Base de Dados'!K:K,D57,'Base de Dados'!I:I,"Estratégico")</f>
        <v/>
      </c>
      <c r="G57" s="2">
        <f>SUMIFS('Base de Dados'!J:J,'Base de Dados'!H:H,B57,'Base de Dados'!D:D,C57,'Base de Dados'!K:K,D57)</f>
        <v/>
      </c>
      <c r="H57" s="2">
        <f>IF(F57&gt;=3,"ALTA",IF(F57&gt;=1,"MÉDIA","NORMAL"))</f>
        <v/>
      </c>
    </row>
    <row r="58">
      <c r="A58" s="16" t="inlineStr">
        <is>
          <t>BL-057</t>
        </is>
      </c>
      <c r="B58" s="4" t="inlineStr">
        <is>
          <t>Yan Aragão</t>
        </is>
      </c>
      <c r="C58" s="2" t="inlineStr">
        <is>
          <t>MS</t>
        </is>
      </c>
      <c r="D58" s="2" t="inlineStr">
        <is>
          <t>Semana 1</t>
        </is>
      </c>
      <c r="E58" s="2">
        <f>COUNTIFS('Base de Dados'!H:H,B58,'Base de Dados'!D:D,C58,'Base de Dados'!K:K,D58)</f>
        <v/>
      </c>
      <c r="F58" s="2">
        <f>COUNTIFS('Base de Dados'!H:H,B58,'Base de Dados'!D:D,C58,'Base de Dados'!K:K,D58,'Base de Dados'!I:I,"Estratégico")</f>
        <v/>
      </c>
      <c r="G58" s="2">
        <f>SUMIFS('Base de Dados'!J:J,'Base de Dados'!H:H,B58,'Base de Dados'!D:D,C58,'Base de Dados'!K:K,D58)</f>
        <v/>
      </c>
      <c r="H58" s="2">
        <f>IF(F58&gt;=3,"ALTA",IF(F58&gt;=1,"MÉDIA","NORMAL"))</f>
        <v/>
      </c>
    </row>
    <row r="59">
      <c r="A59" s="16" t="inlineStr">
        <is>
          <t>BL-058</t>
        </is>
      </c>
      <c r="B59" s="4" t="inlineStr">
        <is>
          <t>Yan Aragão</t>
        </is>
      </c>
      <c r="C59" s="2" t="inlineStr">
        <is>
          <t>MS</t>
        </is>
      </c>
      <c r="D59" s="2" t="inlineStr">
        <is>
          <t>Semana 2</t>
        </is>
      </c>
      <c r="E59" s="2">
        <f>COUNTIFS('Base de Dados'!H:H,B59,'Base de Dados'!D:D,C59,'Base de Dados'!K:K,D59)</f>
        <v/>
      </c>
      <c r="F59" s="2">
        <f>COUNTIFS('Base de Dados'!H:H,B59,'Base de Dados'!D:D,C59,'Base de Dados'!K:K,D59,'Base de Dados'!I:I,"Estratégico")</f>
        <v/>
      </c>
      <c r="G59" s="2">
        <f>SUMIFS('Base de Dados'!J:J,'Base de Dados'!H:H,B59,'Base de Dados'!D:D,C59,'Base de Dados'!K:K,D59)</f>
        <v/>
      </c>
      <c r="H59" s="2">
        <f>IF(F59&gt;=3,"ALTA",IF(F59&gt;=1,"MÉDIA","NORMAL"))</f>
        <v/>
      </c>
    </row>
    <row r="60">
      <c r="A60" s="16" t="inlineStr">
        <is>
          <t>BL-059</t>
        </is>
      </c>
      <c r="B60" s="4" t="inlineStr">
        <is>
          <t>Yan Aragão</t>
        </is>
      </c>
      <c r="C60" s="2" t="inlineStr">
        <is>
          <t>MS</t>
        </is>
      </c>
      <c r="D60" s="2" t="inlineStr">
        <is>
          <t>Semana 3</t>
        </is>
      </c>
      <c r="E60" s="2">
        <f>COUNTIFS('Base de Dados'!H:H,B60,'Base de Dados'!D:D,C60,'Base de Dados'!K:K,D60)</f>
        <v/>
      </c>
      <c r="F60" s="2">
        <f>COUNTIFS('Base de Dados'!H:H,B60,'Base de Dados'!D:D,C60,'Base de Dados'!K:K,D60,'Base de Dados'!I:I,"Estratégico")</f>
        <v/>
      </c>
      <c r="G60" s="2">
        <f>SUMIFS('Base de Dados'!J:J,'Base de Dados'!H:H,B60,'Base de Dados'!D:D,C60,'Base de Dados'!K:K,D60)</f>
        <v/>
      </c>
      <c r="H60" s="2">
        <f>IF(F60&gt;=3,"ALTA",IF(F60&gt;=1,"MÉDIA","NORMAL"))</f>
        <v/>
      </c>
    </row>
    <row r="61">
      <c r="A61" s="16" t="inlineStr">
        <is>
          <t>BL-060</t>
        </is>
      </c>
      <c r="B61" s="4" t="inlineStr">
        <is>
          <t>Yan Aragão</t>
        </is>
      </c>
      <c r="C61" s="2" t="inlineStr">
        <is>
          <t>MS</t>
        </is>
      </c>
      <c r="D61" s="2" t="inlineStr">
        <is>
          <t>Semana 4</t>
        </is>
      </c>
      <c r="E61" s="2">
        <f>COUNTIFS('Base de Dados'!H:H,B61,'Base de Dados'!D:D,C61,'Base de Dados'!K:K,D61)</f>
        <v/>
      </c>
      <c r="F61" s="2">
        <f>COUNTIFS('Base de Dados'!H:H,B61,'Base de Dados'!D:D,C61,'Base de Dados'!K:K,D61,'Base de Dados'!I:I,"Estratégico")</f>
        <v/>
      </c>
      <c r="G61" s="2">
        <f>SUMIFS('Base de Dados'!J:J,'Base de Dados'!H:H,B61,'Base de Dados'!D:D,C61,'Base de Dados'!K:K,D61)</f>
        <v/>
      </c>
      <c r="H61" s="2">
        <f>IF(F61&gt;=3,"ALTA",IF(F61&gt;=1,"MÉDIA","NORMAL"))</f>
        <v/>
      </c>
    </row>
  </sheetData>
  <autoFilter ref="A1:H6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6" customWidth="1" min="4" max="4"/>
    <col width="14" customWidth="1" min="5" max="5"/>
    <col width="10" customWidth="1" min="6" max="6"/>
    <col width="10" customWidth="1" min="7" max="7"/>
    <col width="10" customWidth="1" min="8" max="8"/>
    <col width="25" customWidth="1" min="9" max="9"/>
  </cols>
  <sheetData>
    <row r="1">
      <c r="A1" s="1" t="inlineStr">
        <is>
          <t>UF</t>
        </is>
      </c>
      <c r="B1" s="1" t="inlineStr">
        <is>
          <t>Cidade</t>
        </is>
      </c>
      <c r="C1" s="1" t="inlineStr">
        <is>
          <t>Total Clientes</t>
        </is>
      </c>
      <c r="D1" s="1" t="inlineStr">
        <is>
          <t>Supervisor(es)</t>
        </is>
      </c>
      <c r="E1" s="1" t="inlineStr">
        <is>
          <t>Estratégicos</t>
        </is>
      </c>
      <c r="F1" s="1" t="inlineStr">
        <is>
          <t>Fortes</t>
        </is>
      </c>
      <c r="G1" s="1" t="inlineStr">
        <is>
          <t>Médios</t>
        </is>
      </c>
      <c r="H1" s="1" t="inlineStr">
        <is>
          <t>Pontuais</t>
        </is>
      </c>
      <c r="I1" s="1" t="inlineStr">
        <is>
          <t>Tipo Cluster</t>
        </is>
      </c>
    </row>
    <row r="2">
      <c r="A2" s="2" t="inlineStr">
        <is>
          <t>AC</t>
        </is>
      </c>
      <c r="B2" s="4" t="inlineStr">
        <is>
          <t>CRUZEIRO DO SUL</t>
        </is>
      </c>
      <c r="C2" s="2">
        <f>COUNTIFS('Base de Dados'!D:D,A2,'Base de Dados'!E:E,B2)</f>
        <v/>
      </c>
      <c r="D2" s="4" t="inlineStr">
        <is>
          <t>Rodrigo</t>
        </is>
      </c>
      <c r="E2" s="2">
        <f>COUNTIFS('Base de Dados'!D:D,A2,'Base de Dados'!E:E,B2,'Base de Dados'!I:I,"Estratégico")</f>
        <v/>
      </c>
      <c r="F2" s="2">
        <f>COUNTIFS('Base de Dados'!D:D,A2,'Base de Dados'!E:E,B2,'Base de Dados'!I:I,"Forte")</f>
        <v/>
      </c>
      <c r="G2" s="2">
        <f>COUNTIFS('Base de Dados'!D:D,A2,'Base de Dados'!E:E,B2,'Base de Dados'!I:I,"Médio")</f>
        <v/>
      </c>
      <c r="H2" s="2">
        <f>COUNTIFS('Base de Dados'!D:D,A2,'Base de Dados'!E:E,B2,'Base de Dados'!I:I,"Pontual")</f>
        <v/>
      </c>
      <c r="I2" s="2">
        <f>IF(C2&gt;=5,"Cluster Grande (5+)",IF(C2&gt;=3,"Cluster Médio (3-4)",IF(C2&gt;=2,"Cluster Pequeno (2)","Cliente Isolado (1)")))</f>
        <v/>
      </c>
    </row>
    <row r="3">
      <c r="A3" s="2" t="inlineStr">
        <is>
          <t>AC</t>
        </is>
      </c>
      <c r="B3" s="4" t="inlineStr">
        <is>
          <t>RIO BRANCO</t>
        </is>
      </c>
      <c r="C3" s="2">
        <f>COUNTIFS('Base de Dados'!D:D,A3,'Base de Dados'!E:E,B3)</f>
        <v/>
      </c>
      <c r="D3" s="4" t="inlineStr">
        <is>
          <t>Rodrigo</t>
        </is>
      </c>
      <c r="E3" s="2">
        <f>COUNTIFS('Base de Dados'!D:D,A3,'Base de Dados'!E:E,B3,'Base de Dados'!I:I,"Estratégico")</f>
        <v/>
      </c>
      <c r="F3" s="2">
        <f>COUNTIFS('Base de Dados'!D:D,A3,'Base de Dados'!E:E,B3,'Base de Dados'!I:I,"Forte")</f>
        <v/>
      </c>
      <c r="G3" s="2">
        <f>COUNTIFS('Base de Dados'!D:D,A3,'Base de Dados'!E:E,B3,'Base de Dados'!I:I,"Médio")</f>
        <v/>
      </c>
      <c r="H3" s="2">
        <f>COUNTIFS('Base de Dados'!D:D,A3,'Base de Dados'!E:E,B3,'Base de Dados'!I:I,"Pontual")</f>
        <v/>
      </c>
      <c r="I3" s="2">
        <f>IF(C3&gt;=5,"Cluster Grande (5+)",IF(C3&gt;=3,"Cluster Médio (3-4)",IF(C3&gt;=2,"Cluster Pequeno (2)","Cliente Isolado (1)")))</f>
        <v/>
      </c>
    </row>
    <row r="4">
      <c r="A4" s="2" t="inlineStr">
        <is>
          <t>AL</t>
        </is>
      </c>
      <c r="B4" s="4" t="inlineStr">
        <is>
          <t>ARAPIRACA</t>
        </is>
      </c>
      <c r="C4" s="2">
        <f>COUNTIFS('Base de Dados'!D:D,A4,'Base de Dados'!E:E,B4)</f>
        <v/>
      </c>
      <c r="D4" s="4" t="inlineStr">
        <is>
          <t>Rodrigo</t>
        </is>
      </c>
      <c r="E4" s="2">
        <f>COUNTIFS('Base de Dados'!D:D,A4,'Base de Dados'!E:E,B4,'Base de Dados'!I:I,"Estratégico")</f>
        <v/>
      </c>
      <c r="F4" s="2">
        <f>COUNTIFS('Base de Dados'!D:D,A4,'Base de Dados'!E:E,B4,'Base de Dados'!I:I,"Forte")</f>
        <v/>
      </c>
      <c r="G4" s="2">
        <f>COUNTIFS('Base de Dados'!D:D,A4,'Base de Dados'!E:E,B4,'Base de Dados'!I:I,"Médio")</f>
        <v/>
      </c>
      <c r="H4" s="2">
        <f>COUNTIFS('Base de Dados'!D:D,A4,'Base de Dados'!E:E,B4,'Base de Dados'!I:I,"Pontual")</f>
        <v/>
      </c>
      <c r="I4" s="2">
        <f>IF(C4&gt;=5,"Cluster Grande (5+)",IF(C4&gt;=3,"Cluster Médio (3-4)",IF(C4&gt;=2,"Cluster Pequeno (2)","Cliente Isolado (1)")))</f>
        <v/>
      </c>
    </row>
    <row r="5">
      <c r="A5" s="2" t="inlineStr">
        <is>
          <t>AL</t>
        </is>
      </c>
      <c r="B5" s="4" t="inlineStr">
        <is>
          <t>DELMIRO GOUVEIA</t>
        </is>
      </c>
      <c r="C5" s="2">
        <f>COUNTIFS('Base de Dados'!D:D,A5,'Base de Dados'!E:E,B5)</f>
        <v/>
      </c>
      <c r="D5" s="4" t="inlineStr">
        <is>
          <t>Rodrigo</t>
        </is>
      </c>
      <c r="E5" s="2">
        <f>COUNTIFS('Base de Dados'!D:D,A5,'Base de Dados'!E:E,B5,'Base de Dados'!I:I,"Estratégico")</f>
        <v/>
      </c>
      <c r="F5" s="2">
        <f>COUNTIFS('Base de Dados'!D:D,A5,'Base de Dados'!E:E,B5,'Base de Dados'!I:I,"Forte")</f>
        <v/>
      </c>
      <c r="G5" s="2">
        <f>COUNTIFS('Base de Dados'!D:D,A5,'Base de Dados'!E:E,B5,'Base de Dados'!I:I,"Médio")</f>
        <v/>
      </c>
      <c r="H5" s="2">
        <f>COUNTIFS('Base de Dados'!D:D,A5,'Base de Dados'!E:E,B5,'Base de Dados'!I:I,"Pontual")</f>
        <v/>
      </c>
      <c r="I5" s="2">
        <f>IF(C5&gt;=5,"Cluster Grande (5+)",IF(C5&gt;=3,"Cluster Médio (3-4)",IF(C5&gt;=2,"Cluster Pequeno (2)","Cliente Isolado (1)")))</f>
        <v/>
      </c>
    </row>
    <row r="6">
      <c r="A6" s="2" t="inlineStr">
        <is>
          <t>AL</t>
        </is>
      </c>
      <c r="B6" s="4" t="inlineStr">
        <is>
          <t>Maceió</t>
        </is>
      </c>
      <c r="C6" s="2">
        <f>COUNTIFS('Base de Dados'!D:D,A6,'Base de Dados'!E:E,B6)</f>
        <v/>
      </c>
      <c r="D6" s="4" t="inlineStr">
        <is>
          <t>Rodrigo</t>
        </is>
      </c>
      <c r="E6" s="2">
        <f>COUNTIFS('Base de Dados'!D:D,A6,'Base de Dados'!E:E,B6,'Base de Dados'!I:I,"Estratégico")</f>
        <v/>
      </c>
      <c r="F6" s="2">
        <f>COUNTIFS('Base de Dados'!D:D,A6,'Base de Dados'!E:E,B6,'Base de Dados'!I:I,"Forte")</f>
        <v/>
      </c>
      <c r="G6" s="2">
        <f>COUNTIFS('Base de Dados'!D:D,A6,'Base de Dados'!E:E,B6,'Base de Dados'!I:I,"Médio")</f>
        <v/>
      </c>
      <c r="H6" s="2">
        <f>COUNTIFS('Base de Dados'!D:D,A6,'Base de Dados'!E:E,B6,'Base de Dados'!I:I,"Pontual")</f>
        <v/>
      </c>
      <c r="I6" s="2">
        <f>IF(C6&gt;=5,"Cluster Grande (5+)",IF(C6&gt;=3,"Cluster Médio (3-4)",IF(C6&gt;=2,"Cluster Pequeno (2)","Cliente Isolado (1)")))</f>
        <v/>
      </c>
    </row>
    <row r="7">
      <c r="A7" s="2" t="inlineStr">
        <is>
          <t>AL</t>
        </is>
      </c>
      <c r="B7" s="4" t="inlineStr">
        <is>
          <t>Olho d'Água das Flores</t>
        </is>
      </c>
      <c r="C7" s="2">
        <f>COUNTIFS('Base de Dados'!D:D,A7,'Base de Dados'!E:E,B7)</f>
        <v/>
      </c>
      <c r="D7" s="4" t="inlineStr">
        <is>
          <t>Rodrigo</t>
        </is>
      </c>
      <c r="E7" s="2">
        <f>COUNTIFS('Base de Dados'!D:D,A7,'Base de Dados'!E:E,B7,'Base de Dados'!I:I,"Estratégico")</f>
        <v/>
      </c>
      <c r="F7" s="2">
        <f>COUNTIFS('Base de Dados'!D:D,A7,'Base de Dados'!E:E,B7,'Base de Dados'!I:I,"Forte")</f>
        <v/>
      </c>
      <c r="G7" s="2">
        <f>COUNTIFS('Base de Dados'!D:D,A7,'Base de Dados'!E:E,B7,'Base de Dados'!I:I,"Médio")</f>
        <v/>
      </c>
      <c r="H7" s="2">
        <f>COUNTIFS('Base de Dados'!D:D,A7,'Base de Dados'!E:E,B7,'Base de Dados'!I:I,"Pontual")</f>
        <v/>
      </c>
      <c r="I7" s="2">
        <f>IF(C7&gt;=5,"Cluster Grande (5+)",IF(C7&gt;=3,"Cluster Médio (3-4)",IF(C7&gt;=2,"Cluster Pequeno (2)","Cliente Isolado (1)")))</f>
        <v/>
      </c>
    </row>
    <row r="8">
      <c r="A8" s="2" t="inlineStr">
        <is>
          <t>AL</t>
        </is>
      </c>
      <c r="B8" s="4" t="inlineStr">
        <is>
          <t>Palmeira dos Índios</t>
        </is>
      </c>
      <c r="C8" s="2">
        <f>COUNTIFS('Base de Dados'!D:D,A8,'Base de Dados'!E:E,B8)</f>
        <v/>
      </c>
      <c r="D8" s="4" t="inlineStr">
        <is>
          <t>Rodrigo</t>
        </is>
      </c>
      <c r="E8" s="2">
        <f>COUNTIFS('Base de Dados'!D:D,A8,'Base de Dados'!E:E,B8,'Base de Dados'!I:I,"Estratégico")</f>
        <v/>
      </c>
      <c r="F8" s="2">
        <f>COUNTIFS('Base de Dados'!D:D,A8,'Base de Dados'!E:E,B8,'Base de Dados'!I:I,"Forte")</f>
        <v/>
      </c>
      <c r="G8" s="2">
        <f>COUNTIFS('Base de Dados'!D:D,A8,'Base de Dados'!E:E,B8,'Base de Dados'!I:I,"Médio")</f>
        <v/>
      </c>
      <c r="H8" s="2">
        <f>COUNTIFS('Base de Dados'!D:D,A8,'Base de Dados'!E:E,B8,'Base de Dados'!I:I,"Pontual")</f>
        <v/>
      </c>
      <c r="I8" s="2">
        <f>IF(C8&gt;=5,"Cluster Grande (5+)",IF(C8&gt;=3,"Cluster Médio (3-4)",IF(C8&gt;=2,"Cluster Pequeno (2)","Cliente Isolado (1)")))</f>
        <v/>
      </c>
    </row>
    <row r="9">
      <c r="A9" s="2" t="inlineStr">
        <is>
          <t>AL</t>
        </is>
      </c>
      <c r="B9" s="4" t="inlineStr">
        <is>
          <t>RIO LARGO</t>
        </is>
      </c>
      <c r="C9" s="2">
        <f>COUNTIFS('Base de Dados'!D:D,A9,'Base de Dados'!E:E,B9)</f>
        <v/>
      </c>
      <c r="D9" s="4" t="inlineStr">
        <is>
          <t>Rodrigo</t>
        </is>
      </c>
      <c r="E9" s="2">
        <f>COUNTIFS('Base de Dados'!D:D,A9,'Base de Dados'!E:E,B9,'Base de Dados'!I:I,"Estratégico")</f>
        <v/>
      </c>
      <c r="F9" s="2">
        <f>COUNTIFS('Base de Dados'!D:D,A9,'Base de Dados'!E:E,B9,'Base de Dados'!I:I,"Forte")</f>
        <v/>
      </c>
      <c r="G9" s="2">
        <f>COUNTIFS('Base de Dados'!D:D,A9,'Base de Dados'!E:E,B9,'Base de Dados'!I:I,"Médio")</f>
        <v/>
      </c>
      <c r="H9" s="2">
        <f>COUNTIFS('Base de Dados'!D:D,A9,'Base de Dados'!E:E,B9,'Base de Dados'!I:I,"Pontual")</f>
        <v/>
      </c>
      <c r="I9" s="2">
        <f>IF(C9&gt;=5,"Cluster Grande (5+)",IF(C9&gt;=3,"Cluster Médio (3-4)",IF(C9&gt;=2,"Cluster Pequeno (2)","Cliente Isolado (1)")))</f>
        <v/>
      </c>
    </row>
    <row r="10">
      <c r="A10" s="2" t="inlineStr">
        <is>
          <t>AL</t>
        </is>
      </c>
      <c r="B10" s="4" t="inlineStr">
        <is>
          <t>SANTANA DO IPANEMA</t>
        </is>
      </c>
      <c r="C10" s="2">
        <f>COUNTIFS('Base de Dados'!D:D,A10,'Base de Dados'!E:E,B10)</f>
        <v/>
      </c>
      <c r="D10" s="4" t="inlineStr">
        <is>
          <t>Rodrigo</t>
        </is>
      </c>
      <c r="E10" s="2">
        <f>COUNTIFS('Base de Dados'!D:D,A10,'Base de Dados'!E:E,B10,'Base de Dados'!I:I,"Estratégico")</f>
        <v/>
      </c>
      <c r="F10" s="2">
        <f>COUNTIFS('Base de Dados'!D:D,A10,'Base de Dados'!E:E,B10,'Base de Dados'!I:I,"Forte")</f>
        <v/>
      </c>
      <c r="G10" s="2">
        <f>COUNTIFS('Base de Dados'!D:D,A10,'Base de Dados'!E:E,B10,'Base de Dados'!I:I,"Médio")</f>
        <v/>
      </c>
      <c r="H10" s="2">
        <f>COUNTIFS('Base de Dados'!D:D,A10,'Base de Dados'!E:E,B10,'Base de Dados'!I:I,"Pontual")</f>
        <v/>
      </c>
      <c r="I10" s="2">
        <f>IF(C10&gt;=5,"Cluster Grande (5+)",IF(C10&gt;=3,"Cluster Médio (3-4)",IF(C10&gt;=2,"Cluster Pequeno (2)","Cliente Isolado (1)")))</f>
        <v/>
      </c>
    </row>
    <row r="11">
      <c r="A11" s="2" t="inlineStr">
        <is>
          <t>AL</t>
        </is>
      </c>
      <c r="B11" s="4" t="inlineStr">
        <is>
          <t>São José da Tapera</t>
        </is>
      </c>
      <c r="C11" s="2">
        <f>COUNTIFS('Base de Dados'!D:D,A11,'Base de Dados'!E:E,B11)</f>
        <v/>
      </c>
      <c r="D11" s="4" t="inlineStr">
        <is>
          <t>Rodrigo</t>
        </is>
      </c>
      <c r="E11" s="2">
        <f>COUNTIFS('Base de Dados'!D:D,A11,'Base de Dados'!E:E,B11,'Base de Dados'!I:I,"Estratégico")</f>
        <v/>
      </c>
      <c r="F11" s="2">
        <f>COUNTIFS('Base de Dados'!D:D,A11,'Base de Dados'!E:E,B11,'Base de Dados'!I:I,"Forte")</f>
        <v/>
      </c>
      <c r="G11" s="2">
        <f>COUNTIFS('Base de Dados'!D:D,A11,'Base de Dados'!E:E,B11,'Base de Dados'!I:I,"Médio")</f>
        <v/>
      </c>
      <c r="H11" s="2">
        <f>COUNTIFS('Base de Dados'!D:D,A11,'Base de Dados'!E:E,B11,'Base de Dados'!I:I,"Pontual")</f>
        <v/>
      </c>
      <c r="I11" s="2">
        <f>IF(C11&gt;=5,"Cluster Grande (5+)",IF(C11&gt;=3,"Cluster Médio (3-4)",IF(C11&gt;=2,"Cluster Pequeno (2)","Cliente Isolado (1)")))</f>
        <v/>
      </c>
    </row>
    <row r="12">
      <c r="A12" s="2" t="inlineStr">
        <is>
          <t>AL</t>
        </is>
      </c>
      <c r="B12" s="4" t="inlineStr">
        <is>
          <t>Teotônio Vilela</t>
        </is>
      </c>
      <c r="C12" s="2">
        <f>COUNTIFS('Base de Dados'!D:D,A12,'Base de Dados'!E:E,B12)</f>
        <v/>
      </c>
      <c r="D12" s="4" t="inlineStr">
        <is>
          <t>Rodrigo</t>
        </is>
      </c>
      <c r="E12" s="2">
        <f>COUNTIFS('Base de Dados'!D:D,A12,'Base de Dados'!E:E,B12,'Base de Dados'!I:I,"Estratégico")</f>
        <v/>
      </c>
      <c r="F12" s="2">
        <f>COUNTIFS('Base de Dados'!D:D,A12,'Base de Dados'!E:E,B12,'Base de Dados'!I:I,"Forte")</f>
        <v/>
      </c>
      <c r="G12" s="2">
        <f>COUNTIFS('Base de Dados'!D:D,A12,'Base de Dados'!E:E,B12,'Base de Dados'!I:I,"Médio")</f>
        <v/>
      </c>
      <c r="H12" s="2">
        <f>COUNTIFS('Base de Dados'!D:D,A12,'Base de Dados'!E:E,B12,'Base de Dados'!I:I,"Pontual")</f>
        <v/>
      </c>
      <c r="I12" s="2">
        <f>IF(C12&gt;=5,"Cluster Grande (5+)",IF(C12&gt;=3,"Cluster Médio (3-4)",IF(C12&gt;=2,"Cluster Pequeno (2)","Cliente Isolado (1)")))</f>
        <v/>
      </c>
    </row>
    <row r="13">
      <c r="A13" s="2" t="inlineStr">
        <is>
          <t>AL</t>
        </is>
      </c>
      <c r="B13" s="4" t="inlineStr">
        <is>
          <t>Viçosa</t>
        </is>
      </c>
      <c r="C13" s="2">
        <f>COUNTIFS('Base de Dados'!D:D,A13,'Base de Dados'!E:E,B13)</f>
        <v/>
      </c>
      <c r="D13" s="4" t="inlineStr">
        <is>
          <t>Rodrigo</t>
        </is>
      </c>
      <c r="E13" s="2">
        <f>COUNTIFS('Base de Dados'!D:D,A13,'Base de Dados'!E:E,B13,'Base de Dados'!I:I,"Estratégico")</f>
        <v/>
      </c>
      <c r="F13" s="2">
        <f>COUNTIFS('Base de Dados'!D:D,A13,'Base de Dados'!E:E,B13,'Base de Dados'!I:I,"Forte")</f>
        <v/>
      </c>
      <c r="G13" s="2">
        <f>COUNTIFS('Base de Dados'!D:D,A13,'Base de Dados'!E:E,B13,'Base de Dados'!I:I,"Médio")</f>
        <v/>
      </c>
      <c r="H13" s="2">
        <f>COUNTIFS('Base de Dados'!D:D,A13,'Base de Dados'!E:E,B13,'Base de Dados'!I:I,"Pontual")</f>
        <v/>
      </c>
      <c r="I13" s="2">
        <f>IF(C13&gt;=5,"Cluster Grande (5+)",IF(C13&gt;=3,"Cluster Médio (3-4)",IF(C13&gt;=2,"Cluster Pequeno (2)","Cliente Isolado (1)")))</f>
        <v/>
      </c>
    </row>
    <row r="14">
      <c r="A14" s="2" t="inlineStr">
        <is>
          <t>AM</t>
        </is>
      </c>
      <c r="B14" s="4" t="inlineStr">
        <is>
          <t>Humaitá</t>
        </is>
      </c>
      <c r="C14" s="2">
        <f>COUNTIFS('Base de Dados'!D:D,A14,'Base de Dados'!E:E,B14)</f>
        <v/>
      </c>
      <c r="D14" s="4" t="inlineStr">
        <is>
          <t>Rodrigo</t>
        </is>
      </c>
      <c r="E14" s="2">
        <f>COUNTIFS('Base de Dados'!D:D,A14,'Base de Dados'!E:E,B14,'Base de Dados'!I:I,"Estratégico")</f>
        <v/>
      </c>
      <c r="F14" s="2">
        <f>COUNTIFS('Base de Dados'!D:D,A14,'Base de Dados'!E:E,B14,'Base de Dados'!I:I,"Forte")</f>
        <v/>
      </c>
      <c r="G14" s="2">
        <f>COUNTIFS('Base de Dados'!D:D,A14,'Base de Dados'!E:E,B14,'Base de Dados'!I:I,"Médio")</f>
        <v/>
      </c>
      <c r="H14" s="2">
        <f>COUNTIFS('Base de Dados'!D:D,A14,'Base de Dados'!E:E,B14,'Base de Dados'!I:I,"Pontual")</f>
        <v/>
      </c>
      <c r="I14" s="2">
        <f>IF(C14&gt;=5,"Cluster Grande (5+)",IF(C14&gt;=3,"Cluster Médio (3-4)",IF(C14&gt;=2,"Cluster Pequeno (2)","Cliente Isolado (1)")))</f>
        <v/>
      </c>
    </row>
    <row r="15">
      <c r="A15" s="2" t="inlineStr">
        <is>
          <t>AM</t>
        </is>
      </c>
      <c r="B15" s="4" t="inlineStr">
        <is>
          <t>MANAUS</t>
        </is>
      </c>
      <c r="C15" s="2">
        <f>COUNTIFS('Base de Dados'!D:D,A15,'Base de Dados'!E:E,B15)</f>
        <v/>
      </c>
      <c r="D15" s="4" t="inlineStr">
        <is>
          <t>Rodrigo</t>
        </is>
      </c>
      <c r="E15" s="2">
        <f>COUNTIFS('Base de Dados'!D:D,A15,'Base de Dados'!E:E,B15,'Base de Dados'!I:I,"Estratégico")</f>
        <v/>
      </c>
      <c r="F15" s="2">
        <f>COUNTIFS('Base de Dados'!D:D,A15,'Base de Dados'!E:E,B15,'Base de Dados'!I:I,"Forte")</f>
        <v/>
      </c>
      <c r="G15" s="2">
        <f>COUNTIFS('Base de Dados'!D:D,A15,'Base de Dados'!E:E,B15,'Base de Dados'!I:I,"Médio")</f>
        <v/>
      </c>
      <c r="H15" s="2">
        <f>COUNTIFS('Base de Dados'!D:D,A15,'Base de Dados'!E:E,B15,'Base de Dados'!I:I,"Pontual")</f>
        <v/>
      </c>
      <c r="I15" s="2">
        <f>IF(C15&gt;=5,"Cluster Grande (5+)",IF(C15&gt;=3,"Cluster Médio (3-4)",IF(C15&gt;=2,"Cluster Pequeno (2)","Cliente Isolado (1)")))</f>
        <v/>
      </c>
    </row>
    <row r="16">
      <c r="A16" s="2" t="inlineStr">
        <is>
          <t>AM</t>
        </is>
      </c>
      <c r="B16" s="4" t="inlineStr">
        <is>
          <t>PARINTINS</t>
        </is>
      </c>
      <c r="C16" s="2">
        <f>COUNTIFS('Base de Dados'!D:D,A16,'Base de Dados'!E:E,B16)</f>
        <v/>
      </c>
      <c r="D16" s="4" t="inlineStr">
        <is>
          <t>Rodrigo</t>
        </is>
      </c>
      <c r="E16" s="2">
        <f>COUNTIFS('Base de Dados'!D:D,A16,'Base de Dados'!E:E,B16,'Base de Dados'!I:I,"Estratégico")</f>
        <v/>
      </c>
      <c r="F16" s="2">
        <f>COUNTIFS('Base de Dados'!D:D,A16,'Base de Dados'!E:E,B16,'Base de Dados'!I:I,"Forte")</f>
        <v/>
      </c>
      <c r="G16" s="2">
        <f>COUNTIFS('Base de Dados'!D:D,A16,'Base de Dados'!E:E,B16,'Base de Dados'!I:I,"Médio")</f>
        <v/>
      </c>
      <c r="H16" s="2">
        <f>COUNTIFS('Base de Dados'!D:D,A16,'Base de Dados'!E:E,B16,'Base de Dados'!I:I,"Pontual")</f>
        <v/>
      </c>
      <c r="I16" s="2">
        <f>IF(C16&gt;=5,"Cluster Grande (5+)",IF(C16&gt;=3,"Cluster Médio (3-4)",IF(C16&gt;=2,"Cluster Pequeno (2)","Cliente Isolado (1)")))</f>
        <v/>
      </c>
    </row>
    <row r="17">
      <c r="A17" s="2" t="inlineStr">
        <is>
          <t>AP</t>
        </is>
      </c>
      <c r="B17" s="4" t="inlineStr">
        <is>
          <t>MACAPA</t>
        </is>
      </c>
      <c r="C17" s="2">
        <f>COUNTIFS('Base de Dados'!D:D,A17,'Base de Dados'!E:E,B17)</f>
        <v/>
      </c>
      <c r="D17" s="4" t="inlineStr">
        <is>
          <t>Rodrigo</t>
        </is>
      </c>
      <c r="E17" s="2">
        <f>COUNTIFS('Base de Dados'!D:D,A17,'Base de Dados'!E:E,B17,'Base de Dados'!I:I,"Estratégico")</f>
        <v/>
      </c>
      <c r="F17" s="2">
        <f>COUNTIFS('Base de Dados'!D:D,A17,'Base de Dados'!E:E,B17,'Base de Dados'!I:I,"Forte")</f>
        <v/>
      </c>
      <c r="G17" s="2">
        <f>COUNTIFS('Base de Dados'!D:D,A17,'Base de Dados'!E:E,B17,'Base de Dados'!I:I,"Médio")</f>
        <v/>
      </c>
      <c r="H17" s="2">
        <f>COUNTIFS('Base de Dados'!D:D,A17,'Base de Dados'!E:E,B17,'Base de Dados'!I:I,"Pontual")</f>
        <v/>
      </c>
      <c r="I17" s="2">
        <f>IF(C17&gt;=5,"Cluster Grande (5+)",IF(C17&gt;=3,"Cluster Médio (3-4)",IF(C17&gt;=2,"Cluster Pequeno (2)","Cliente Isolado (1)")))</f>
        <v/>
      </c>
    </row>
    <row r="18">
      <c r="A18" s="2" t="inlineStr">
        <is>
          <t>AP</t>
        </is>
      </c>
      <c r="B18" s="4" t="inlineStr">
        <is>
          <t>SANTANA</t>
        </is>
      </c>
      <c r="C18" s="2">
        <f>COUNTIFS('Base de Dados'!D:D,A18,'Base de Dados'!E:E,B18)</f>
        <v/>
      </c>
      <c r="D18" s="4" t="inlineStr">
        <is>
          <t>Rodrigo</t>
        </is>
      </c>
      <c r="E18" s="2">
        <f>COUNTIFS('Base de Dados'!D:D,A18,'Base de Dados'!E:E,B18,'Base de Dados'!I:I,"Estratégico")</f>
        <v/>
      </c>
      <c r="F18" s="2">
        <f>COUNTIFS('Base de Dados'!D:D,A18,'Base de Dados'!E:E,B18,'Base de Dados'!I:I,"Forte")</f>
        <v/>
      </c>
      <c r="G18" s="2">
        <f>COUNTIFS('Base de Dados'!D:D,A18,'Base de Dados'!E:E,B18,'Base de Dados'!I:I,"Médio")</f>
        <v/>
      </c>
      <c r="H18" s="2">
        <f>COUNTIFS('Base de Dados'!D:D,A18,'Base de Dados'!E:E,B18,'Base de Dados'!I:I,"Pontual")</f>
        <v/>
      </c>
      <c r="I18" s="2">
        <f>IF(C18&gt;=5,"Cluster Grande (5+)",IF(C18&gt;=3,"Cluster Médio (3-4)",IF(C18&gt;=2,"Cluster Pequeno (2)","Cliente Isolado (1)")))</f>
        <v/>
      </c>
    </row>
    <row r="19">
      <c r="A19" s="2" t="inlineStr">
        <is>
          <t>BA</t>
        </is>
      </c>
      <c r="B19" s="4" t="inlineStr">
        <is>
          <t>ALAGOINHAS</t>
        </is>
      </c>
      <c r="C19" s="2">
        <f>COUNTIFS('Base de Dados'!D:D,A19,'Base de Dados'!E:E,B19)</f>
        <v/>
      </c>
      <c r="D19" s="4" t="inlineStr">
        <is>
          <t>Rodrigo</t>
        </is>
      </c>
      <c r="E19" s="2">
        <f>COUNTIFS('Base de Dados'!D:D,A19,'Base de Dados'!E:E,B19,'Base de Dados'!I:I,"Estratégico")</f>
        <v/>
      </c>
      <c r="F19" s="2">
        <f>COUNTIFS('Base de Dados'!D:D,A19,'Base de Dados'!E:E,B19,'Base de Dados'!I:I,"Forte")</f>
        <v/>
      </c>
      <c r="G19" s="2">
        <f>COUNTIFS('Base de Dados'!D:D,A19,'Base de Dados'!E:E,B19,'Base de Dados'!I:I,"Médio")</f>
        <v/>
      </c>
      <c r="H19" s="2">
        <f>COUNTIFS('Base de Dados'!D:D,A19,'Base de Dados'!E:E,B19,'Base de Dados'!I:I,"Pontual")</f>
        <v/>
      </c>
      <c r="I19" s="2">
        <f>IF(C19&gt;=5,"Cluster Grande (5+)",IF(C19&gt;=3,"Cluster Médio (3-4)",IF(C19&gt;=2,"Cluster Pequeno (2)","Cliente Isolado (1)")))</f>
        <v/>
      </c>
    </row>
    <row r="20">
      <c r="A20" s="2" t="inlineStr">
        <is>
          <t>BA</t>
        </is>
      </c>
      <c r="B20" s="4" t="inlineStr">
        <is>
          <t>CAMAMU</t>
        </is>
      </c>
      <c r="C20" s="2">
        <f>COUNTIFS('Base de Dados'!D:D,A20,'Base de Dados'!E:E,B20)</f>
        <v/>
      </c>
      <c r="D20" s="4" t="inlineStr">
        <is>
          <t>Rodrigo</t>
        </is>
      </c>
      <c r="E20" s="2">
        <f>COUNTIFS('Base de Dados'!D:D,A20,'Base de Dados'!E:E,B20,'Base de Dados'!I:I,"Estratégico")</f>
        <v/>
      </c>
      <c r="F20" s="2">
        <f>COUNTIFS('Base de Dados'!D:D,A20,'Base de Dados'!E:E,B20,'Base de Dados'!I:I,"Forte")</f>
        <v/>
      </c>
      <c r="G20" s="2">
        <f>COUNTIFS('Base de Dados'!D:D,A20,'Base de Dados'!E:E,B20,'Base de Dados'!I:I,"Médio")</f>
        <v/>
      </c>
      <c r="H20" s="2">
        <f>COUNTIFS('Base de Dados'!D:D,A20,'Base de Dados'!E:E,B20,'Base de Dados'!I:I,"Pontual")</f>
        <v/>
      </c>
      <c r="I20" s="2">
        <f>IF(C20&gt;=5,"Cluster Grande (5+)",IF(C20&gt;=3,"Cluster Médio (3-4)",IF(C20&gt;=2,"Cluster Pequeno (2)","Cliente Isolado (1)")))</f>
        <v/>
      </c>
    </row>
    <row r="21">
      <c r="A21" s="2" t="inlineStr">
        <is>
          <t>BA</t>
        </is>
      </c>
      <c r="B21" s="4" t="inlineStr">
        <is>
          <t>CAMAÇARI</t>
        </is>
      </c>
      <c r="C21" s="2">
        <f>COUNTIFS('Base de Dados'!D:D,A21,'Base de Dados'!E:E,B21)</f>
        <v/>
      </c>
      <c r="D21" s="4" t="inlineStr">
        <is>
          <t>Rodrigo</t>
        </is>
      </c>
      <c r="E21" s="2">
        <f>COUNTIFS('Base de Dados'!D:D,A21,'Base de Dados'!E:E,B21,'Base de Dados'!I:I,"Estratégico")</f>
        <v/>
      </c>
      <c r="F21" s="2">
        <f>COUNTIFS('Base de Dados'!D:D,A21,'Base de Dados'!E:E,B21,'Base de Dados'!I:I,"Forte")</f>
        <v/>
      </c>
      <c r="G21" s="2">
        <f>COUNTIFS('Base de Dados'!D:D,A21,'Base de Dados'!E:E,B21,'Base de Dados'!I:I,"Médio")</f>
        <v/>
      </c>
      <c r="H21" s="2">
        <f>COUNTIFS('Base de Dados'!D:D,A21,'Base de Dados'!E:E,B21,'Base de Dados'!I:I,"Pontual")</f>
        <v/>
      </c>
      <c r="I21" s="2">
        <f>IF(C21&gt;=5,"Cluster Grande (5+)",IF(C21&gt;=3,"Cluster Médio (3-4)",IF(C21&gt;=2,"Cluster Pequeno (2)","Cliente Isolado (1)")))</f>
        <v/>
      </c>
    </row>
    <row r="22">
      <c r="A22" s="2" t="inlineStr">
        <is>
          <t>BA</t>
        </is>
      </c>
      <c r="B22" s="4" t="inlineStr">
        <is>
          <t>CAMPO FORMOSO</t>
        </is>
      </c>
      <c r="C22" s="2">
        <f>COUNTIFS('Base de Dados'!D:D,A22,'Base de Dados'!E:E,B22)</f>
        <v/>
      </c>
      <c r="D22" s="4" t="inlineStr">
        <is>
          <t>Rodrigo</t>
        </is>
      </c>
      <c r="E22" s="2">
        <f>COUNTIFS('Base de Dados'!D:D,A22,'Base de Dados'!E:E,B22,'Base de Dados'!I:I,"Estratégico")</f>
        <v/>
      </c>
      <c r="F22" s="2">
        <f>COUNTIFS('Base de Dados'!D:D,A22,'Base de Dados'!E:E,B22,'Base de Dados'!I:I,"Forte")</f>
        <v/>
      </c>
      <c r="G22" s="2">
        <f>COUNTIFS('Base de Dados'!D:D,A22,'Base de Dados'!E:E,B22,'Base de Dados'!I:I,"Médio")</f>
        <v/>
      </c>
      <c r="H22" s="2">
        <f>COUNTIFS('Base de Dados'!D:D,A22,'Base de Dados'!E:E,B22,'Base de Dados'!I:I,"Pontual")</f>
        <v/>
      </c>
      <c r="I22" s="2">
        <f>IF(C22&gt;=5,"Cluster Grande (5+)",IF(C22&gt;=3,"Cluster Médio (3-4)",IF(C22&gt;=2,"Cluster Pequeno (2)","Cliente Isolado (1)")))</f>
        <v/>
      </c>
    </row>
    <row r="23">
      <c r="A23" s="2" t="inlineStr">
        <is>
          <t>BA</t>
        </is>
      </c>
      <c r="B23" s="4" t="inlineStr">
        <is>
          <t>Camaçari</t>
        </is>
      </c>
      <c r="C23" s="2">
        <f>COUNTIFS('Base de Dados'!D:D,A23,'Base de Dados'!E:E,B23)</f>
        <v/>
      </c>
      <c r="D23" s="4" t="inlineStr">
        <is>
          <t>Rodrigo</t>
        </is>
      </c>
      <c r="E23" s="2">
        <f>COUNTIFS('Base de Dados'!D:D,A23,'Base de Dados'!E:E,B23,'Base de Dados'!I:I,"Estratégico")</f>
        <v/>
      </c>
      <c r="F23" s="2">
        <f>COUNTIFS('Base de Dados'!D:D,A23,'Base de Dados'!E:E,B23,'Base de Dados'!I:I,"Forte")</f>
        <v/>
      </c>
      <c r="G23" s="2">
        <f>COUNTIFS('Base de Dados'!D:D,A23,'Base de Dados'!E:E,B23,'Base de Dados'!I:I,"Médio")</f>
        <v/>
      </c>
      <c r="H23" s="2">
        <f>COUNTIFS('Base de Dados'!D:D,A23,'Base de Dados'!E:E,B23,'Base de Dados'!I:I,"Pontual")</f>
        <v/>
      </c>
      <c r="I23" s="2">
        <f>IF(C23&gt;=5,"Cluster Grande (5+)",IF(C23&gt;=3,"Cluster Médio (3-4)",IF(C23&gt;=2,"Cluster Pequeno (2)","Cliente Isolado (1)")))</f>
        <v/>
      </c>
    </row>
    <row r="24">
      <c r="A24" s="2" t="inlineStr">
        <is>
          <t>BA</t>
        </is>
      </c>
      <c r="B24" s="4" t="inlineStr">
        <is>
          <t>Eunápolis</t>
        </is>
      </c>
      <c r="C24" s="2">
        <f>COUNTIFS('Base de Dados'!D:D,A24,'Base de Dados'!E:E,B24)</f>
        <v/>
      </c>
      <c r="D24" s="4" t="inlineStr">
        <is>
          <t>Rodrigo</t>
        </is>
      </c>
      <c r="E24" s="2">
        <f>COUNTIFS('Base de Dados'!D:D,A24,'Base de Dados'!E:E,B24,'Base de Dados'!I:I,"Estratégico")</f>
        <v/>
      </c>
      <c r="F24" s="2">
        <f>COUNTIFS('Base de Dados'!D:D,A24,'Base de Dados'!E:E,B24,'Base de Dados'!I:I,"Forte")</f>
        <v/>
      </c>
      <c r="G24" s="2">
        <f>COUNTIFS('Base de Dados'!D:D,A24,'Base de Dados'!E:E,B24,'Base de Dados'!I:I,"Médio")</f>
        <v/>
      </c>
      <c r="H24" s="2">
        <f>COUNTIFS('Base de Dados'!D:D,A24,'Base de Dados'!E:E,B24,'Base de Dados'!I:I,"Pontual")</f>
        <v/>
      </c>
      <c r="I24" s="2">
        <f>IF(C24&gt;=5,"Cluster Grande (5+)",IF(C24&gt;=3,"Cluster Médio (3-4)",IF(C24&gt;=2,"Cluster Pequeno (2)","Cliente Isolado (1)")))</f>
        <v/>
      </c>
    </row>
    <row r="25">
      <c r="A25" s="2" t="inlineStr">
        <is>
          <t>BA</t>
        </is>
      </c>
      <c r="B25" s="4" t="inlineStr">
        <is>
          <t>FEIRA DE SANTANA</t>
        </is>
      </c>
      <c r="C25" s="2">
        <f>COUNTIFS('Base de Dados'!D:D,A25,'Base de Dados'!E:E,B25)</f>
        <v/>
      </c>
      <c r="D25" s="4" t="inlineStr">
        <is>
          <t>Rodrigo</t>
        </is>
      </c>
      <c r="E25" s="2">
        <f>COUNTIFS('Base de Dados'!D:D,A25,'Base de Dados'!E:E,B25,'Base de Dados'!I:I,"Estratégico")</f>
        <v/>
      </c>
      <c r="F25" s="2">
        <f>COUNTIFS('Base de Dados'!D:D,A25,'Base de Dados'!E:E,B25,'Base de Dados'!I:I,"Forte")</f>
        <v/>
      </c>
      <c r="G25" s="2">
        <f>COUNTIFS('Base de Dados'!D:D,A25,'Base de Dados'!E:E,B25,'Base de Dados'!I:I,"Médio")</f>
        <v/>
      </c>
      <c r="H25" s="2">
        <f>COUNTIFS('Base de Dados'!D:D,A25,'Base de Dados'!E:E,B25,'Base de Dados'!I:I,"Pontual")</f>
        <v/>
      </c>
      <c r="I25" s="2">
        <f>IF(C25&gt;=5,"Cluster Grande (5+)",IF(C25&gt;=3,"Cluster Médio (3-4)",IF(C25&gt;=2,"Cluster Pequeno (2)","Cliente Isolado (1)")))</f>
        <v/>
      </c>
    </row>
    <row r="26">
      <c r="A26" s="2" t="inlineStr">
        <is>
          <t>BA</t>
        </is>
      </c>
      <c r="B26" s="4" t="inlineStr">
        <is>
          <t>ITABELA</t>
        </is>
      </c>
      <c r="C26" s="2">
        <f>COUNTIFS('Base de Dados'!D:D,A26,'Base de Dados'!E:E,B26)</f>
        <v/>
      </c>
      <c r="D26" s="4" t="inlineStr">
        <is>
          <t>Rodrigo</t>
        </is>
      </c>
      <c r="E26" s="2">
        <f>COUNTIFS('Base de Dados'!D:D,A26,'Base de Dados'!E:E,B26,'Base de Dados'!I:I,"Estratégico")</f>
        <v/>
      </c>
      <c r="F26" s="2">
        <f>COUNTIFS('Base de Dados'!D:D,A26,'Base de Dados'!E:E,B26,'Base de Dados'!I:I,"Forte")</f>
        <v/>
      </c>
      <c r="G26" s="2">
        <f>COUNTIFS('Base de Dados'!D:D,A26,'Base de Dados'!E:E,B26,'Base de Dados'!I:I,"Médio")</f>
        <v/>
      </c>
      <c r="H26" s="2">
        <f>COUNTIFS('Base de Dados'!D:D,A26,'Base de Dados'!E:E,B26,'Base de Dados'!I:I,"Pontual")</f>
        <v/>
      </c>
      <c r="I26" s="2">
        <f>IF(C26&gt;=5,"Cluster Grande (5+)",IF(C26&gt;=3,"Cluster Médio (3-4)",IF(C26&gt;=2,"Cluster Pequeno (2)","Cliente Isolado (1)")))</f>
        <v/>
      </c>
    </row>
    <row r="27">
      <c r="A27" s="2" t="inlineStr">
        <is>
          <t>BA</t>
        </is>
      </c>
      <c r="B27" s="4" t="inlineStr">
        <is>
          <t>ITABERABA</t>
        </is>
      </c>
      <c r="C27" s="2">
        <f>COUNTIFS('Base de Dados'!D:D,A27,'Base de Dados'!E:E,B27)</f>
        <v/>
      </c>
      <c r="D27" s="4" t="inlineStr">
        <is>
          <t>Rodrigo</t>
        </is>
      </c>
      <c r="E27" s="2">
        <f>COUNTIFS('Base de Dados'!D:D,A27,'Base de Dados'!E:E,B27,'Base de Dados'!I:I,"Estratégico")</f>
        <v/>
      </c>
      <c r="F27" s="2">
        <f>COUNTIFS('Base de Dados'!D:D,A27,'Base de Dados'!E:E,B27,'Base de Dados'!I:I,"Forte")</f>
        <v/>
      </c>
      <c r="G27" s="2">
        <f>COUNTIFS('Base de Dados'!D:D,A27,'Base de Dados'!E:E,B27,'Base de Dados'!I:I,"Médio")</f>
        <v/>
      </c>
      <c r="H27" s="2">
        <f>COUNTIFS('Base de Dados'!D:D,A27,'Base de Dados'!E:E,B27,'Base de Dados'!I:I,"Pontual")</f>
        <v/>
      </c>
      <c r="I27" s="2">
        <f>IF(C27&gt;=5,"Cluster Grande (5+)",IF(C27&gt;=3,"Cluster Médio (3-4)",IF(C27&gt;=2,"Cluster Pequeno (2)","Cliente Isolado (1)")))</f>
        <v/>
      </c>
    </row>
    <row r="28">
      <c r="A28" s="2" t="inlineStr">
        <is>
          <t>BA</t>
        </is>
      </c>
      <c r="B28" s="4" t="inlineStr">
        <is>
          <t>ITABUNA</t>
        </is>
      </c>
      <c r="C28" s="2">
        <f>COUNTIFS('Base de Dados'!D:D,A28,'Base de Dados'!E:E,B28)</f>
        <v/>
      </c>
      <c r="D28" s="4" t="inlineStr">
        <is>
          <t>Rodrigo</t>
        </is>
      </c>
      <c r="E28" s="2">
        <f>COUNTIFS('Base de Dados'!D:D,A28,'Base de Dados'!E:E,B28,'Base de Dados'!I:I,"Estratégico")</f>
        <v/>
      </c>
      <c r="F28" s="2">
        <f>COUNTIFS('Base de Dados'!D:D,A28,'Base de Dados'!E:E,B28,'Base de Dados'!I:I,"Forte")</f>
        <v/>
      </c>
      <c r="G28" s="2">
        <f>COUNTIFS('Base de Dados'!D:D,A28,'Base de Dados'!E:E,B28,'Base de Dados'!I:I,"Médio")</f>
        <v/>
      </c>
      <c r="H28" s="2">
        <f>COUNTIFS('Base de Dados'!D:D,A28,'Base de Dados'!E:E,B28,'Base de Dados'!I:I,"Pontual")</f>
        <v/>
      </c>
      <c r="I28" s="2">
        <f>IF(C28&gt;=5,"Cluster Grande (5+)",IF(C28&gt;=3,"Cluster Médio (3-4)",IF(C28&gt;=2,"Cluster Pequeno (2)","Cliente Isolado (1)")))</f>
        <v/>
      </c>
    </row>
    <row r="29">
      <c r="A29" s="2" t="inlineStr">
        <is>
          <t>BA</t>
        </is>
      </c>
      <c r="B29" s="4" t="inlineStr">
        <is>
          <t>Ilhéus</t>
        </is>
      </c>
      <c r="C29" s="2">
        <f>COUNTIFS('Base de Dados'!D:D,A29,'Base de Dados'!E:E,B29)</f>
        <v/>
      </c>
      <c r="D29" s="4" t="inlineStr">
        <is>
          <t>Rodrigo</t>
        </is>
      </c>
      <c r="E29" s="2">
        <f>COUNTIFS('Base de Dados'!D:D,A29,'Base de Dados'!E:E,B29,'Base de Dados'!I:I,"Estratégico")</f>
        <v/>
      </c>
      <c r="F29" s="2">
        <f>COUNTIFS('Base de Dados'!D:D,A29,'Base de Dados'!E:E,B29,'Base de Dados'!I:I,"Forte")</f>
        <v/>
      </c>
      <c r="G29" s="2">
        <f>COUNTIFS('Base de Dados'!D:D,A29,'Base de Dados'!E:E,B29,'Base de Dados'!I:I,"Médio")</f>
        <v/>
      </c>
      <c r="H29" s="2">
        <f>COUNTIFS('Base de Dados'!D:D,A29,'Base de Dados'!E:E,B29,'Base de Dados'!I:I,"Pontual")</f>
        <v/>
      </c>
      <c r="I29" s="2">
        <f>IF(C29&gt;=5,"Cluster Grande (5+)",IF(C29&gt;=3,"Cluster Médio (3-4)",IF(C29&gt;=2,"Cluster Pequeno (2)","Cliente Isolado (1)")))</f>
        <v/>
      </c>
    </row>
    <row r="30">
      <c r="A30" s="2" t="inlineStr">
        <is>
          <t>BA</t>
        </is>
      </c>
      <c r="B30" s="4" t="inlineStr">
        <is>
          <t>Ipiaú</t>
        </is>
      </c>
      <c r="C30" s="2">
        <f>COUNTIFS('Base de Dados'!D:D,A30,'Base de Dados'!E:E,B30)</f>
        <v/>
      </c>
      <c r="D30" s="4" t="inlineStr">
        <is>
          <t>Rodrigo</t>
        </is>
      </c>
      <c r="E30" s="2">
        <f>COUNTIFS('Base de Dados'!D:D,A30,'Base de Dados'!E:E,B30,'Base de Dados'!I:I,"Estratégico")</f>
        <v/>
      </c>
      <c r="F30" s="2">
        <f>COUNTIFS('Base de Dados'!D:D,A30,'Base de Dados'!E:E,B30,'Base de Dados'!I:I,"Forte")</f>
        <v/>
      </c>
      <c r="G30" s="2">
        <f>COUNTIFS('Base de Dados'!D:D,A30,'Base de Dados'!E:E,B30,'Base de Dados'!I:I,"Médio")</f>
        <v/>
      </c>
      <c r="H30" s="2">
        <f>COUNTIFS('Base de Dados'!D:D,A30,'Base de Dados'!E:E,B30,'Base de Dados'!I:I,"Pontual")</f>
        <v/>
      </c>
      <c r="I30" s="2">
        <f>IF(C30&gt;=5,"Cluster Grande (5+)",IF(C30&gt;=3,"Cluster Médio (3-4)",IF(C30&gt;=2,"Cluster Pequeno (2)","Cliente Isolado (1)")))</f>
        <v/>
      </c>
    </row>
    <row r="31">
      <c r="A31" s="2" t="inlineStr">
        <is>
          <t>BA</t>
        </is>
      </c>
      <c r="B31" s="4" t="inlineStr">
        <is>
          <t>Irecê</t>
        </is>
      </c>
      <c r="C31" s="2">
        <f>COUNTIFS('Base de Dados'!D:D,A31,'Base de Dados'!E:E,B31)</f>
        <v/>
      </c>
      <c r="D31" s="4" t="inlineStr">
        <is>
          <t>Rodrigo</t>
        </is>
      </c>
      <c r="E31" s="2">
        <f>COUNTIFS('Base de Dados'!D:D,A31,'Base de Dados'!E:E,B31,'Base de Dados'!I:I,"Estratégico")</f>
        <v/>
      </c>
      <c r="F31" s="2">
        <f>COUNTIFS('Base de Dados'!D:D,A31,'Base de Dados'!E:E,B31,'Base de Dados'!I:I,"Forte")</f>
        <v/>
      </c>
      <c r="G31" s="2">
        <f>COUNTIFS('Base de Dados'!D:D,A31,'Base de Dados'!E:E,B31,'Base de Dados'!I:I,"Médio")</f>
        <v/>
      </c>
      <c r="H31" s="2">
        <f>COUNTIFS('Base de Dados'!D:D,A31,'Base de Dados'!E:E,B31,'Base de Dados'!I:I,"Pontual")</f>
        <v/>
      </c>
      <c r="I31" s="2">
        <f>IF(C31&gt;=5,"Cluster Grande (5+)",IF(C31&gt;=3,"Cluster Médio (3-4)",IF(C31&gt;=2,"Cluster Pequeno (2)","Cliente Isolado (1)")))</f>
        <v/>
      </c>
    </row>
    <row r="32">
      <c r="A32" s="2" t="inlineStr">
        <is>
          <t>BA</t>
        </is>
      </c>
      <c r="B32" s="4" t="inlineStr">
        <is>
          <t>Itamaraju</t>
        </is>
      </c>
      <c r="C32" s="2">
        <f>COUNTIFS('Base de Dados'!D:D,A32,'Base de Dados'!E:E,B32)</f>
        <v/>
      </c>
      <c r="D32" s="4" t="inlineStr">
        <is>
          <t>Rodrigo</t>
        </is>
      </c>
      <c r="E32" s="2">
        <f>COUNTIFS('Base de Dados'!D:D,A32,'Base de Dados'!E:E,B32,'Base de Dados'!I:I,"Estratégico")</f>
        <v/>
      </c>
      <c r="F32" s="2">
        <f>COUNTIFS('Base de Dados'!D:D,A32,'Base de Dados'!E:E,B32,'Base de Dados'!I:I,"Forte")</f>
        <v/>
      </c>
      <c r="G32" s="2">
        <f>COUNTIFS('Base de Dados'!D:D,A32,'Base de Dados'!E:E,B32,'Base de Dados'!I:I,"Médio")</f>
        <v/>
      </c>
      <c r="H32" s="2">
        <f>COUNTIFS('Base de Dados'!D:D,A32,'Base de Dados'!E:E,B32,'Base de Dados'!I:I,"Pontual")</f>
        <v/>
      </c>
      <c r="I32" s="2">
        <f>IF(C32&gt;=5,"Cluster Grande (5+)",IF(C32&gt;=3,"Cluster Médio (3-4)",IF(C32&gt;=2,"Cluster Pequeno (2)","Cliente Isolado (1)")))</f>
        <v/>
      </c>
    </row>
    <row r="33">
      <c r="A33" s="2" t="inlineStr">
        <is>
          <t>BA</t>
        </is>
      </c>
      <c r="B33" s="4" t="inlineStr">
        <is>
          <t>JACOBINA</t>
        </is>
      </c>
      <c r="C33" s="2">
        <f>COUNTIFS('Base de Dados'!D:D,A33,'Base de Dados'!E:E,B33)</f>
        <v/>
      </c>
      <c r="D33" s="4" t="inlineStr">
        <is>
          <t>Rodrigo</t>
        </is>
      </c>
      <c r="E33" s="2">
        <f>COUNTIFS('Base de Dados'!D:D,A33,'Base de Dados'!E:E,B33,'Base de Dados'!I:I,"Estratégico")</f>
        <v/>
      </c>
      <c r="F33" s="2">
        <f>COUNTIFS('Base de Dados'!D:D,A33,'Base de Dados'!E:E,B33,'Base de Dados'!I:I,"Forte")</f>
        <v/>
      </c>
      <c r="G33" s="2">
        <f>COUNTIFS('Base de Dados'!D:D,A33,'Base de Dados'!E:E,B33,'Base de Dados'!I:I,"Médio")</f>
        <v/>
      </c>
      <c r="H33" s="2">
        <f>COUNTIFS('Base de Dados'!D:D,A33,'Base de Dados'!E:E,B33,'Base de Dados'!I:I,"Pontual")</f>
        <v/>
      </c>
      <c r="I33" s="2">
        <f>IF(C33&gt;=5,"Cluster Grande (5+)",IF(C33&gt;=3,"Cluster Médio (3-4)",IF(C33&gt;=2,"Cluster Pequeno (2)","Cliente Isolado (1)")))</f>
        <v/>
      </c>
    </row>
    <row r="34">
      <c r="A34" s="2" t="inlineStr">
        <is>
          <t>BA</t>
        </is>
      </c>
      <c r="B34" s="4" t="inlineStr">
        <is>
          <t>JAGUAQUARA</t>
        </is>
      </c>
      <c r="C34" s="2">
        <f>COUNTIFS('Base de Dados'!D:D,A34,'Base de Dados'!E:E,B34)</f>
        <v/>
      </c>
      <c r="D34" s="4" t="inlineStr">
        <is>
          <t>Rodrigo</t>
        </is>
      </c>
      <c r="E34" s="2">
        <f>COUNTIFS('Base de Dados'!D:D,A34,'Base de Dados'!E:E,B34,'Base de Dados'!I:I,"Estratégico")</f>
        <v/>
      </c>
      <c r="F34" s="2">
        <f>COUNTIFS('Base de Dados'!D:D,A34,'Base de Dados'!E:E,B34,'Base de Dados'!I:I,"Forte")</f>
        <v/>
      </c>
      <c r="G34" s="2">
        <f>COUNTIFS('Base de Dados'!D:D,A34,'Base de Dados'!E:E,B34,'Base de Dados'!I:I,"Médio")</f>
        <v/>
      </c>
      <c r="H34" s="2">
        <f>COUNTIFS('Base de Dados'!D:D,A34,'Base de Dados'!E:E,B34,'Base de Dados'!I:I,"Pontual")</f>
        <v/>
      </c>
      <c r="I34" s="2">
        <f>IF(C34&gt;=5,"Cluster Grande (5+)",IF(C34&gt;=3,"Cluster Médio (3-4)",IF(C34&gt;=2,"Cluster Pequeno (2)","Cliente Isolado (1)")))</f>
        <v/>
      </c>
    </row>
    <row r="35">
      <c r="A35" s="2" t="inlineStr">
        <is>
          <t>BA</t>
        </is>
      </c>
      <c r="B35" s="4" t="inlineStr">
        <is>
          <t>JUAZEIRO</t>
        </is>
      </c>
      <c r="C35" s="2">
        <f>COUNTIFS('Base de Dados'!D:D,A35,'Base de Dados'!E:E,B35)</f>
        <v/>
      </c>
      <c r="D35" s="4" t="inlineStr">
        <is>
          <t>Rodrigo</t>
        </is>
      </c>
      <c r="E35" s="2">
        <f>COUNTIFS('Base de Dados'!D:D,A35,'Base de Dados'!E:E,B35,'Base de Dados'!I:I,"Estratégico")</f>
        <v/>
      </c>
      <c r="F35" s="2">
        <f>COUNTIFS('Base de Dados'!D:D,A35,'Base de Dados'!E:E,B35,'Base de Dados'!I:I,"Forte")</f>
        <v/>
      </c>
      <c r="G35" s="2">
        <f>COUNTIFS('Base de Dados'!D:D,A35,'Base de Dados'!E:E,B35,'Base de Dados'!I:I,"Médio")</f>
        <v/>
      </c>
      <c r="H35" s="2">
        <f>COUNTIFS('Base de Dados'!D:D,A35,'Base de Dados'!E:E,B35,'Base de Dados'!I:I,"Pontual")</f>
        <v/>
      </c>
      <c r="I35" s="2">
        <f>IF(C35&gt;=5,"Cluster Grande (5+)",IF(C35&gt;=3,"Cluster Médio (3-4)",IF(C35&gt;=2,"Cluster Pequeno (2)","Cliente Isolado (1)")))</f>
        <v/>
      </c>
    </row>
    <row r="36">
      <c r="A36" s="2" t="inlineStr">
        <is>
          <t>BA</t>
        </is>
      </c>
      <c r="B36" s="4" t="inlineStr">
        <is>
          <t>Jequié</t>
        </is>
      </c>
      <c r="C36" s="2">
        <f>COUNTIFS('Base de Dados'!D:D,A36,'Base de Dados'!E:E,B36)</f>
        <v/>
      </c>
      <c r="D36" s="4" t="inlineStr">
        <is>
          <t>Rodrigo</t>
        </is>
      </c>
      <c r="E36" s="2">
        <f>COUNTIFS('Base de Dados'!D:D,A36,'Base de Dados'!E:E,B36,'Base de Dados'!I:I,"Estratégico")</f>
        <v/>
      </c>
      <c r="F36" s="2">
        <f>COUNTIFS('Base de Dados'!D:D,A36,'Base de Dados'!E:E,B36,'Base de Dados'!I:I,"Forte")</f>
        <v/>
      </c>
      <c r="G36" s="2">
        <f>COUNTIFS('Base de Dados'!D:D,A36,'Base de Dados'!E:E,B36,'Base de Dados'!I:I,"Médio")</f>
        <v/>
      </c>
      <c r="H36" s="2">
        <f>COUNTIFS('Base de Dados'!D:D,A36,'Base de Dados'!E:E,B36,'Base de Dados'!I:I,"Pontual")</f>
        <v/>
      </c>
      <c r="I36" s="2">
        <f>IF(C36&gt;=5,"Cluster Grande (5+)",IF(C36&gt;=3,"Cluster Médio (3-4)",IF(C36&gt;=2,"Cluster Pequeno (2)","Cliente Isolado (1)")))</f>
        <v/>
      </c>
    </row>
    <row r="37">
      <c r="A37" s="2" t="inlineStr">
        <is>
          <t>BA</t>
        </is>
      </c>
      <c r="B37" s="4" t="inlineStr">
        <is>
          <t>PAULO AFONSO</t>
        </is>
      </c>
      <c r="C37" s="2">
        <f>COUNTIFS('Base de Dados'!D:D,A37,'Base de Dados'!E:E,B37)</f>
        <v/>
      </c>
      <c r="D37" s="4" t="inlineStr">
        <is>
          <t>Rodrigo</t>
        </is>
      </c>
      <c r="E37" s="2">
        <f>COUNTIFS('Base de Dados'!D:D,A37,'Base de Dados'!E:E,B37,'Base de Dados'!I:I,"Estratégico")</f>
        <v/>
      </c>
      <c r="F37" s="2">
        <f>COUNTIFS('Base de Dados'!D:D,A37,'Base de Dados'!E:E,B37,'Base de Dados'!I:I,"Forte")</f>
        <v/>
      </c>
      <c r="G37" s="2">
        <f>COUNTIFS('Base de Dados'!D:D,A37,'Base de Dados'!E:E,B37,'Base de Dados'!I:I,"Médio")</f>
        <v/>
      </c>
      <c r="H37" s="2">
        <f>COUNTIFS('Base de Dados'!D:D,A37,'Base de Dados'!E:E,B37,'Base de Dados'!I:I,"Pontual")</f>
        <v/>
      </c>
      <c r="I37" s="2">
        <f>IF(C37&gt;=5,"Cluster Grande (5+)",IF(C37&gt;=3,"Cluster Médio (3-4)",IF(C37&gt;=2,"Cluster Pequeno (2)","Cliente Isolado (1)")))</f>
        <v/>
      </c>
    </row>
    <row r="38">
      <c r="A38" s="2" t="inlineStr">
        <is>
          <t>BA</t>
        </is>
      </c>
      <c r="B38" s="4" t="inlineStr">
        <is>
          <t>PORTO SEGURO</t>
        </is>
      </c>
      <c r="C38" s="2">
        <f>COUNTIFS('Base de Dados'!D:D,A38,'Base de Dados'!E:E,B38)</f>
        <v/>
      </c>
      <c r="D38" s="4" t="inlineStr">
        <is>
          <t>Rodrigo</t>
        </is>
      </c>
      <c r="E38" s="2">
        <f>COUNTIFS('Base de Dados'!D:D,A38,'Base de Dados'!E:E,B38,'Base de Dados'!I:I,"Estratégico")</f>
        <v/>
      </c>
      <c r="F38" s="2">
        <f>COUNTIFS('Base de Dados'!D:D,A38,'Base de Dados'!E:E,B38,'Base de Dados'!I:I,"Forte")</f>
        <v/>
      </c>
      <c r="G38" s="2">
        <f>COUNTIFS('Base de Dados'!D:D,A38,'Base de Dados'!E:E,B38,'Base de Dados'!I:I,"Médio")</f>
        <v/>
      </c>
      <c r="H38" s="2">
        <f>COUNTIFS('Base de Dados'!D:D,A38,'Base de Dados'!E:E,B38,'Base de Dados'!I:I,"Pontual")</f>
        <v/>
      </c>
      <c r="I38" s="2">
        <f>IF(C38&gt;=5,"Cluster Grande (5+)",IF(C38&gt;=3,"Cluster Médio (3-4)",IF(C38&gt;=2,"Cluster Pequeno (2)","Cliente Isolado (1)")))</f>
        <v/>
      </c>
    </row>
    <row r="39">
      <c r="A39" s="2" t="inlineStr">
        <is>
          <t>BA</t>
        </is>
      </c>
      <c r="B39" s="4" t="inlineStr">
        <is>
          <t>RIO REAL</t>
        </is>
      </c>
      <c r="C39" s="2">
        <f>COUNTIFS('Base de Dados'!D:D,A39,'Base de Dados'!E:E,B39)</f>
        <v/>
      </c>
      <c r="D39" s="4" t="inlineStr">
        <is>
          <t>Rodrigo</t>
        </is>
      </c>
      <c r="E39" s="2">
        <f>COUNTIFS('Base de Dados'!D:D,A39,'Base de Dados'!E:E,B39,'Base de Dados'!I:I,"Estratégico")</f>
        <v/>
      </c>
      <c r="F39" s="2">
        <f>COUNTIFS('Base de Dados'!D:D,A39,'Base de Dados'!E:E,B39,'Base de Dados'!I:I,"Forte")</f>
        <v/>
      </c>
      <c r="G39" s="2">
        <f>COUNTIFS('Base de Dados'!D:D,A39,'Base de Dados'!E:E,B39,'Base de Dados'!I:I,"Médio")</f>
        <v/>
      </c>
      <c r="H39" s="2">
        <f>COUNTIFS('Base de Dados'!D:D,A39,'Base de Dados'!E:E,B39,'Base de Dados'!I:I,"Pontual")</f>
        <v/>
      </c>
      <c r="I39" s="2">
        <f>IF(C39&gt;=5,"Cluster Grande (5+)",IF(C39&gt;=3,"Cluster Médio (3-4)",IF(C39&gt;=2,"Cluster Pequeno (2)","Cliente Isolado (1)")))</f>
        <v/>
      </c>
    </row>
    <row r="40">
      <c r="A40" s="2" t="inlineStr">
        <is>
          <t>BA</t>
        </is>
      </c>
      <c r="B40" s="4" t="inlineStr">
        <is>
          <t>SALVADOR</t>
        </is>
      </c>
      <c r="C40" s="2">
        <f>COUNTIFS('Base de Dados'!D:D,A40,'Base de Dados'!E:E,B40)</f>
        <v/>
      </c>
      <c r="D40" s="4" t="inlineStr">
        <is>
          <t>Rodrigo</t>
        </is>
      </c>
      <c r="E40" s="2">
        <f>COUNTIFS('Base de Dados'!D:D,A40,'Base de Dados'!E:E,B40,'Base de Dados'!I:I,"Estratégico")</f>
        <v/>
      </c>
      <c r="F40" s="2">
        <f>COUNTIFS('Base de Dados'!D:D,A40,'Base de Dados'!E:E,B40,'Base de Dados'!I:I,"Forte")</f>
        <v/>
      </c>
      <c r="G40" s="2">
        <f>COUNTIFS('Base de Dados'!D:D,A40,'Base de Dados'!E:E,B40,'Base de Dados'!I:I,"Médio")</f>
        <v/>
      </c>
      <c r="H40" s="2">
        <f>COUNTIFS('Base de Dados'!D:D,A40,'Base de Dados'!E:E,B40,'Base de Dados'!I:I,"Pontual")</f>
        <v/>
      </c>
      <c r="I40" s="2">
        <f>IF(C40&gt;=5,"Cluster Grande (5+)",IF(C40&gt;=3,"Cluster Médio (3-4)",IF(C40&gt;=2,"Cluster Pequeno (2)","Cliente Isolado (1)")))</f>
        <v/>
      </c>
    </row>
    <row r="41">
      <c r="A41" s="2" t="inlineStr">
        <is>
          <t>BA</t>
        </is>
      </c>
      <c r="B41" s="4" t="inlineStr">
        <is>
          <t>Santo Antônio de Jesus</t>
        </is>
      </c>
      <c r="C41" s="2">
        <f>COUNTIFS('Base de Dados'!D:D,A41,'Base de Dados'!E:E,B41)</f>
        <v/>
      </c>
      <c r="D41" s="4" t="inlineStr">
        <is>
          <t>Rodrigo</t>
        </is>
      </c>
      <c r="E41" s="2">
        <f>COUNTIFS('Base de Dados'!D:D,A41,'Base de Dados'!E:E,B41,'Base de Dados'!I:I,"Estratégico")</f>
        <v/>
      </c>
      <c r="F41" s="2">
        <f>COUNTIFS('Base de Dados'!D:D,A41,'Base de Dados'!E:E,B41,'Base de Dados'!I:I,"Forte")</f>
        <v/>
      </c>
      <c r="G41" s="2">
        <f>COUNTIFS('Base de Dados'!D:D,A41,'Base de Dados'!E:E,B41,'Base de Dados'!I:I,"Médio")</f>
        <v/>
      </c>
      <c r="H41" s="2">
        <f>COUNTIFS('Base de Dados'!D:D,A41,'Base de Dados'!E:E,B41,'Base de Dados'!I:I,"Pontual")</f>
        <v/>
      </c>
      <c r="I41" s="2">
        <f>IF(C41&gt;=5,"Cluster Grande (5+)",IF(C41&gt;=3,"Cluster Médio (3-4)",IF(C41&gt;=2,"Cluster Pequeno (2)","Cliente Isolado (1)")))</f>
        <v/>
      </c>
    </row>
    <row r="42">
      <c r="A42" s="2" t="inlineStr">
        <is>
          <t>BA</t>
        </is>
      </c>
      <c r="B42" s="4" t="inlineStr">
        <is>
          <t>TEIXEIRA DE FREITAS</t>
        </is>
      </c>
      <c r="C42" s="2">
        <f>COUNTIFS('Base de Dados'!D:D,A42,'Base de Dados'!E:E,B42)</f>
        <v/>
      </c>
      <c r="D42" s="4" t="inlineStr">
        <is>
          <t>Rodrigo</t>
        </is>
      </c>
      <c r="E42" s="2">
        <f>COUNTIFS('Base de Dados'!D:D,A42,'Base de Dados'!E:E,B42,'Base de Dados'!I:I,"Estratégico")</f>
        <v/>
      </c>
      <c r="F42" s="2">
        <f>COUNTIFS('Base de Dados'!D:D,A42,'Base de Dados'!E:E,B42,'Base de Dados'!I:I,"Forte")</f>
        <v/>
      </c>
      <c r="G42" s="2">
        <f>COUNTIFS('Base de Dados'!D:D,A42,'Base de Dados'!E:E,B42,'Base de Dados'!I:I,"Médio")</f>
        <v/>
      </c>
      <c r="H42" s="2">
        <f>COUNTIFS('Base de Dados'!D:D,A42,'Base de Dados'!E:E,B42,'Base de Dados'!I:I,"Pontual")</f>
        <v/>
      </c>
      <c r="I42" s="2">
        <f>IF(C42&gt;=5,"Cluster Grande (5+)",IF(C42&gt;=3,"Cluster Médio (3-4)",IF(C42&gt;=2,"Cluster Pequeno (2)","Cliente Isolado (1)")))</f>
        <v/>
      </c>
    </row>
    <row r="43">
      <c r="A43" s="2" t="inlineStr">
        <is>
          <t>BA</t>
        </is>
      </c>
      <c r="B43" s="4" t="inlineStr">
        <is>
          <t>Vitória da Conquista</t>
        </is>
      </c>
      <c r="C43" s="2">
        <f>COUNTIFS('Base de Dados'!D:D,A43,'Base de Dados'!E:E,B43)</f>
        <v/>
      </c>
      <c r="D43" s="4" t="inlineStr">
        <is>
          <t>Rodrigo</t>
        </is>
      </c>
      <c r="E43" s="2">
        <f>COUNTIFS('Base de Dados'!D:D,A43,'Base de Dados'!E:E,B43,'Base de Dados'!I:I,"Estratégico")</f>
        <v/>
      </c>
      <c r="F43" s="2">
        <f>COUNTIFS('Base de Dados'!D:D,A43,'Base de Dados'!E:E,B43,'Base de Dados'!I:I,"Forte")</f>
        <v/>
      </c>
      <c r="G43" s="2">
        <f>COUNTIFS('Base de Dados'!D:D,A43,'Base de Dados'!E:E,B43,'Base de Dados'!I:I,"Médio")</f>
        <v/>
      </c>
      <c r="H43" s="2">
        <f>COUNTIFS('Base de Dados'!D:D,A43,'Base de Dados'!E:E,B43,'Base de Dados'!I:I,"Pontual")</f>
        <v/>
      </c>
      <c r="I43" s="2">
        <f>IF(C43&gt;=5,"Cluster Grande (5+)",IF(C43&gt;=3,"Cluster Médio (3-4)",IF(C43&gt;=2,"Cluster Pequeno (2)","Cliente Isolado (1)")))</f>
        <v/>
      </c>
    </row>
    <row r="44">
      <c r="A44" s="2" t="inlineStr">
        <is>
          <t>BA</t>
        </is>
      </c>
      <c r="B44" s="4" t="inlineStr">
        <is>
          <t>Várzea da Roça</t>
        </is>
      </c>
      <c r="C44" s="2">
        <f>COUNTIFS('Base de Dados'!D:D,A44,'Base de Dados'!E:E,B44)</f>
        <v/>
      </c>
      <c r="D44" s="4" t="inlineStr">
        <is>
          <t>Rodrigo</t>
        </is>
      </c>
      <c r="E44" s="2">
        <f>COUNTIFS('Base de Dados'!D:D,A44,'Base de Dados'!E:E,B44,'Base de Dados'!I:I,"Estratégico")</f>
        <v/>
      </c>
      <c r="F44" s="2">
        <f>COUNTIFS('Base de Dados'!D:D,A44,'Base de Dados'!E:E,B44,'Base de Dados'!I:I,"Forte")</f>
        <v/>
      </c>
      <c r="G44" s="2">
        <f>COUNTIFS('Base de Dados'!D:D,A44,'Base de Dados'!E:E,B44,'Base de Dados'!I:I,"Médio")</f>
        <v/>
      </c>
      <c r="H44" s="2">
        <f>COUNTIFS('Base de Dados'!D:D,A44,'Base de Dados'!E:E,B44,'Base de Dados'!I:I,"Pontual")</f>
        <v/>
      </c>
      <c r="I44" s="2">
        <f>IF(C44&gt;=5,"Cluster Grande (5+)",IF(C44&gt;=3,"Cluster Médio (3-4)",IF(C44&gt;=2,"Cluster Pequeno (2)","Cliente Isolado (1)")))</f>
        <v/>
      </c>
    </row>
    <row r="45">
      <c r="A45" s="2" t="inlineStr">
        <is>
          <t>CE</t>
        </is>
      </c>
      <c r="B45" s="4" t="inlineStr">
        <is>
          <t>CAMOCIM</t>
        </is>
      </c>
      <c r="C45" s="2">
        <f>COUNTIFS('Base de Dados'!D:D,A45,'Base de Dados'!E:E,B45)</f>
        <v/>
      </c>
      <c r="D45" s="4" t="inlineStr">
        <is>
          <t>Rodrigo</t>
        </is>
      </c>
      <c r="E45" s="2">
        <f>COUNTIFS('Base de Dados'!D:D,A45,'Base de Dados'!E:E,B45,'Base de Dados'!I:I,"Estratégico")</f>
        <v/>
      </c>
      <c r="F45" s="2">
        <f>COUNTIFS('Base de Dados'!D:D,A45,'Base de Dados'!E:E,B45,'Base de Dados'!I:I,"Forte")</f>
        <v/>
      </c>
      <c r="G45" s="2">
        <f>COUNTIFS('Base de Dados'!D:D,A45,'Base de Dados'!E:E,B45,'Base de Dados'!I:I,"Médio")</f>
        <v/>
      </c>
      <c r="H45" s="2">
        <f>COUNTIFS('Base de Dados'!D:D,A45,'Base de Dados'!E:E,B45,'Base de Dados'!I:I,"Pontual")</f>
        <v/>
      </c>
      <c r="I45" s="2">
        <f>IF(C45&gt;=5,"Cluster Grande (5+)",IF(C45&gt;=3,"Cluster Médio (3-4)",IF(C45&gt;=2,"Cluster Pequeno (2)","Cliente Isolado (1)")))</f>
        <v/>
      </c>
    </row>
    <row r="46">
      <c r="A46" s="2" t="inlineStr">
        <is>
          <t>CE</t>
        </is>
      </c>
      <c r="B46" s="4" t="inlineStr">
        <is>
          <t>CAUCAIA</t>
        </is>
      </c>
      <c r="C46" s="2">
        <f>COUNTIFS('Base de Dados'!D:D,A46,'Base de Dados'!E:E,B46)</f>
        <v/>
      </c>
      <c r="D46" s="4" t="inlineStr">
        <is>
          <t>Rodrigo</t>
        </is>
      </c>
      <c r="E46" s="2">
        <f>COUNTIFS('Base de Dados'!D:D,A46,'Base de Dados'!E:E,B46,'Base de Dados'!I:I,"Estratégico")</f>
        <v/>
      </c>
      <c r="F46" s="2">
        <f>COUNTIFS('Base de Dados'!D:D,A46,'Base de Dados'!E:E,B46,'Base de Dados'!I:I,"Forte")</f>
        <v/>
      </c>
      <c r="G46" s="2">
        <f>COUNTIFS('Base de Dados'!D:D,A46,'Base de Dados'!E:E,B46,'Base de Dados'!I:I,"Médio")</f>
        <v/>
      </c>
      <c r="H46" s="2">
        <f>COUNTIFS('Base de Dados'!D:D,A46,'Base de Dados'!E:E,B46,'Base de Dados'!I:I,"Pontual")</f>
        <v/>
      </c>
      <c r="I46" s="2">
        <f>IF(C46&gt;=5,"Cluster Grande (5+)",IF(C46&gt;=3,"Cluster Médio (3-4)",IF(C46&gt;=2,"Cluster Pequeno (2)","Cliente Isolado (1)")))</f>
        <v/>
      </c>
    </row>
    <row r="47">
      <c r="A47" s="2" t="inlineStr">
        <is>
          <t>CE</t>
        </is>
      </c>
      <c r="B47" s="4" t="inlineStr">
        <is>
          <t>FORTALEZA</t>
        </is>
      </c>
      <c r="C47" s="2">
        <f>COUNTIFS('Base de Dados'!D:D,A47,'Base de Dados'!E:E,B47)</f>
        <v/>
      </c>
      <c r="D47" s="4" t="inlineStr">
        <is>
          <t>Rodrigo</t>
        </is>
      </c>
      <c r="E47" s="2">
        <f>COUNTIFS('Base de Dados'!D:D,A47,'Base de Dados'!E:E,B47,'Base de Dados'!I:I,"Estratégico")</f>
        <v/>
      </c>
      <c r="F47" s="2">
        <f>COUNTIFS('Base de Dados'!D:D,A47,'Base de Dados'!E:E,B47,'Base de Dados'!I:I,"Forte")</f>
        <v/>
      </c>
      <c r="G47" s="2">
        <f>COUNTIFS('Base de Dados'!D:D,A47,'Base de Dados'!E:E,B47,'Base de Dados'!I:I,"Médio")</f>
        <v/>
      </c>
      <c r="H47" s="2">
        <f>COUNTIFS('Base de Dados'!D:D,A47,'Base de Dados'!E:E,B47,'Base de Dados'!I:I,"Pontual")</f>
        <v/>
      </c>
      <c r="I47" s="2">
        <f>IF(C47&gt;=5,"Cluster Grande (5+)",IF(C47&gt;=3,"Cluster Médio (3-4)",IF(C47&gt;=2,"Cluster Pequeno (2)","Cliente Isolado (1)")))</f>
        <v/>
      </c>
    </row>
    <row r="48">
      <c r="A48" s="2" t="inlineStr">
        <is>
          <t>CE</t>
        </is>
      </c>
      <c r="B48" s="4" t="inlineStr">
        <is>
          <t>JUAZEIRO DO NORTE</t>
        </is>
      </c>
      <c r="C48" s="2">
        <f>COUNTIFS('Base de Dados'!D:D,A48,'Base de Dados'!E:E,B48)</f>
        <v/>
      </c>
      <c r="D48" s="4" t="inlineStr">
        <is>
          <t>Rodrigo</t>
        </is>
      </c>
      <c r="E48" s="2">
        <f>COUNTIFS('Base de Dados'!D:D,A48,'Base de Dados'!E:E,B48,'Base de Dados'!I:I,"Estratégico")</f>
        <v/>
      </c>
      <c r="F48" s="2">
        <f>COUNTIFS('Base de Dados'!D:D,A48,'Base de Dados'!E:E,B48,'Base de Dados'!I:I,"Forte")</f>
        <v/>
      </c>
      <c r="G48" s="2">
        <f>COUNTIFS('Base de Dados'!D:D,A48,'Base de Dados'!E:E,B48,'Base de Dados'!I:I,"Médio")</f>
        <v/>
      </c>
      <c r="H48" s="2">
        <f>COUNTIFS('Base de Dados'!D:D,A48,'Base de Dados'!E:E,B48,'Base de Dados'!I:I,"Pontual")</f>
        <v/>
      </c>
      <c r="I48" s="2">
        <f>IF(C48&gt;=5,"Cluster Grande (5+)",IF(C48&gt;=3,"Cluster Médio (3-4)",IF(C48&gt;=2,"Cluster Pequeno (2)","Cliente Isolado (1)")))</f>
        <v/>
      </c>
    </row>
    <row r="49">
      <c r="A49" s="2" t="inlineStr">
        <is>
          <t>CE</t>
        </is>
      </c>
      <c r="B49" s="4" t="inlineStr">
        <is>
          <t>MARACANAU</t>
        </is>
      </c>
      <c r="C49" s="2">
        <f>COUNTIFS('Base de Dados'!D:D,A49,'Base de Dados'!E:E,B49)</f>
        <v/>
      </c>
      <c r="D49" s="4" t="inlineStr">
        <is>
          <t>Rodrigo</t>
        </is>
      </c>
      <c r="E49" s="2">
        <f>COUNTIFS('Base de Dados'!D:D,A49,'Base de Dados'!E:E,B49,'Base de Dados'!I:I,"Estratégico")</f>
        <v/>
      </c>
      <c r="F49" s="2">
        <f>COUNTIFS('Base de Dados'!D:D,A49,'Base de Dados'!E:E,B49,'Base de Dados'!I:I,"Forte")</f>
        <v/>
      </c>
      <c r="G49" s="2">
        <f>COUNTIFS('Base de Dados'!D:D,A49,'Base de Dados'!E:E,B49,'Base de Dados'!I:I,"Médio")</f>
        <v/>
      </c>
      <c r="H49" s="2">
        <f>COUNTIFS('Base de Dados'!D:D,A49,'Base de Dados'!E:E,B49,'Base de Dados'!I:I,"Pontual")</f>
        <v/>
      </c>
      <c r="I49" s="2">
        <f>IF(C49&gt;=5,"Cluster Grande (5+)",IF(C49&gt;=3,"Cluster Médio (3-4)",IF(C49&gt;=2,"Cluster Pequeno (2)","Cliente Isolado (1)")))</f>
        <v/>
      </c>
    </row>
    <row r="50">
      <c r="A50" s="2" t="inlineStr">
        <is>
          <t>CE</t>
        </is>
      </c>
      <c r="B50" s="4" t="inlineStr">
        <is>
          <t>Maracanaú</t>
        </is>
      </c>
      <c r="C50" s="2">
        <f>COUNTIFS('Base de Dados'!D:D,A50,'Base de Dados'!E:E,B50)</f>
        <v/>
      </c>
      <c r="D50" s="4" t="inlineStr">
        <is>
          <t>Rodrigo</t>
        </is>
      </c>
      <c r="E50" s="2">
        <f>COUNTIFS('Base de Dados'!D:D,A50,'Base de Dados'!E:E,B50,'Base de Dados'!I:I,"Estratégico")</f>
        <v/>
      </c>
      <c r="F50" s="2">
        <f>COUNTIFS('Base de Dados'!D:D,A50,'Base de Dados'!E:E,B50,'Base de Dados'!I:I,"Forte")</f>
        <v/>
      </c>
      <c r="G50" s="2">
        <f>COUNTIFS('Base de Dados'!D:D,A50,'Base de Dados'!E:E,B50,'Base de Dados'!I:I,"Médio")</f>
        <v/>
      </c>
      <c r="H50" s="2">
        <f>COUNTIFS('Base de Dados'!D:D,A50,'Base de Dados'!E:E,B50,'Base de Dados'!I:I,"Pontual")</f>
        <v/>
      </c>
      <c r="I50" s="2">
        <f>IF(C50&gt;=5,"Cluster Grande (5+)",IF(C50&gt;=3,"Cluster Médio (3-4)",IF(C50&gt;=2,"Cluster Pequeno (2)","Cliente Isolado (1)")))</f>
        <v/>
      </c>
    </row>
    <row r="51">
      <c r="A51" s="2" t="inlineStr">
        <is>
          <t>CE</t>
        </is>
      </c>
      <c r="B51" s="4" t="inlineStr">
        <is>
          <t>Massapê</t>
        </is>
      </c>
      <c r="C51" s="2">
        <f>COUNTIFS('Base de Dados'!D:D,A51,'Base de Dados'!E:E,B51)</f>
        <v/>
      </c>
      <c r="D51" s="4" t="inlineStr">
        <is>
          <t>Rodrigo</t>
        </is>
      </c>
      <c r="E51" s="2">
        <f>COUNTIFS('Base de Dados'!D:D,A51,'Base de Dados'!E:E,B51,'Base de Dados'!I:I,"Estratégico")</f>
        <v/>
      </c>
      <c r="F51" s="2">
        <f>COUNTIFS('Base de Dados'!D:D,A51,'Base de Dados'!E:E,B51,'Base de Dados'!I:I,"Forte")</f>
        <v/>
      </c>
      <c r="G51" s="2">
        <f>COUNTIFS('Base de Dados'!D:D,A51,'Base de Dados'!E:E,B51,'Base de Dados'!I:I,"Médio")</f>
        <v/>
      </c>
      <c r="H51" s="2">
        <f>COUNTIFS('Base de Dados'!D:D,A51,'Base de Dados'!E:E,B51,'Base de Dados'!I:I,"Pontual")</f>
        <v/>
      </c>
      <c r="I51" s="2">
        <f>IF(C51&gt;=5,"Cluster Grande (5+)",IF(C51&gt;=3,"Cluster Médio (3-4)",IF(C51&gt;=2,"Cluster Pequeno (2)","Cliente Isolado (1)")))</f>
        <v/>
      </c>
    </row>
    <row r="52">
      <c r="A52" s="2" t="inlineStr">
        <is>
          <t>CE</t>
        </is>
      </c>
      <c r="B52" s="4" t="inlineStr">
        <is>
          <t>SANTA QUITÉRIA</t>
        </is>
      </c>
      <c r="C52" s="2">
        <f>COUNTIFS('Base de Dados'!D:D,A52,'Base de Dados'!E:E,B52)</f>
        <v/>
      </c>
      <c r="D52" s="4" t="inlineStr">
        <is>
          <t>Rodrigo</t>
        </is>
      </c>
      <c r="E52" s="2">
        <f>COUNTIFS('Base de Dados'!D:D,A52,'Base de Dados'!E:E,B52,'Base de Dados'!I:I,"Estratégico")</f>
        <v/>
      </c>
      <c r="F52" s="2">
        <f>COUNTIFS('Base de Dados'!D:D,A52,'Base de Dados'!E:E,B52,'Base de Dados'!I:I,"Forte")</f>
        <v/>
      </c>
      <c r="G52" s="2">
        <f>COUNTIFS('Base de Dados'!D:D,A52,'Base de Dados'!E:E,B52,'Base de Dados'!I:I,"Médio")</f>
        <v/>
      </c>
      <c r="H52" s="2">
        <f>COUNTIFS('Base de Dados'!D:D,A52,'Base de Dados'!E:E,B52,'Base de Dados'!I:I,"Pontual")</f>
        <v/>
      </c>
      <c r="I52" s="2">
        <f>IF(C52&gt;=5,"Cluster Grande (5+)",IF(C52&gt;=3,"Cluster Médio (3-4)",IF(C52&gt;=2,"Cluster Pequeno (2)","Cliente Isolado (1)")))</f>
        <v/>
      </c>
    </row>
    <row r="53">
      <c r="A53" s="2" t="inlineStr">
        <is>
          <t>CE</t>
        </is>
      </c>
      <c r="B53" s="4" t="inlineStr">
        <is>
          <t>SENADOR POMPEU</t>
        </is>
      </c>
      <c r="C53" s="2">
        <f>COUNTIFS('Base de Dados'!D:D,A53,'Base de Dados'!E:E,B53)</f>
        <v/>
      </c>
      <c r="D53" s="4" t="inlineStr">
        <is>
          <t>Rodrigo</t>
        </is>
      </c>
      <c r="E53" s="2">
        <f>COUNTIFS('Base de Dados'!D:D,A53,'Base de Dados'!E:E,B53,'Base de Dados'!I:I,"Estratégico")</f>
        <v/>
      </c>
      <c r="F53" s="2">
        <f>COUNTIFS('Base de Dados'!D:D,A53,'Base de Dados'!E:E,B53,'Base de Dados'!I:I,"Forte")</f>
        <v/>
      </c>
      <c r="G53" s="2">
        <f>COUNTIFS('Base de Dados'!D:D,A53,'Base de Dados'!E:E,B53,'Base de Dados'!I:I,"Médio")</f>
        <v/>
      </c>
      <c r="H53" s="2">
        <f>COUNTIFS('Base de Dados'!D:D,A53,'Base de Dados'!E:E,B53,'Base de Dados'!I:I,"Pontual")</f>
        <v/>
      </c>
      <c r="I53" s="2">
        <f>IF(C53&gt;=5,"Cluster Grande (5+)",IF(C53&gt;=3,"Cluster Médio (3-4)",IF(C53&gt;=2,"Cluster Pequeno (2)","Cliente Isolado (1)")))</f>
        <v/>
      </c>
    </row>
    <row r="54">
      <c r="A54" s="2" t="inlineStr">
        <is>
          <t>CE</t>
        </is>
      </c>
      <c r="B54" s="4" t="inlineStr">
        <is>
          <t>SOBRAL</t>
        </is>
      </c>
      <c r="C54" s="2">
        <f>COUNTIFS('Base de Dados'!D:D,A54,'Base de Dados'!E:E,B54)</f>
        <v/>
      </c>
      <c r="D54" s="4" t="inlineStr">
        <is>
          <t>Rodrigo</t>
        </is>
      </c>
      <c r="E54" s="2">
        <f>COUNTIFS('Base de Dados'!D:D,A54,'Base de Dados'!E:E,B54,'Base de Dados'!I:I,"Estratégico")</f>
        <v/>
      </c>
      <c r="F54" s="2">
        <f>COUNTIFS('Base de Dados'!D:D,A54,'Base de Dados'!E:E,B54,'Base de Dados'!I:I,"Forte")</f>
        <v/>
      </c>
      <c r="G54" s="2">
        <f>COUNTIFS('Base de Dados'!D:D,A54,'Base de Dados'!E:E,B54,'Base de Dados'!I:I,"Médio")</f>
        <v/>
      </c>
      <c r="H54" s="2">
        <f>COUNTIFS('Base de Dados'!D:D,A54,'Base de Dados'!E:E,B54,'Base de Dados'!I:I,"Pontual")</f>
        <v/>
      </c>
      <c r="I54" s="2">
        <f>IF(C54&gt;=5,"Cluster Grande (5+)",IF(C54&gt;=3,"Cluster Médio (3-4)",IF(C54&gt;=2,"Cluster Pequeno (2)","Cliente Isolado (1)")))</f>
        <v/>
      </c>
    </row>
    <row r="55">
      <c r="A55" s="2" t="inlineStr">
        <is>
          <t>DF</t>
        </is>
      </c>
      <c r="B55" s="4" t="inlineStr">
        <is>
          <t>BRASÍLIA</t>
        </is>
      </c>
      <c r="C55" s="2">
        <f>COUNTIFS('Base de Dados'!D:D,A55,'Base de Dados'!E:E,B55)</f>
        <v/>
      </c>
      <c r="D55" s="4" t="inlineStr">
        <is>
          <t>Andressa</t>
        </is>
      </c>
      <c r="E55" s="2">
        <f>COUNTIFS('Base de Dados'!D:D,A55,'Base de Dados'!E:E,B55,'Base de Dados'!I:I,"Estratégico")</f>
        <v/>
      </c>
      <c r="F55" s="2">
        <f>COUNTIFS('Base de Dados'!D:D,A55,'Base de Dados'!E:E,B55,'Base de Dados'!I:I,"Forte")</f>
        <v/>
      </c>
      <c r="G55" s="2">
        <f>COUNTIFS('Base de Dados'!D:D,A55,'Base de Dados'!E:E,B55,'Base de Dados'!I:I,"Médio")</f>
        <v/>
      </c>
      <c r="H55" s="2">
        <f>COUNTIFS('Base de Dados'!D:D,A55,'Base de Dados'!E:E,B55,'Base de Dados'!I:I,"Pontual")</f>
        <v/>
      </c>
      <c r="I55" s="2">
        <f>IF(C55&gt;=5,"Cluster Grande (5+)",IF(C55&gt;=3,"Cluster Médio (3-4)",IF(C55&gt;=2,"Cluster Pequeno (2)","Cliente Isolado (1)")))</f>
        <v/>
      </c>
    </row>
    <row r="56">
      <c r="A56" s="2" t="inlineStr">
        <is>
          <t>DF</t>
        </is>
      </c>
      <c r="B56" s="4" t="inlineStr">
        <is>
          <t>Brasília</t>
        </is>
      </c>
      <c r="C56" s="2">
        <f>COUNTIFS('Base de Dados'!D:D,A56,'Base de Dados'!E:E,B56)</f>
        <v/>
      </c>
      <c r="D56" s="4" t="inlineStr">
        <is>
          <t>Andressa</t>
        </is>
      </c>
      <c r="E56" s="2">
        <f>COUNTIFS('Base de Dados'!D:D,A56,'Base de Dados'!E:E,B56,'Base de Dados'!I:I,"Estratégico")</f>
        <v/>
      </c>
      <c r="F56" s="2">
        <f>COUNTIFS('Base de Dados'!D:D,A56,'Base de Dados'!E:E,B56,'Base de Dados'!I:I,"Forte")</f>
        <v/>
      </c>
      <c r="G56" s="2">
        <f>COUNTIFS('Base de Dados'!D:D,A56,'Base de Dados'!E:E,B56,'Base de Dados'!I:I,"Médio")</f>
        <v/>
      </c>
      <c r="H56" s="2">
        <f>COUNTIFS('Base de Dados'!D:D,A56,'Base de Dados'!E:E,B56,'Base de Dados'!I:I,"Pontual")</f>
        <v/>
      </c>
      <c r="I56" s="2">
        <f>IF(C56&gt;=5,"Cluster Grande (5+)",IF(C56&gt;=3,"Cluster Médio (3-4)",IF(C56&gt;=2,"Cluster Pequeno (2)","Cliente Isolado (1)")))</f>
        <v/>
      </c>
    </row>
    <row r="57">
      <c r="A57" s="2" t="inlineStr">
        <is>
          <t>ES</t>
        </is>
      </c>
      <c r="B57" s="4" t="inlineStr">
        <is>
          <t>BAIXO GUANDU</t>
        </is>
      </c>
      <c r="C57" s="2">
        <f>COUNTIFS('Base de Dados'!D:D,A57,'Base de Dados'!E:E,B57)</f>
        <v/>
      </c>
      <c r="D57" s="4" t="inlineStr">
        <is>
          <t>Bernard</t>
        </is>
      </c>
      <c r="E57" s="2">
        <f>COUNTIFS('Base de Dados'!D:D,A57,'Base de Dados'!E:E,B57,'Base de Dados'!I:I,"Estratégico")</f>
        <v/>
      </c>
      <c r="F57" s="2">
        <f>COUNTIFS('Base de Dados'!D:D,A57,'Base de Dados'!E:E,B57,'Base de Dados'!I:I,"Forte")</f>
        <v/>
      </c>
      <c r="G57" s="2">
        <f>COUNTIFS('Base de Dados'!D:D,A57,'Base de Dados'!E:E,B57,'Base de Dados'!I:I,"Médio")</f>
        <v/>
      </c>
      <c r="H57" s="2">
        <f>COUNTIFS('Base de Dados'!D:D,A57,'Base de Dados'!E:E,B57,'Base de Dados'!I:I,"Pontual")</f>
        <v/>
      </c>
      <c r="I57" s="2">
        <f>IF(C57&gt;=5,"Cluster Grande (5+)",IF(C57&gt;=3,"Cluster Médio (3-4)",IF(C57&gt;=2,"Cluster Pequeno (2)","Cliente Isolado (1)")))</f>
        <v/>
      </c>
    </row>
    <row r="58">
      <c r="A58" s="2" t="inlineStr">
        <is>
          <t>ES</t>
        </is>
      </c>
      <c r="B58" s="4" t="inlineStr">
        <is>
          <t>BOM JESUS DO NORTE</t>
        </is>
      </c>
      <c r="C58" s="2">
        <f>COUNTIFS('Base de Dados'!D:D,A58,'Base de Dados'!E:E,B58)</f>
        <v/>
      </c>
      <c r="D58" s="4" t="inlineStr">
        <is>
          <t>Bernard</t>
        </is>
      </c>
      <c r="E58" s="2">
        <f>COUNTIFS('Base de Dados'!D:D,A58,'Base de Dados'!E:E,B58,'Base de Dados'!I:I,"Estratégico")</f>
        <v/>
      </c>
      <c r="F58" s="2">
        <f>COUNTIFS('Base de Dados'!D:D,A58,'Base de Dados'!E:E,B58,'Base de Dados'!I:I,"Forte")</f>
        <v/>
      </c>
      <c r="G58" s="2">
        <f>COUNTIFS('Base de Dados'!D:D,A58,'Base de Dados'!E:E,B58,'Base de Dados'!I:I,"Médio")</f>
        <v/>
      </c>
      <c r="H58" s="2">
        <f>COUNTIFS('Base de Dados'!D:D,A58,'Base de Dados'!E:E,B58,'Base de Dados'!I:I,"Pontual")</f>
        <v/>
      </c>
      <c r="I58" s="2">
        <f>IF(C58&gt;=5,"Cluster Grande (5+)",IF(C58&gt;=3,"Cluster Médio (3-4)",IF(C58&gt;=2,"Cluster Pequeno (2)","Cliente Isolado (1)")))</f>
        <v/>
      </c>
    </row>
    <row r="59">
      <c r="A59" s="2" t="inlineStr">
        <is>
          <t>ES</t>
        </is>
      </c>
      <c r="B59" s="4" t="inlineStr">
        <is>
          <t>Barra de São Francisco</t>
        </is>
      </c>
      <c r="C59" s="2">
        <f>COUNTIFS('Base de Dados'!D:D,A59,'Base de Dados'!E:E,B59)</f>
        <v/>
      </c>
      <c r="D59" s="4" t="inlineStr">
        <is>
          <t>Bernard</t>
        </is>
      </c>
      <c r="E59" s="2">
        <f>COUNTIFS('Base de Dados'!D:D,A59,'Base de Dados'!E:E,B59,'Base de Dados'!I:I,"Estratégico")</f>
        <v/>
      </c>
      <c r="F59" s="2">
        <f>COUNTIFS('Base de Dados'!D:D,A59,'Base de Dados'!E:E,B59,'Base de Dados'!I:I,"Forte")</f>
        <v/>
      </c>
      <c r="G59" s="2">
        <f>COUNTIFS('Base de Dados'!D:D,A59,'Base de Dados'!E:E,B59,'Base de Dados'!I:I,"Médio")</f>
        <v/>
      </c>
      <c r="H59" s="2">
        <f>COUNTIFS('Base de Dados'!D:D,A59,'Base de Dados'!E:E,B59,'Base de Dados'!I:I,"Pontual")</f>
        <v/>
      </c>
      <c r="I59" s="2">
        <f>IF(C59&gt;=5,"Cluster Grande (5+)",IF(C59&gt;=3,"Cluster Médio (3-4)",IF(C59&gt;=2,"Cluster Pequeno (2)","Cliente Isolado (1)")))</f>
        <v/>
      </c>
    </row>
    <row r="60">
      <c r="A60" s="2" t="inlineStr">
        <is>
          <t>ES</t>
        </is>
      </c>
      <c r="B60" s="4" t="inlineStr">
        <is>
          <t>Bom Jesus do Norte</t>
        </is>
      </c>
      <c r="C60" s="2">
        <f>COUNTIFS('Base de Dados'!D:D,A60,'Base de Dados'!E:E,B60)</f>
        <v/>
      </c>
      <c r="D60" s="4" t="inlineStr">
        <is>
          <t>Bernard</t>
        </is>
      </c>
      <c r="E60" s="2">
        <f>COUNTIFS('Base de Dados'!D:D,A60,'Base de Dados'!E:E,B60,'Base de Dados'!I:I,"Estratégico")</f>
        <v/>
      </c>
      <c r="F60" s="2">
        <f>COUNTIFS('Base de Dados'!D:D,A60,'Base de Dados'!E:E,B60,'Base de Dados'!I:I,"Forte")</f>
        <v/>
      </c>
      <c r="G60" s="2">
        <f>COUNTIFS('Base de Dados'!D:D,A60,'Base de Dados'!E:E,B60,'Base de Dados'!I:I,"Médio")</f>
        <v/>
      </c>
      <c r="H60" s="2">
        <f>COUNTIFS('Base de Dados'!D:D,A60,'Base de Dados'!E:E,B60,'Base de Dados'!I:I,"Pontual")</f>
        <v/>
      </c>
      <c r="I60" s="2">
        <f>IF(C60&gt;=5,"Cluster Grande (5+)",IF(C60&gt;=3,"Cluster Médio (3-4)",IF(C60&gt;=2,"Cluster Pequeno (2)","Cliente Isolado (1)")))</f>
        <v/>
      </c>
    </row>
    <row r="61">
      <c r="A61" s="2" t="inlineStr">
        <is>
          <t>ES</t>
        </is>
      </c>
      <c r="B61" s="4" t="inlineStr">
        <is>
          <t>CACHOEIRO DE ITAPEMIRIM</t>
        </is>
      </c>
      <c r="C61" s="2">
        <f>COUNTIFS('Base de Dados'!D:D,A61,'Base de Dados'!E:E,B61)</f>
        <v/>
      </c>
      <c r="D61" s="4" t="inlineStr">
        <is>
          <t>Bernard</t>
        </is>
      </c>
      <c r="E61" s="2">
        <f>COUNTIFS('Base de Dados'!D:D,A61,'Base de Dados'!E:E,B61,'Base de Dados'!I:I,"Estratégico")</f>
        <v/>
      </c>
      <c r="F61" s="2">
        <f>COUNTIFS('Base de Dados'!D:D,A61,'Base de Dados'!E:E,B61,'Base de Dados'!I:I,"Forte")</f>
        <v/>
      </c>
      <c r="G61" s="2">
        <f>COUNTIFS('Base de Dados'!D:D,A61,'Base de Dados'!E:E,B61,'Base de Dados'!I:I,"Médio")</f>
        <v/>
      </c>
      <c r="H61" s="2">
        <f>COUNTIFS('Base de Dados'!D:D,A61,'Base de Dados'!E:E,B61,'Base de Dados'!I:I,"Pontual")</f>
        <v/>
      </c>
      <c r="I61" s="2">
        <f>IF(C61&gt;=5,"Cluster Grande (5+)",IF(C61&gt;=3,"Cluster Médio (3-4)",IF(C61&gt;=2,"Cluster Pequeno (2)","Cliente Isolado (1)")))</f>
        <v/>
      </c>
    </row>
    <row r="62">
      <c r="A62" s="2" t="inlineStr">
        <is>
          <t>ES</t>
        </is>
      </c>
      <c r="B62" s="4" t="inlineStr">
        <is>
          <t>CARIACICA</t>
        </is>
      </c>
      <c r="C62" s="2">
        <f>COUNTIFS('Base de Dados'!D:D,A62,'Base de Dados'!E:E,B62)</f>
        <v/>
      </c>
      <c r="D62" s="4" t="inlineStr">
        <is>
          <t>Bernard</t>
        </is>
      </c>
      <c r="E62" s="2">
        <f>COUNTIFS('Base de Dados'!D:D,A62,'Base de Dados'!E:E,B62,'Base de Dados'!I:I,"Estratégico")</f>
        <v/>
      </c>
      <c r="F62" s="2">
        <f>COUNTIFS('Base de Dados'!D:D,A62,'Base de Dados'!E:E,B62,'Base de Dados'!I:I,"Forte")</f>
        <v/>
      </c>
      <c r="G62" s="2">
        <f>COUNTIFS('Base de Dados'!D:D,A62,'Base de Dados'!E:E,B62,'Base de Dados'!I:I,"Médio")</f>
        <v/>
      </c>
      <c r="H62" s="2">
        <f>COUNTIFS('Base de Dados'!D:D,A62,'Base de Dados'!E:E,B62,'Base de Dados'!I:I,"Pontual")</f>
        <v/>
      </c>
      <c r="I62" s="2">
        <f>IF(C62&gt;=5,"Cluster Grande (5+)",IF(C62&gt;=3,"Cluster Médio (3-4)",IF(C62&gt;=2,"Cluster Pequeno (2)","Cliente Isolado (1)")))</f>
        <v/>
      </c>
    </row>
    <row r="63">
      <c r="A63" s="2" t="inlineStr">
        <is>
          <t>ES</t>
        </is>
      </c>
      <c r="B63" s="4" t="inlineStr">
        <is>
          <t>COLATINA</t>
        </is>
      </c>
      <c r="C63" s="2">
        <f>COUNTIFS('Base de Dados'!D:D,A63,'Base de Dados'!E:E,B63)</f>
        <v/>
      </c>
      <c r="D63" s="4" t="inlineStr">
        <is>
          <t>Bernard</t>
        </is>
      </c>
      <c r="E63" s="2">
        <f>COUNTIFS('Base de Dados'!D:D,A63,'Base de Dados'!E:E,B63,'Base de Dados'!I:I,"Estratégico")</f>
        <v/>
      </c>
      <c r="F63" s="2">
        <f>COUNTIFS('Base de Dados'!D:D,A63,'Base de Dados'!E:E,B63,'Base de Dados'!I:I,"Forte")</f>
        <v/>
      </c>
      <c r="G63" s="2">
        <f>COUNTIFS('Base de Dados'!D:D,A63,'Base de Dados'!E:E,B63,'Base de Dados'!I:I,"Médio")</f>
        <v/>
      </c>
      <c r="H63" s="2">
        <f>COUNTIFS('Base de Dados'!D:D,A63,'Base de Dados'!E:E,B63,'Base de Dados'!I:I,"Pontual")</f>
        <v/>
      </c>
      <c r="I63" s="2">
        <f>IF(C63&gt;=5,"Cluster Grande (5+)",IF(C63&gt;=3,"Cluster Médio (3-4)",IF(C63&gt;=2,"Cluster Pequeno (2)","Cliente Isolado (1)")))</f>
        <v/>
      </c>
    </row>
    <row r="64">
      <c r="A64" s="2" t="inlineStr">
        <is>
          <t>ES</t>
        </is>
      </c>
      <c r="B64" s="4" t="inlineStr">
        <is>
          <t>Conceição da Barra</t>
        </is>
      </c>
      <c r="C64" s="2">
        <f>COUNTIFS('Base de Dados'!D:D,A64,'Base de Dados'!E:E,B64)</f>
        <v/>
      </c>
      <c r="D64" s="4" t="inlineStr">
        <is>
          <t>Bernard</t>
        </is>
      </c>
      <c r="E64" s="2">
        <f>COUNTIFS('Base de Dados'!D:D,A64,'Base de Dados'!E:E,B64,'Base de Dados'!I:I,"Estratégico")</f>
        <v/>
      </c>
      <c r="F64" s="2">
        <f>COUNTIFS('Base de Dados'!D:D,A64,'Base de Dados'!E:E,B64,'Base de Dados'!I:I,"Forte")</f>
        <v/>
      </c>
      <c r="G64" s="2">
        <f>COUNTIFS('Base de Dados'!D:D,A64,'Base de Dados'!E:E,B64,'Base de Dados'!I:I,"Médio")</f>
        <v/>
      </c>
      <c r="H64" s="2">
        <f>COUNTIFS('Base de Dados'!D:D,A64,'Base de Dados'!E:E,B64,'Base de Dados'!I:I,"Pontual")</f>
        <v/>
      </c>
      <c r="I64" s="2">
        <f>IF(C64&gt;=5,"Cluster Grande (5+)",IF(C64&gt;=3,"Cluster Médio (3-4)",IF(C64&gt;=2,"Cluster Pequeno (2)","Cliente Isolado (1)")))</f>
        <v/>
      </c>
    </row>
    <row r="65">
      <c r="A65" s="2" t="inlineStr">
        <is>
          <t>ES</t>
        </is>
      </c>
      <c r="B65" s="4" t="inlineStr">
        <is>
          <t>GUARAPARI</t>
        </is>
      </c>
      <c r="C65" s="2">
        <f>COUNTIFS('Base de Dados'!D:D,A65,'Base de Dados'!E:E,B65)</f>
        <v/>
      </c>
      <c r="D65" s="4" t="inlineStr">
        <is>
          <t>Bernard</t>
        </is>
      </c>
      <c r="E65" s="2">
        <f>COUNTIFS('Base de Dados'!D:D,A65,'Base de Dados'!E:E,B65,'Base de Dados'!I:I,"Estratégico")</f>
        <v/>
      </c>
      <c r="F65" s="2">
        <f>COUNTIFS('Base de Dados'!D:D,A65,'Base de Dados'!E:E,B65,'Base de Dados'!I:I,"Forte")</f>
        <v/>
      </c>
      <c r="G65" s="2">
        <f>COUNTIFS('Base de Dados'!D:D,A65,'Base de Dados'!E:E,B65,'Base de Dados'!I:I,"Médio")</f>
        <v/>
      </c>
      <c r="H65" s="2">
        <f>COUNTIFS('Base de Dados'!D:D,A65,'Base de Dados'!E:E,B65,'Base de Dados'!I:I,"Pontual")</f>
        <v/>
      </c>
      <c r="I65" s="2">
        <f>IF(C65&gt;=5,"Cluster Grande (5+)",IF(C65&gt;=3,"Cluster Médio (3-4)",IF(C65&gt;=2,"Cluster Pequeno (2)","Cliente Isolado (1)")))</f>
        <v/>
      </c>
    </row>
    <row r="66">
      <c r="A66" s="2" t="inlineStr">
        <is>
          <t>ES</t>
        </is>
      </c>
      <c r="B66" s="4" t="inlineStr">
        <is>
          <t>Guarapari</t>
        </is>
      </c>
      <c r="C66" s="2">
        <f>COUNTIFS('Base de Dados'!D:D,A66,'Base de Dados'!E:E,B66)</f>
        <v/>
      </c>
      <c r="D66" s="4" t="inlineStr">
        <is>
          <t>Bernard</t>
        </is>
      </c>
      <c r="E66" s="2">
        <f>COUNTIFS('Base de Dados'!D:D,A66,'Base de Dados'!E:E,B66,'Base de Dados'!I:I,"Estratégico")</f>
        <v/>
      </c>
      <c r="F66" s="2">
        <f>COUNTIFS('Base de Dados'!D:D,A66,'Base de Dados'!E:E,B66,'Base de Dados'!I:I,"Forte")</f>
        <v/>
      </c>
      <c r="G66" s="2">
        <f>COUNTIFS('Base de Dados'!D:D,A66,'Base de Dados'!E:E,B66,'Base de Dados'!I:I,"Médio")</f>
        <v/>
      </c>
      <c r="H66" s="2">
        <f>COUNTIFS('Base de Dados'!D:D,A66,'Base de Dados'!E:E,B66,'Base de Dados'!I:I,"Pontual")</f>
        <v/>
      </c>
      <c r="I66" s="2">
        <f>IF(C66&gt;=5,"Cluster Grande (5+)",IF(C66&gt;=3,"Cluster Médio (3-4)",IF(C66&gt;=2,"Cluster Pequeno (2)","Cliente Isolado (1)")))</f>
        <v/>
      </c>
    </row>
    <row r="67">
      <c r="A67" s="2" t="inlineStr">
        <is>
          <t>ES</t>
        </is>
      </c>
      <c r="B67" s="4" t="inlineStr">
        <is>
          <t>IRUPI</t>
        </is>
      </c>
      <c r="C67" s="2">
        <f>COUNTIFS('Base de Dados'!D:D,A67,'Base de Dados'!E:E,B67)</f>
        <v/>
      </c>
      <c r="D67" s="4" t="inlineStr">
        <is>
          <t>Bernard</t>
        </is>
      </c>
      <c r="E67" s="2">
        <f>COUNTIFS('Base de Dados'!D:D,A67,'Base de Dados'!E:E,B67,'Base de Dados'!I:I,"Estratégico")</f>
        <v/>
      </c>
      <c r="F67" s="2">
        <f>COUNTIFS('Base de Dados'!D:D,A67,'Base de Dados'!E:E,B67,'Base de Dados'!I:I,"Forte")</f>
        <v/>
      </c>
      <c r="G67" s="2">
        <f>COUNTIFS('Base de Dados'!D:D,A67,'Base de Dados'!E:E,B67,'Base de Dados'!I:I,"Médio")</f>
        <v/>
      </c>
      <c r="H67" s="2">
        <f>COUNTIFS('Base de Dados'!D:D,A67,'Base de Dados'!E:E,B67,'Base de Dados'!I:I,"Pontual")</f>
        <v/>
      </c>
      <c r="I67" s="2">
        <f>IF(C67&gt;=5,"Cluster Grande (5+)",IF(C67&gt;=3,"Cluster Médio (3-4)",IF(C67&gt;=2,"Cluster Pequeno (2)","Cliente Isolado (1)")))</f>
        <v/>
      </c>
    </row>
    <row r="68">
      <c r="A68" s="2" t="inlineStr">
        <is>
          <t>ES</t>
        </is>
      </c>
      <c r="B68" s="4" t="inlineStr">
        <is>
          <t>ITAPEMIRIM</t>
        </is>
      </c>
      <c r="C68" s="2">
        <f>COUNTIFS('Base de Dados'!D:D,A68,'Base de Dados'!E:E,B68)</f>
        <v/>
      </c>
      <c r="D68" s="4" t="inlineStr">
        <is>
          <t>Bernard</t>
        </is>
      </c>
      <c r="E68" s="2">
        <f>COUNTIFS('Base de Dados'!D:D,A68,'Base de Dados'!E:E,B68,'Base de Dados'!I:I,"Estratégico")</f>
        <v/>
      </c>
      <c r="F68" s="2">
        <f>COUNTIFS('Base de Dados'!D:D,A68,'Base de Dados'!E:E,B68,'Base de Dados'!I:I,"Forte")</f>
        <v/>
      </c>
      <c r="G68" s="2">
        <f>COUNTIFS('Base de Dados'!D:D,A68,'Base de Dados'!E:E,B68,'Base de Dados'!I:I,"Médio")</f>
        <v/>
      </c>
      <c r="H68" s="2">
        <f>COUNTIFS('Base de Dados'!D:D,A68,'Base de Dados'!E:E,B68,'Base de Dados'!I:I,"Pontual")</f>
        <v/>
      </c>
      <c r="I68" s="2">
        <f>IF(C68&gt;=5,"Cluster Grande (5+)",IF(C68&gt;=3,"Cluster Médio (3-4)",IF(C68&gt;=2,"Cluster Pequeno (2)","Cliente Isolado (1)")))</f>
        <v/>
      </c>
    </row>
    <row r="69">
      <c r="A69" s="2" t="inlineStr">
        <is>
          <t>ES</t>
        </is>
      </c>
      <c r="B69" s="4" t="inlineStr">
        <is>
          <t>Itaguaçu</t>
        </is>
      </c>
      <c r="C69" s="2">
        <f>COUNTIFS('Base de Dados'!D:D,A69,'Base de Dados'!E:E,B69)</f>
        <v/>
      </c>
      <c r="D69" s="4" t="inlineStr">
        <is>
          <t>Bernard</t>
        </is>
      </c>
      <c r="E69" s="2">
        <f>COUNTIFS('Base de Dados'!D:D,A69,'Base de Dados'!E:E,B69,'Base de Dados'!I:I,"Estratégico")</f>
        <v/>
      </c>
      <c r="F69" s="2">
        <f>COUNTIFS('Base de Dados'!D:D,A69,'Base de Dados'!E:E,B69,'Base de Dados'!I:I,"Forte")</f>
        <v/>
      </c>
      <c r="G69" s="2">
        <f>COUNTIFS('Base de Dados'!D:D,A69,'Base de Dados'!E:E,B69,'Base de Dados'!I:I,"Médio")</f>
        <v/>
      </c>
      <c r="H69" s="2">
        <f>COUNTIFS('Base de Dados'!D:D,A69,'Base de Dados'!E:E,B69,'Base de Dados'!I:I,"Pontual")</f>
        <v/>
      </c>
      <c r="I69" s="2">
        <f>IF(C69&gt;=5,"Cluster Grande (5+)",IF(C69&gt;=3,"Cluster Médio (3-4)",IF(C69&gt;=2,"Cluster Pequeno (2)","Cliente Isolado (1)")))</f>
        <v/>
      </c>
    </row>
    <row r="70">
      <c r="A70" s="2" t="inlineStr">
        <is>
          <t>ES</t>
        </is>
      </c>
      <c r="B70" s="4" t="inlineStr">
        <is>
          <t>IÚNA</t>
        </is>
      </c>
      <c r="C70" s="2">
        <f>COUNTIFS('Base de Dados'!D:D,A70,'Base de Dados'!E:E,B70)</f>
        <v/>
      </c>
      <c r="D70" s="4" t="inlineStr">
        <is>
          <t>Bernard</t>
        </is>
      </c>
      <c r="E70" s="2">
        <f>COUNTIFS('Base de Dados'!D:D,A70,'Base de Dados'!E:E,B70,'Base de Dados'!I:I,"Estratégico")</f>
        <v/>
      </c>
      <c r="F70" s="2">
        <f>COUNTIFS('Base de Dados'!D:D,A70,'Base de Dados'!E:E,B70,'Base de Dados'!I:I,"Forte")</f>
        <v/>
      </c>
      <c r="G70" s="2">
        <f>COUNTIFS('Base de Dados'!D:D,A70,'Base de Dados'!E:E,B70,'Base de Dados'!I:I,"Médio")</f>
        <v/>
      </c>
      <c r="H70" s="2">
        <f>COUNTIFS('Base de Dados'!D:D,A70,'Base de Dados'!E:E,B70,'Base de Dados'!I:I,"Pontual")</f>
        <v/>
      </c>
      <c r="I70" s="2">
        <f>IF(C70&gt;=5,"Cluster Grande (5+)",IF(C70&gt;=3,"Cluster Médio (3-4)",IF(C70&gt;=2,"Cluster Pequeno (2)","Cliente Isolado (1)")))</f>
        <v/>
      </c>
    </row>
    <row r="71">
      <c r="A71" s="2" t="inlineStr">
        <is>
          <t>ES</t>
        </is>
      </c>
      <c r="B71" s="4" t="inlineStr">
        <is>
          <t>Iúna</t>
        </is>
      </c>
      <c r="C71" s="2">
        <f>COUNTIFS('Base de Dados'!D:D,A71,'Base de Dados'!E:E,B71)</f>
        <v/>
      </c>
      <c r="D71" s="4" t="inlineStr">
        <is>
          <t>Bernard</t>
        </is>
      </c>
      <c r="E71" s="2">
        <f>COUNTIFS('Base de Dados'!D:D,A71,'Base de Dados'!E:E,B71,'Base de Dados'!I:I,"Estratégico")</f>
        <v/>
      </c>
      <c r="F71" s="2">
        <f>COUNTIFS('Base de Dados'!D:D,A71,'Base de Dados'!E:E,B71,'Base de Dados'!I:I,"Forte")</f>
        <v/>
      </c>
      <c r="G71" s="2">
        <f>COUNTIFS('Base de Dados'!D:D,A71,'Base de Dados'!E:E,B71,'Base de Dados'!I:I,"Médio")</f>
        <v/>
      </c>
      <c r="H71" s="2">
        <f>COUNTIFS('Base de Dados'!D:D,A71,'Base de Dados'!E:E,B71,'Base de Dados'!I:I,"Pontual")</f>
        <v/>
      </c>
      <c r="I71" s="2">
        <f>IF(C71&gt;=5,"Cluster Grande (5+)",IF(C71&gt;=3,"Cluster Médio (3-4)",IF(C71&gt;=2,"Cluster Pequeno (2)","Cliente Isolado (1)")))</f>
        <v/>
      </c>
    </row>
    <row r="72">
      <c r="A72" s="2" t="inlineStr">
        <is>
          <t>ES</t>
        </is>
      </c>
      <c r="B72" s="4" t="inlineStr">
        <is>
          <t>Jaguaré</t>
        </is>
      </c>
      <c r="C72" s="2">
        <f>COUNTIFS('Base de Dados'!D:D,A72,'Base de Dados'!E:E,B72)</f>
        <v/>
      </c>
      <c r="D72" s="4" t="inlineStr">
        <is>
          <t>Bernard</t>
        </is>
      </c>
      <c r="E72" s="2">
        <f>COUNTIFS('Base de Dados'!D:D,A72,'Base de Dados'!E:E,B72,'Base de Dados'!I:I,"Estratégico")</f>
        <v/>
      </c>
      <c r="F72" s="2">
        <f>COUNTIFS('Base de Dados'!D:D,A72,'Base de Dados'!E:E,B72,'Base de Dados'!I:I,"Forte")</f>
        <v/>
      </c>
      <c r="G72" s="2">
        <f>COUNTIFS('Base de Dados'!D:D,A72,'Base de Dados'!E:E,B72,'Base de Dados'!I:I,"Médio")</f>
        <v/>
      </c>
      <c r="H72" s="2">
        <f>COUNTIFS('Base de Dados'!D:D,A72,'Base de Dados'!E:E,B72,'Base de Dados'!I:I,"Pontual")</f>
        <v/>
      </c>
      <c r="I72" s="2">
        <f>IF(C72&gt;=5,"Cluster Grande (5+)",IF(C72&gt;=3,"Cluster Médio (3-4)",IF(C72&gt;=2,"Cluster Pequeno (2)","Cliente Isolado (1)")))</f>
        <v/>
      </c>
    </row>
    <row r="73">
      <c r="A73" s="2" t="inlineStr">
        <is>
          <t>ES</t>
        </is>
      </c>
      <c r="B73" s="4" t="inlineStr">
        <is>
          <t>LINHARES</t>
        </is>
      </c>
      <c r="C73" s="2">
        <f>COUNTIFS('Base de Dados'!D:D,A73,'Base de Dados'!E:E,B73)</f>
        <v/>
      </c>
      <c r="D73" s="4" t="inlineStr">
        <is>
          <t>Bernard</t>
        </is>
      </c>
      <c r="E73" s="2">
        <f>COUNTIFS('Base de Dados'!D:D,A73,'Base de Dados'!E:E,B73,'Base de Dados'!I:I,"Estratégico")</f>
        <v/>
      </c>
      <c r="F73" s="2">
        <f>COUNTIFS('Base de Dados'!D:D,A73,'Base de Dados'!E:E,B73,'Base de Dados'!I:I,"Forte")</f>
        <v/>
      </c>
      <c r="G73" s="2">
        <f>COUNTIFS('Base de Dados'!D:D,A73,'Base de Dados'!E:E,B73,'Base de Dados'!I:I,"Médio")</f>
        <v/>
      </c>
      <c r="H73" s="2">
        <f>COUNTIFS('Base de Dados'!D:D,A73,'Base de Dados'!E:E,B73,'Base de Dados'!I:I,"Pontual")</f>
        <v/>
      </c>
      <c r="I73" s="2">
        <f>IF(C73&gt;=5,"Cluster Grande (5+)",IF(C73&gt;=3,"Cluster Médio (3-4)",IF(C73&gt;=2,"Cluster Pequeno (2)","Cliente Isolado (1)")))</f>
        <v/>
      </c>
    </row>
    <row r="74">
      <c r="A74" s="2" t="inlineStr">
        <is>
          <t>ES</t>
        </is>
      </c>
      <c r="B74" s="4" t="inlineStr">
        <is>
          <t>MIMOSO DO SUL</t>
        </is>
      </c>
      <c r="C74" s="2">
        <f>COUNTIFS('Base de Dados'!D:D,A74,'Base de Dados'!E:E,B74)</f>
        <v/>
      </c>
      <c r="D74" s="4" t="inlineStr">
        <is>
          <t>Bernard</t>
        </is>
      </c>
      <c r="E74" s="2">
        <f>COUNTIFS('Base de Dados'!D:D,A74,'Base de Dados'!E:E,B74,'Base de Dados'!I:I,"Estratégico")</f>
        <v/>
      </c>
      <c r="F74" s="2">
        <f>COUNTIFS('Base de Dados'!D:D,A74,'Base de Dados'!E:E,B74,'Base de Dados'!I:I,"Forte")</f>
        <v/>
      </c>
      <c r="G74" s="2">
        <f>COUNTIFS('Base de Dados'!D:D,A74,'Base de Dados'!E:E,B74,'Base de Dados'!I:I,"Médio")</f>
        <v/>
      </c>
      <c r="H74" s="2">
        <f>COUNTIFS('Base de Dados'!D:D,A74,'Base de Dados'!E:E,B74,'Base de Dados'!I:I,"Pontual")</f>
        <v/>
      </c>
      <c r="I74" s="2">
        <f>IF(C74&gt;=5,"Cluster Grande (5+)",IF(C74&gt;=3,"Cluster Médio (3-4)",IF(C74&gt;=2,"Cluster Pequeno (2)","Cliente Isolado (1)")))</f>
        <v/>
      </c>
    </row>
    <row r="75">
      <c r="A75" s="2" t="inlineStr">
        <is>
          <t>ES</t>
        </is>
      </c>
      <c r="B75" s="4" t="inlineStr">
        <is>
          <t>MONTANHA</t>
        </is>
      </c>
      <c r="C75" s="2">
        <f>COUNTIFS('Base de Dados'!D:D,A75,'Base de Dados'!E:E,B75)</f>
        <v/>
      </c>
      <c r="D75" s="4" t="inlineStr">
        <is>
          <t>Bernard</t>
        </is>
      </c>
      <c r="E75" s="2">
        <f>COUNTIFS('Base de Dados'!D:D,A75,'Base de Dados'!E:E,B75,'Base de Dados'!I:I,"Estratégico")</f>
        <v/>
      </c>
      <c r="F75" s="2">
        <f>COUNTIFS('Base de Dados'!D:D,A75,'Base de Dados'!E:E,B75,'Base de Dados'!I:I,"Forte")</f>
        <v/>
      </c>
      <c r="G75" s="2">
        <f>COUNTIFS('Base de Dados'!D:D,A75,'Base de Dados'!E:E,B75,'Base de Dados'!I:I,"Médio")</f>
        <v/>
      </c>
      <c r="H75" s="2">
        <f>COUNTIFS('Base de Dados'!D:D,A75,'Base de Dados'!E:E,B75,'Base de Dados'!I:I,"Pontual")</f>
        <v/>
      </c>
      <c r="I75" s="2">
        <f>IF(C75&gt;=5,"Cluster Grande (5+)",IF(C75&gt;=3,"Cluster Médio (3-4)",IF(C75&gt;=2,"Cluster Pequeno (2)","Cliente Isolado (1)")))</f>
        <v/>
      </c>
    </row>
    <row r="76">
      <c r="A76" s="2" t="inlineStr">
        <is>
          <t>ES</t>
        </is>
      </c>
      <c r="B76" s="4" t="inlineStr">
        <is>
          <t>Marataízes</t>
        </is>
      </c>
      <c r="C76" s="2">
        <f>COUNTIFS('Base de Dados'!D:D,A76,'Base de Dados'!E:E,B76)</f>
        <v/>
      </c>
      <c r="D76" s="4" t="inlineStr">
        <is>
          <t>Bernard</t>
        </is>
      </c>
      <c r="E76" s="2">
        <f>COUNTIFS('Base de Dados'!D:D,A76,'Base de Dados'!E:E,B76,'Base de Dados'!I:I,"Estratégico")</f>
        <v/>
      </c>
      <c r="F76" s="2">
        <f>COUNTIFS('Base de Dados'!D:D,A76,'Base de Dados'!E:E,B76,'Base de Dados'!I:I,"Forte")</f>
        <v/>
      </c>
      <c r="G76" s="2">
        <f>COUNTIFS('Base de Dados'!D:D,A76,'Base de Dados'!E:E,B76,'Base de Dados'!I:I,"Médio")</f>
        <v/>
      </c>
      <c r="H76" s="2">
        <f>COUNTIFS('Base de Dados'!D:D,A76,'Base de Dados'!E:E,B76,'Base de Dados'!I:I,"Pontual")</f>
        <v/>
      </c>
      <c r="I76" s="2">
        <f>IF(C76&gt;=5,"Cluster Grande (5+)",IF(C76&gt;=3,"Cluster Médio (3-4)",IF(C76&gt;=2,"Cluster Pequeno (2)","Cliente Isolado (1)")))</f>
        <v/>
      </c>
    </row>
    <row r="77">
      <c r="A77" s="2" t="inlineStr">
        <is>
          <t>ES</t>
        </is>
      </c>
      <c r="B77" s="4" t="inlineStr">
        <is>
          <t>PANCAS</t>
        </is>
      </c>
      <c r="C77" s="2">
        <f>COUNTIFS('Base de Dados'!D:D,A77,'Base de Dados'!E:E,B77)</f>
        <v/>
      </c>
      <c r="D77" s="4" t="inlineStr">
        <is>
          <t>Bernard</t>
        </is>
      </c>
      <c r="E77" s="2">
        <f>COUNTIFS('Base de Dados'!D:D,A77,'Base de Dados'!E:E,B77,'Base de Dados'!I:I,"Estratégico")</f>
        <v/>
      </c>
      <c r="F77" s="2">
        <f>COUNTIFS('Base de Dados'!D:D,A77,'Base de Dados'!E:E,B77,'Base de Dados'!I:I,"Forte")</f>
        <v/>
      </c>
      <c r="G77" s="2">
        <f>COUNTIFS('Base de Dados'!D:D,A77,'Base de Dados'!E:E,B77,'Base de Dados'!I:I,"Médio")</f>
        <v/>
      </c>
      <c r="H77" s="2">
        <f>COUNTIFS('Base de Dados'!D:D,A77,'Base de Dados'!E:E,B77,'Base de Dados'!I:I,"Pontual")</f>
        <v/>
      </c>
      <c r="I77" s="2">
        <f>IF(C77&gt;=5,"Cluster Grande (5+)",IF(C77&gt;=3,"Cluster Médio (3-4)",IF(C77&gt;=2,"Cluster Pequeno (2)","Cliente Isolado (1)")))</f>
        <v/>
      </c>
    </row>
    <row r="78">
      <c r="A78" s="2" t="inlineStr">
        <is>
          <t>ES</t>
        </is>
      </c>
      <c r="B78" s="4" t="inlineStr">
        <is>
          <t>PINHEIROS</t>
        </is>
      </c>
      <c r="C78" s="2">
        <f>COUNTIFS('Base de Dados'!D:D,A78,'Base de Dados'!E:E,B78)</f>
        <v/>
      </c>
      <c r="D78" s="4" t="inlineStr">
        <is>
          <t>Bernard</t>
        </is>
      </c>
      <c r="E78" s="2">
        <f>COUNTIFS('Base de Dados'!D:D,A78,'Base de Dados'!E:E,B78,'Base de Dados'!I:I,"Estratégico")</f>
        <v/>
      </c>
      <c r="F78" s="2">
        <f>COUNTIFS('Base de Dados'!D:D,A78,'Base de Dados'!E:E,B78,'Base de Dados'!I:I,"Forte")</f>
        <v/>
      </c>
      <c r="G78" s="2">
        <f>COUNTIFS('Base de Dados'!D:D,A78,'Base de Dados'!E:E,B78,'Base de Dados'!I:I,"Médio")</f>
        <v/>
      </c>
      <c r="H78" s="2">
        <f>COUNTIFS('Base de Dados'!D:D,A78,'Base de Dados'!E:E,B78,'Base de Dados'!I:I,"Pontual")</f>
        <v/>
      </c>
      <c r="I78" s="2">
        <f>IF(C78&gt;=5,"Cluster Grande (5+)",IF(C78&gt;=3,"Cluster Médio (3-4)",IF(C78&gt;=2,"Cluster Pequeno (2)","Cliente Isolado (1)")))</f>
        <v/>
      </c>
    </row>
    <row r="79">
      <c r="A79" s="2" t="inlineStr">
        <is>
          <t>ES</t>
        </is>
      </c>
      <c r="B79" s="4" t="inlineStr">
        <is>
          <t>PRESIDENTE KENNEDY</t>
        </is>
      </c>
      <c r="C79" s="2">
        <f>COUNTIFS('Base de Dados'!D:D,A79,'Base de Dados'!E:E,B79)</f>
        <v/>
      </c>
      <c r="D79" s="4" t="inlineStr">
        <is>
          <t>Bernard</t>
        </is>
      </c>
      <c r="E79" s="2">
        <f>COUNTIFS('Base de Dados'!D:D,A79,'Base de Dados'!E:E,B79,'Base de Dados'!I:I,"Estratégico")</f>
        <v/>
      </c>
      <c r="F79" s="2">
        <f>COUNTIFS('Base de Dados'!D:D,A79,'Base de Dados'!E:E,B79,'Base de Dados'!I:I,"Forte")</f>
        <v/>
      </c>
      <c r="G79" s="2">
        <f>COUNTIFS('Base de Dados'!D:D,A79,'Base de Dados'!E:E,B79,'Base de Dados'!I:I,"Médio")</f>
        <v/>
      </c>
      <c r="H79" s="2">
        <f>COUNTIFS('Base de Dados'!D:D,A79,'Base de Dados'!E:E,B79,'Base de Dados'!I:I,"Pontual")</f>
        <v/>
      </c>
      <c r="I79" s="2">
        <f>IF(C79&gt;=5,"Cluster Grande (5+)",IF(C79&gt;=3,"Cluster Médio (3-4)",IF(C79&gt;=2,"Cluster Pequeno (2)","Cliente Isolado (1)")))</f>
        <v/>
      </c>
    </row>
    <row r="80">
      <c r="A80" s="2" t="inlineStr">
        <is>
          <t>ES</t>
        </is>
      </c>
      <c r="B80" s="4" t="inlineStr">
        <is>
          <t>Piúma</t>
        </is>
      </c>
      <c r="C80" s="2">
        <f>COUNTIFS('Base de Dados'!D:D,A80,'Base de Dados'!E:E,B80)</f>
        <v/>
      </c>
      <c r="D80" s="4" t="inlineStr">
        <is>
          <t>Bernard</t>
        </is>
      </c>
      <c r="E80" s="2">
        <f>COUNTIFS('Base de Dados'!D:D,A80,'Base de Dados'!E:E,B80,'Base de Dados'!I:I,"Estratégico")</f>
        <v/>
      </c>
      <c r="F80" s="2">
        <f>COUNTIFS('Base de Dados'!D:D,A80,'Base de Dados'!E:E,B80,'Base de Dados'!I:I,"Forte")</f>
        <v/>
      </c>
      <c r="G80" s="2">
        <f>COUNTIFS('Base de Dados'!D:D,A80,'Base de Dados'!E:E,B80,'Base de Dados'!I:I,"Médio")</f>
        <v/>
      </c>
      <c r="H80" s="2">
        <f>COUNTIFS('Base de Dados'!D:D,A80,'Base de Dados'!E:E,B80,'Base de Dados'!I:I,"Pontual")</f>
        <v/>
      </c>
      <c r="I80" s="2">
        <f>IF(C80&gt;=5,"Cluster Grande (5+)",IF(C80&gt;=3,"Cluster Médio (3-4)",IF(C80&gt;=2,"Cluster Pequeno (2)","Cliente Isolado (1)")))</f>
        <v/>
      </c>
    </row>
    <row r="81">
      <c r="A81" s="2" t="inlineStr">
        <is>
          <t>ES</t>
        </is>
      </c>
      <c r="B81" s="4" t="inlineStr">
        <is>
          <t>SERRA</t>
        </is>
      </c>
      <c r="C81" s="2">
        <f>COUNTIFS('Base de Dados'!D:D,A81,'Base de Dados'!E:E,B81)</f>
        <v/>
      </c>
      <c r="D81" s="4" t="inlineStr">
        <is>
          <t>Bernard</t>
        </is>
      </c>
      <c r="E81" s="2">
        <f>COUNTIFS('Base de Dados'!D:D,A81,'Base de Dados'!E:E,B81,'Base de Dados'!I:I,"Estratégico")</f>
        <v/>
      </c>
      <c r="F81" s="2">
        <f>COUNTIFS('Base de Dados'!D:D,A81,'Base de Dados'!E:E,B81,'Base de Dados'!I:I,"Forte")</f>
        <v/>
      </c>
      <c r="G81" s="2">
        <f>COUNTIFS('Base de Dados'!D:D,A81,'Base de Dados'!E:E,B81,'Base de Dados'!I:I,"Médio")</f>
        <v/>
      </c>
      <c r="H81" s="2">
        <f>COUNTIFS('Base de Dados'!D:D,A81,'Base de Dados'!E:E,B81,'Base de Dados'!I:I,"Pontual")</f>
        <v/>
      </c>
      <c r="I81" s="2">
        <f>IF(C81&gt;=5,"Cluster Grande (5+)",IF(C81&gt;=3,"Cluster Médio (3-4)",IF(C81&gt;=2,"Cluster Pequeno (2)","Cliente Isolado (1)")))</f>
        <v/>
      </c>
    </row>
    <row r="82">
      <c r="A82" s="2" t="inlineStr">
        <is>
          <t>ES</t>
        </is>
      </c>
      <c r="B82" s="4" t="inlineStr">
        <is>
          <t>Santa Maria de Jetibá</t>
        </is>
      </c>
      <c r="C82" s="2">
        <f>COUNTIFS('Base de Dados'!D:D,A82,'Base de Dados'!E:E,B82)</f>
        <v/>
      </c>
      <c r="D82" s="4" t="inlineStr">
        <is>
          <t>Bernard</t>
        </is>
      </c>
      <c r="E82" s="2">
        <f>COUNTIFS('Base de Dados'!D:D,A82,'Base de Dados'!E:E,B82,'Base de Dados'!I:I,"Estratégico")</f>
        <v/>
      </c>
      <c r="F82" s="2">
        <f>COUNTIFS('Base de Dados'!D:D,A82,'Base de Dados'!E:E,B82,'Base de Dados'!I:I,"Forte")</f>
        <v/>
      </c>
      <c r="G82" s="2">
        <f>COUNTIFS('Base de Dados'!D:D,A82,'Base de Dados'!E:E,B82,'Base de Dados'!I:I,"Médio")</f>
        <v/>
      </c>
      <c r="H82" s="2">
        <f>COUNTIFS('Base de Dados'!D:D,A82,'Base de Dados'!E:E,B82,'Base de Dados'!I:I,"Pontual")</f>
        <v/>
      </c>
      <c r="I82" s="2">
        <f>IF(C82&gt;=5,"Cluster Grande (5+)",IF(C82&gt;=3,"Cluster Médio (3-4)",IF(C82&gt;=2,"Cluster Pequeno (2)","Cliente Isolado (1)")))</f>
        <v/>
      </c>
    </row>
    <row r="83">
      <c r="A83" s="2" t="inlineStr">
        <is>
          <t>ES</t>
        </is>
      </c>
      <c r="B83" s="4" t="inlineStr">
        <is>
          <t>São Gabriel da Palha</t>
        </is>
      </c>
      <c r="C83" s="2">
        <f>COUNTIFS('Base de Dados'!D:D,A83,'Base de Dados'!E:E,B83)</f>
        <v/>
      </c>
      <c r="D83" s="4" t="inlineStr">
        <is>
          <t>Bernard</t>
        </is>
      </c>
      <c r="E83" s="2">
        <f>COUNTIFS('Base de Dados'!D:D,A83,'Base de Dados'!E:E,B83,'Base de Dados'!I:I,"Estratégico")</f>
        <v/>
      </c>
      <c r="F83" s="2">
        <f>COUNTIFS('Base de Dados'!D:D,A83,'Base de Dados'!E:E,B83,'Base de Dados'!I:I,"Forte")</f>
        <v/>
      </c>
      <c r="G83" s="2">
        <f>COUNTIFS('Base de Dados'!D:D,A83,'Base de Dados'!E:E,B83,'Base de Dados'!I:I,"Médio")</f>
        <v/>
      </c>
      <c r="H83" s="2">
        <f>COUNTIFS('Base de Dados'!D:D,A83,'Base de Dados'!E:E,B83,'Base de Dados'!I:I,"Pontual")</f>
        <v/>
      </c>
      <c r="I83" s="2">
        <f>IF(C83&gt;=5,"Cluster Grande (5+)",IF(C83&gt;=3,"Cluster Médio (3-4)",IF(C83&gt;=2,"Cluster Pequeno (2)","Cliente Isolado (1)")))</f>
        <v/>
      </c>
    </row>
    <row r="84">
      <c r="A84" s="2" t="inlineStr">
        <is>
          <t>ES</t>
        </is>
      </c>
      <c r="B84" s="4" t="inlineStr">
        <is>
          <t>São Roque do Canaã</t>
        </is>
      </c>
      <c r="C84" s="2">
        <f>COUNTIFS('Base de Dados'!D:D,A84,'Base de Dados'!E:E,B84)</f>
        <v/>
      </c>
      <c r="D84" s="4" t="inlineStr">
        <is>
          <t>Bernard</t>
        </is>
      </c>
      <c r="E84" s="2">
        <f>COUNTIFS('Base de Dados'!D:D,A84,'Base de Dados'!E:E,B84,'Base de Dados'!I:I,"Estratégico")</f>
        <v/>
      </c>
      <c r="F84" s="2">
        <f>COUNTIFS('Base de Dados'!D:D,A84,'Base de Dados'!E:E,B84,'Base de Dados'!I:I,"Forte")</f>
        <v/>
      </c>
      <c r="G84" s="2">
        <f>COUNTIFS('Base de Dados'!D:D,A84,'Base de Dados'!E:E,B84,'Base de Dados'!I:I,"Médio")</f>
        <v/>
      </c>
      <c r="H84" s="2">
        <f>COUNTIFS('Base de Dados'!D:D,A84,'Base de Dados'!E:E,B84,'Base de Dados'!I:I,"Pontual")</f>
        <v/>
      </c>
      <c r="I84" s="2">
        <f>IF(C84&gt;=5,"Cluster Grande (5+)",IF(C84&gt;=3,"Cluster Médio (3-4)",IF(C84&gt;=2,"Cluster Pequeno (2)","Cliente Isolado (1)")))</f>
        <v/>
      </c>
    </row>
    <row r="85">
      <c r="A85" s="2" t="inlineStr">
        <is>
          <t>ES</t>
        </is>
      </c>
      <c r="B85" s="4" t="inlineStr">
        <is>
          <t>VIANA</t>
        </is>
      </c>
      <c r="C85" s="2">
        <f>COUNTIFS('Base de Dados'!D:D,A85,'Base de Dados'!E:E,B85)</f>
        <v/>
      </c>
      <c r="D85" s="4" t="inlineStr">
        <is>
          <t>Bernard</t>
        </is>
      </c>
      <c r="E85" s="2">
        <f>COUNTIFS('Base de Dados'!D:D,A85,'Base de Dados'!E:E,B85,'Base de Dados'!I:I,"Estratégico")</f>
        <v/>
      </c>
      <c r="F85" s="2">
        <f>COUNTIFS('Base de Dados'!D:D,A85,'Base de Dados'!E:E,B85,'Base de Dados'!I:I,"Forte")</f>
        <v/>
      </c>
      <c r="G85" s="2">
        <f>COUNTIFS('Base de Dados'!D:D,A85,'Base de Dados'!E:E,B85,'Base de Dados'!I:I,"Médio")</f>
        <v/>
      </c>
      <c r="H85" s="2">
        <f>COUNTIFS('Base de Dados'!D:D,A85,'Base de Dados'!E:E,B85,'Base de Dados'!I:I,"Pontual")</f>
        <v/>
      </c>
      <c r="I85" s="2">
        <f>IF(C85&gt;=5,"Cluster Grande (5+)",IF(C85&gt;=3,"Cluster Médio (3-4)",IF(C85&gt;=2,"Cluster Pequeno (2)","Cliente Isolado (1)")))</f>
        <v/>
      </c>
    </row>
    <row r="86">
      <c r="A86" s="2" t="inlineStr">
        <is>
          <t>ES</t>
        </is>
      </c>
      <c r="B86" s="4" t="inlineStr">
        <is>
          <t>VILA VELHA</t>
        </is>
      </c>
      <c r="C86" s="2">
        <f>COUNTIFS('Base de Dados'!D:D,A86,'Base de Dados'!E:E,B86)</f>
        <v/>
      </c>
      <c r="D86" s="4" t="inlineStr">
        <is>
          <t>Bernard</t>
        </is>
      </c>
      <c r="E86" s="2">
        <f>COUNTIFS('Base de Dados'!D:D,A86,'Base de Dados'!E:E,B86,'Base de Dados'!I:I,"Estratégico")</f>
        <v/>
      </c>
      <c r="F86" s="2">
        <f>COUNTIFS('Base de Dados'!D:D,A86,'Base de Dados'!E:E,B86,'Base de Dados'!I:I,"Forte")</f>
        <v/>
      </c>
      <c r="G86" s="2">
        <f>COUNTIFS('Base de Dados'!D:D,A86,'Base de Dados'!E:E,B86,'Base de Dados'!I:I,"Médio")</f>
        <v/>
      </c>
      <c r="H86" s="2">
        <f>COUNTIFS('Base de Dados'!D:D,A86,'Base de Dados'!E:E,B86,'Base de Dados'!I:I,"Pontual")</f>
        <v/>
      </c>
      <c r="I86" s="2">
        <f>IF(C86&gt;=5,"Cluster Grande (5+)",IF(C86&gt;=3,"Cluster Médio (3-4)",IF(C86&gt;=2,"Cluster Pequeno (2)","Cliente Isolado (1)")))</f>
        <v/>
      </c>
    </row>
    <row r="87">
      <c r="A87" s="2" t="inlineStr">
        <is>
          <t>ES</t>
        </is>
      </c>
      <c r="B87" s="4" t="inlineStr">
        <is>
          <t>VITÓRIA</t>
        </is>
      </c>
      <c r="C87" s="2">
        <f>COUNTIFS('Base de Dados'!D:D,A87,'Base de Dados'!E:E,B87)</f>
        <v/>
      </c>
      <c r="D87" s="4" t="inlineStr">
        <is>
          <t>Bernard</t>
        </is>
      </c>
      <c r="E87" s="2">
        <f>COUNTIFS('Base de Dados'!D:D,A87,'Base de Dados'!E:E,B87,'Base de Dados'!I:I,"Estratégico")</f>
        <v/>
      </c>
      <c r="F87" s="2">
        <f>COUNTIFS('Base de Dados'!D:D,A87,'Base de Dados'!E:E,B87,'Base de Dados'!I:I,"Forte")</f>
        <v/>
      </c>
      <c r="G87" s="2">
        <f>COUNTIFS('Base de Dados'!D:D,A87,'Base de Dados'!E:E,B87,'Base de Dados'!I:I,"Médio")</f>
        <v/>
      </c>
      <c r="H87" s="2">
        <f>COUNTIFS('Base de Dados'!D:D,A87,'Base de Dados'!E:E,B87,'Base de Dados'!I:I,"Pontual")</f>
        <v/>
      </c>
      <c r="I87" s="2">
        <f>IF(C87&gt;=5,"Cluster Grande (5+)",IF(C87&gt;=3,"Cluster Médio (3-4)",IF(C87&gt;=2,"Cluster Pequeno (2)","Cliente Isolado (1)")))</f>
        <v/>
      </c>
    </row>
    <row r="88">
      <c r="A88" s="2" t="inlineStr">
        <is>
          <t>ES</t>
        </is>
      </c>
      <c r="B88" s="4" t="inlineStr">
        <is>
          <t>Vitória</t>
        </is>
      </c>
      <c r="C88" s="2">
        <f>COUNTIFS('Base de Dados'!D:D,A88,'Base de Dados'!E:E,B88)</f>
        <v/>
      </c>
      <c r="D88" s="4" t="inlineStr">
        <is>
          <t>Bernard</t>
        </is>
      </c>
      <c r="E88" s="2">
        <f>COUNTIFS('Base de Dados'!D:D,A88,'Base de Dados'!E:E,B88,'Base de Dados'!I:I,"Estratégico")</f>
        <v/>
      </c>
      <c r="F88" s="2">
        <f>COUNTIFS('Base de Dados'!D:D,A88,'Base de Dados'!E:E,B88,'Base de Dados'!I:I,"Forte")</f>
        <v/>
      </c>
      <c r="G88" s="2">
        <f>COUNTIFS('Base de Dados'!D:D,A88,'Base de Dados'!E:E,B88,'Base de Dados'!I:I,"Médio")</f>
        <v/>
      </c>
      <c r="H88" s="2">
        <f>COUNTIFS('Base de Dados'!D:D,A88,'Base de Dados'!E:E,B88,'Base de Dados'!I:I,"Pontual")</f>
        <v/>
      </c>
      <c r="I88" s="2">
        <f>IF(C88&gt;=5,"Cluster Grande (5+)",IF(C88&gt;=3,"Cluster Médio (3-4)",IF(C88&gt;=2,"Cluster Pequeno (2)","Cliente Isolado (1)")))</f>
        <v/>
      </c>
    </row>
    <row r="89">
      <c r="A89" s="2" t="inlineStr">
        <is>
          <t>GO</t>
        </is>
      </c>
      <c r="B89" s="4" t="inlineStr">
        <is>
          <t>AGUAS LINDAS DE GOIAS</t>
        </is>
      </c>
      <c r="C89" s="2">
        <f>COUNTIFS('Base de Dados'!D:D,A89,'Base de Dados'!E:E,B89)</f>
        <v/>
      </c>
      <c r="D89" s="4" t="inlineStr">
        <is>
          <t>Andressa</t>
        </is>
      </c>
      <c r="E89" s="2">
        <f>COUNTIFS('Base de Dados'!D:D,A89,'Base de Dados'!E:E,B89,'Base de Dados'!I:I,"Estratégico")</f>
        <v/>
      </c>
      <c r="F89" s="2">
        <f>COUNTIFS('Base de Dados'!D:D,A89,'Base de Dados'!E:E,B89,'Base de Dados'!I:I,"Forte")</f>
        <v/>
      </c>
      <c r="G89" s="2">
        <f>COUNTIFS('Base de Dados'!D:D,A89,'Base de Dados'!E:E,B89,'Base de Dados'!I:I,"Médio")</f>
        <v/>
      </c>
      <c r="H89" s="2">
        <f>COUNTIFS('Base de Dados'!D:D,A89,'Base de Dados'!E:E,B89,'Base de Dados'!I:I,"Pontual")</f>
        <v/>
      </c>
      <c r="I89" s="2">
        <f>IF(C89&gt;=5,"Cluster Grande (5+)",IF(C89&gt;=3,"Cluster Médio (3-4)",IF(C89&gt;=2,"Cluster Pequeno (2)","Cliente Isolado (1)")))</f>
        <v/>
      </c>
    </row>
    <row r="90">
      <c r="A90" s="2" t="inlineStr">
        <is>
          <t>GO</t>
        </is>
      </c>
      <c r="B90" s="4" t="inlineStr">
        <is>
          <t>Alexânia</t>
        </is>
      </c>
      <c r="C90" s="2">
        <f>COUNTIFS('Base de Dados'!D:D,A90,'Base de Dados'!E:E,B90)</f>
        <v/>
      </c>
      <c r="D90" s="4" t="inlineStr">
        <is>
          <t>Andressa</t>
        </is>
      </c>
      <c r="E90" s="2">
        <f>COUNTIFS('Base de Dados'!D:D,A90,'Base de Dados'!E:E,B90,'Base de Dados'!I:I,"Estratégico")</f>
        <v/>
      </c>
      <c r="F90" s="2">
        <f>COUNTIFS('Base de Dados'!D:D,A90,'Base de Dados'!E:E,B90,'Base de Dados'!I:I,"Forte")</f>
        <v/>
      </c>
      <c r="G90" s="2">
        <f>COUNTIFS('Base de Dados'!D:D,A90,'Base de Dados'!E:E,B90,'Base de Dados'!I:I,"Médio")</f>
        <v/>
      </c>
      <c r="H90" s="2">
        <f>COUNTIFS('Base de Dados'!D:D,A90,'Base de Dados'!E:E,B90,'Base de Dados'!I:I,"Pontual")</f>
        <v/>
      </c>
      <c r="I90" s="2">
        <f>IF(C90&gt;=5,"Cluster Grande (5+)",IF(C90&gt;=3,"Cluster Médio (3-4)",IF(C90&gt;=2,"Cluster Pequeno (2)","Cliente Isolado (1)")))</f>
        <v/>
      </c>
    </row>
    <row r="91">
      <c r="A91" s="2" t="inlineStr">
        <is>
          <t>GO</t>
        </is>
      </c>
      <c r="B91" s="4" t="inlineStr">
        <is>
          <t>Anápolis</t>
        </is>
      </c>
      <c r="C91" s="2">
        <f>COUNTIFS('Base de Dados'!D:D,A91,'Base de Dados'!E:E,B91)</f>
        <v/>
      </c>
      <c r="D91" s="4" t="inlineStr">
        <is>
          <t>Andressa</t>
        </is>
      </c>
      <c r="E91" s="2">
        <f>COUNTIFS('Base de Dados'!D:D,A91,'Base de Dados'!E:E,B91,'Base de Dados'!I:I,"Estratégico")</f>
        <v/>
      </c>
      <c r="F91" s="2">
        <f>COUNTIFS('Base de Dados'!D:D,A91,'Base de Dados'!E:E,B91,'Base de Dados'!I:I,"Forte")</f>
        <v/>
      </c>
      <c r="G91" s="2">
        <f>COUNTIFS('Base de Dados'!D:D,A91,'Base de Dados'!E:E,B91,'Base de Dados'!I:I,"Médio")</f>
        <v/>
      </c>
      <c r="H91" s="2">
        <f>COUNTIFS('Base de Dados'!D:D,A91,'Base de Dados'!E:E,B91,'Base de Dados'!I:I,"Pontual")</f>
        <v/>
      </c>
      <c r="I91" s="2">
        <f>IF(C91&gt;=5,"Cluster Grande (5+)",IF(C91&gt;=3,"Cluster Médio (3-4)",IF(C91&gt;=2,"Cluster Pequeno (2)","Cliente Isolado (1)")))</f>
        <v/>
      </c>
    </row>
    <row r="92">
      <c r="A92" s="2" t="inlineStr">
        <is>
          <t>GO</t>
        </is>
      </c>
      <c r="B92" s="4" t="inlineStr">
        <is>
          <t>Aparecida de Goiânia</t>
        </is>
      </c>
      <c r="C92" s="2">
        <f>COUNTIFS('Base de Dados'!D:D,A92,'Base de Dados'!E:E,B92)</f>
        <v/>
      </c>
      <c r="D92" s="4" t="inlineStr">
        <is>
          <t>Andressa</t>
        </is>
      </c>
      <c r="E92" s="2">
        <f>COUNTIFS('Base de Dados'!D:D,A92,'Base de Dados'!E:E,B92,'Base de Dados'!I:I,"Estratégico")</f>
        <v/>
      </c>
      <c r="F92" s="2">
        <f>COUNTIFS('Base de Dados'!D:D,A92,'Base de Dados'!E:E,B92,'Base de Dados'!I:I,"Forte")</f>
        <v/>
      </c>
      <c r="G92" s="2">
        <f>COUNTIFS('Base de Dados'!D:D,A92,'Base de Dados'!E:E,B92,'Base de Dados'!I:I,"Médio")</f>
        <v/>
      </c>
      <c r="H92" s="2">
        <f>COUNTIFS('Base de Dados'!D:D,A92,'Base de Dados'!E:E,B92,'Base de Dados'!I:I,"Pontual")</f>
        <v/>
      </c>
      <c r="I92" s="2">
        <f>IF(C92&gt;=5,"Cluster Grande (5+)",IF(C92&gt;=3,"Cluster Médio (3-4)",IF(C92&gt;=2,"Cluster Pequeno (2)","Cliente Isolado (1)")))</f>
        <v/>
      </c>
    </row>
    <row r="93">
      <c r="A93" s="2" t="inlineStr">
        <is>
          <t>GO</t>
        </is>
      </c>
      <c r="B93" s="4" t="inlineStr">
        <is>
          <t>GOIÂNIA</t>
        </is>
      </c>
      <c r="C93" s="2">
        <f>COUNTIFS('Base de Dados'!D:D,A93,'Base de Dados'!E:E,B93)</f>
        <v/>
      </c>
      <c r="D93" s="4" t="inlineStr">
        <is>
          <t>Andressa</t>
        </is>
      </c>
      <c r="E93" s="2">
        <f>COUNTIFS('Base de Dados'!D:D,A93,'Base de Dados'!E:E,B93,'Base de Dados'!I:I,"Estratégico")</f>
        <v/>
      </c>
      <c r="F93" s="2">
        <f>COUNTIFS('Base de Dados'!D:D,A93,'Base de Dados'!E:E,B93,'Base de Dados'!I:I,"Forte")</f>
        <v/>
      </c>
      <c r="G93" s="2">
        <f>COUNTIFS('Base de Dados'!D:D,A93,'Base de Dados'!E:E,B93,'Base de Dados'!I:I,"Médio")</f>
        <v/>
      </c>
      <c r="H93" s="2">
        <f>COUNTIFS('Base de Dados'!D:D,A93,'Base de Dados'!E:E,B93,'Base de Dados'!I:I,"Pontual")</f>
        <v/>
      </c>
      <c r="I93" s="2">
        <f>IF(C93&gt;=5,"Cluster Grande (5+)",IF(C93&gt;=3,"Cluster Médio (3-4)",IF(C93&gt;=2,"Cluster Pequeno (2)","Cliente Isolado (1)")))</f>
        <v/>
      </c>
    </row>
    <row r="94">
      <c r="A94" s="2" t="inlineStr">
        <is>
          <t>GO</t>
        </is>
      </c>
      <c r="B94" s="4" t="inlineStr">
        <is>
          <t>Goiânia</t>
        </is>
      </c>
      <c r="C94" s="2">
        <f>COUNTIFS('Base de Dados'!D:D,A94,'Base de Dados'!E:E,B94)</f>
        <v/>
      </c>
      <c r="D94" s="4" t="inlineStr">
        <is>
          <t>Andressa</t>
        </is>
      </c>
      <c r="E94" s="2">
        <f>COUNTIFS('Base de Dados'!D:D,A94,'Base de Dados'!E:E,B94,'Base de Dados'!I:I,"Estratégico")</f>
        <v/>
      </c>
      <c r="F94" s="2">
        <f>COUNTIFS('Base de Dados'!D:D,A94,'Base de Dados'!E:E,B94,'Base de Dados'!I:I,"Forte")</f>
        <v/>
      </c>
      <c r="G94" s="2">
        <f>COUNTIFS('Base de Dados'!D:D,A94,'Base de Dados'!E:E,B94,'Base de Dados'!I:I,"Médio")</f>
        <v/>
      </c>
      <c r="H94" s="2">
        <f>COUNTIFS('Base de Dados'!D:D,A94,'Base de Dados'!E:E,B94,'Base de Dados'!I:I,"Pontual")</f>
        <v/>
      </c>
      <c r="I94" s="2">
        <f>IF(C94&gt;=5,"Cluster Grande (5+)",IF(C94&gt;=3,"Cluster Médio (3-4)",IF(C94&gt;=2,"Cluster Pequeno (2)","Cliente Isolado (1)")))</f>
        <v/>
      </c>
    </row>
    <row r="95">
      <c r="A95" s="2" t="inlineStr">
        <is>
          <t>GO</t>
        </is>
      </c>
      <c r="B95" s="4" t="inlineStr">
        <is>
          <t>INHUMAS</t>
        </is>
      </c>
      <c r="C95" s="2">
        <f>COUNTIFS('Base de Dados'!D:D,A95,'Base de Dados'!E:E,B95)</f>
        <v/>
      </c>
      <c r="D95" s="4" t="inlineStr">
        <is>
          <t>Andressa</t>
        </is>
      </c>
      <c r="E95" s="2">
        <f>COUNTIFS('Base de Dados'!D:D,A95,'Base de Dados'!E:E,B95,'Base de Dados'!I:I,"Estratégico")</f>
        <v/>
      </c>
      <c r="F95" s="2">
        <f>COUNTIFS('Base de Dados'!D:D,A95,'Base de Dados'!E:E,B95,'Base de Dados'!I:I,"Forte")</f>
        <v/>
      </c>
      <c r="G95" s="2">
        <f>COUNTIFS('Base de Dados'!D:D,A95,'Base de Dados'!E:E,B95,'Base de Dados'!I:I,"Médio")</f>
        <v/>
      </c>
      <c r="H95" s="2">
        <f>COUNTIFS('Base de Dados'!D:D,A95,'Base de Dados'!E:E,B95,'Base de Dados'!I:I,"Pontual")</f>
        <v/>
      </c>
      <c r="I95" s="2">
        <f>IF(C95&gt;=5,"Cluster Grande (5+)",IF(C95&gt;=3,"Cluster Médio (3-4)",IF(C95&gt;=2,"Cluster Pequeno (2)","Cliente Isolado (1)")))</f>
        <v/>
      </c>
    </row>
    <row r="96">
      <c r="A96" s="2" t="inlineStr">
        <is>
          <t>GO</t>
        </is>
      </c>
      <c r="B96" s="4" t="inlineStr">
        <is>
          <t>ITAPACI</t>
        </is>
      </c>
      <c r="C96" s="2">
        <f>COUNTIFS('Base de Dados'!D:D,A96,'Base de Dados'!E:E,B96)</f>
        <v/>
      </c>
      <c r="D96" s="4" t="inlineStr">
        <is>
          <t>Andressa</t>
        </is>
      </c>
      <c r="E96" s="2">
        <f>COUNTIFS('Base de Dados'!D:D,A96,'Base de Dados'!E:E,B96,'Base de Dados'!I:I,"Estratégico")</f>
        <v/>
      </c>
      <c r="F96" s="2">
        <f>COUNTIFS('Base de Dados'!D:D,A96,'Base de Dados'!E:E,B96,'Base de Dados'!I:I,"Forte")</f>
        <v/>
      </c>
      <c r="G96" s="2">
        <f>COUNTIFS('Base de Dados'!D:D,A96,'Base de Dados'!E:E,B96,'Base de Dados'!I:I,"Médio")</f>
        <v/>
      </c>
      <c r="H96" s="2">
        <f>COUNTIFS('Base de Dados'!D:D,A96,'Base de Dados'!E:E,B96,'Base de Dados'!I:I,"Pontual")</f>
        <v/>
      </c>
      <c r="I96" s="2">
        <f>IF(C96&gt;=5,"Cluster Grande (5+)",IF(C96&gt;=3,"Cluster Médio (3-4)",IF(C96&gt;=2,"Cluster Pequeno (2)","Cliente Isolado (1)")))</f>
        <v/>
      </c>
    </row>
    <row r="97">
      <c r="A97" s="2" t="inlineStr">
        <is>
          <t>GO</t>
        </is>
      </c>
      <c r="B97" s="4" t="inlineStr">
        <is>
          <t>ITUMBIARA</t>
        </is>
      </c>
      <c r="C97" s="2">
        <f>COUNTIFS('Base de Dados'!D:D,A97,'Base de Dados'!E:E,B97)</f>
        <v/>
      </c>
      <c r="D97" s="4" t="inlineStr">
        <is>
          <t>Andressa</t>
        </is>
      </c>
      <c r="E97" s="2">
        <f>COUNTIFS('Base de Dados'!D:D,A97,'Base de Dados'!E:E,B97,'Base de Dados'!I:I,"Estratégico")</f>
        <v/>
      </c>
      <c r="F97" s="2">
        <f>COUNTIFS('Base de Dados'!D:D,A97,'Base de Dados'!E:E,B97,'Base de Dados'!I:I,"Forte")</f>
        <v/>
      </c>
      <c r="G97" s="2">
        <f>COUNTIFS('Base de Dados'!D:D,A97,'Base de Dados'!E:E,B97,'Base de Dados'!I:I,"Médio")</f>
        <v/>
      </c>
      <c r="H97" s="2">
        <f>COUNTIFS('Base de Dados'!D:D,A97,'Base de Dados'!E:E,B97,'Base de Dados'!I:I,"Pontual")</f>
        <v/>
      </c>
      <c r="I97" s="2">
        <f>IF(C97&gt;=5,"Cluster Grande (5+)",IF(C97&gt;=3,"Cluster Médio (3-4)",IF(C97&gt;=2,"Cluster Pequeno (2)","Cliente Isolado (1)")))</f>
        <v/>
      </c>
    </row>
    <row r="98">
      <c r="A98" s="2" t="inlineStr">
        <is>
          <t>GO</t>
        </is>
      </c>
      <c r="B98" s="4" t="inlineStr">
        <is>
          <t>Itaberaí</t>
        </is>
      </c>
      <c r="C98" s="2">
        <f>COUNTIFS('Base de Dados'!D:D,A98,'Base de Dados'!E:E,B98)</f>
        <v/>
      </c>
      <c r="D98" s="4" t="inlineStr">
        <is>
          <t>Andressa</t>
        </is>
      </c>
      <c r="E98" s="2">
        <f>COUNTIFS('Base de Dados'!D:D,A98,'Base de Dados'!E:E,B98,'Base de Dados'!I:I,"Estratégico")</f>
        <v/>
      </c>
      <c r="F98" s="2">
        <f>COUNTIFS('Base de Dados'!D:D,A98,'Base de Dados'!E:E,B98,'Base de Dados'!I:I,"Forte")</f>
        <v/>
      </c>
      <c r="G98" s="2">
        <f>COUNTIFS('Base de Dados'!D:D,A98,'Base de Dados'!E:E,B98,'Base de Dados'!I:I,"Médio")</f>
        <v/>
      </c>
      <c r="H98" s="2">
        <f>COUNTIFS('Base de Dados'!D:D,A98,'Base de Dados'!E:E,B98,'Base de Dados'!I:I,"Pontual")</f>
        <v/>
      </c>
      <c r="I98" s="2">
        <f>IF(C98&gt;=5,"Cluster Grande (5+)",IF(C98&gt;=3,"Cluster Médio (3-4)",IF(C98&gt;=2,"Cluster Pequeno (2)","Cliente Isolado (1)")))</f>
        <v/>
      </c>
    </row>
    <row r="99">
      <c r="A99" s="2" t="inlineStr">
        <is>
          <t>GO</t>
        </is>
      </c>
      <c r="B99" s="4" t="inlineStr">
        <is>
          <t>Itajá</t>
        </is>
      </c>
      <c r="C99" s="2">
        <f>COUNTIFS('Base de Dados'!D:D,A99,'Base de Dados'!E:E,B99)</f>
        <v/>
      </c>
      <c r="D99" s="4" t="inlineStr">
        <is>
          <t>Andressa</t>
        </is>
      </c>
      <c r="E99" s="2">
        <f>COUNTIFS('Base de Dados'!D:D,A99,'Base de Dados'!E:E,B99,'Base de Dados'!I:I,"Estratégico")</f>
        <v/>
      </c>
      <c r="F99" s="2">
        <f>COUNTIFS('Base de Dados'!D:D,A99,'Base de Dados'!E:E,B99,'Base de Dados'!I:I,"Forte")</f>
        <v/>
      </c>
      <c r="G99" s="2">
        <f>COUNTIFS('Base de Dados'!D:D,A99,'Base de Dados'!E:E,B99,'Base de Dados'!I:I,"Médio")</f>
        <v/>
      </c>
      <c r="H99" s="2">
        <f>COUNTIFS('Base de Dados'!D:D,A99,'Base de Dados'!E:E,B99,'Base de Dados'!I:I,"Pontual")</f>
        <v/>
      </c>
      <c r="I99" s="2">
        <f>IF(C99&gt;=5,"Cluster Grande (5+)",IF(C99&gt;=3,"Cluster Médio (3-4)",IF(C99&gt;=2,"Cluster Pequeno (2)","Cliente Isolado (1)")))</f>
        <v/>
      </c>
    </row>
    <row r="100">
      <c r="A100" s="2" t="inlineStr">
        <is>
          <t>GO</t>
        </is>
      </c>
      <c r="B100" s="4" t="inlineStr">
        <is>
          <t>Itumbiara</t>
        </is>
      </c>
      <c r="C100" s="2">
        <f>COUNTIFS('Base de Dados'!D:D,A100,'Base de Dados'!E:E,B100)</f>
        <v/>
      </c>
      <c r="D100" s="4" t="inlineStr">
        <is>
          <t>Andressa</t>
        </is>
      </c>
      <c r="E100" s="2">
        <f>COUNTIFS('Base de Dados'!D:D,A100,'Base de Dados'!E:E,B100,'Base de Dados'!I:I,"Estratégico")</f>
        <v/>
      </c>
      <c r="F100" s="2">
        <f>COUNTIFS('Base de Dados'!D:D,A100,'Base de Dados'!E:E,B100,'Base de Dados'!I:I,"Forte")</f>
        <v/>
      </c>
      <c r="G100" s="2">
        <f>COUNTIFS('Base de Dados'!D:D,A100,'Base de Dados'!E:E,B100,'Base de Dados'!I:I,"Médio")</f>
        <v/>
      </c>
      <c r="H100" s="2">
        <f>COUNTIFS('Base de Dados'!D:D,A100,'Base de Dados'!E:E,B100,'Base de Dados'!I:I,"Pontual")</f>
        <v/>
      </c>
      <c r="I100" s="2">
        <f>IF(C100&gt;=5,"Cluster Grande (5+)",IF(C100&gt;=3,"Cluster Médio (3-4)",IF(C100&gt;=2,"Cluster Pequeno (2)","Cliente Isolado (1)")))</f>
        <v/>
      </c>
    </row>
    <row r="101">
      <c r="A101" s="2" t="inlineStr">
        <is>
          <t>GO</t>
        </is>
      </c>
      <c r="B101" s="4" t="inlineStr">
        <is>
          <t>Luziânia</t>
        </is>
      </c>
      <c r="C101" s="2">
        <f>COUNTIFS('Base de Dados'!D:D,A101,'Base de Dados'!E:E,B101)</f>
        <v/>
      </c>
      <c r="D101" s="4" t="inlineStr">
        <is>
          <t>Andressa</t>
        </is>
      </c>
      <c r="E101" s="2">
        <f>COUNTIFS('Base de Dados'!D:D,A101,'Base de Dados'!E:E,B101,'Base de Dados'!I:I,"Estratégico")</f>
        <v/>
      </c>
      <c r="F101" s="2">
        <f>COUNTIFS('Base de Dados'!D:D,A101,'Base de Dados'!E:E,B101,'Base de Dados'!I:I,"Forte")</f>
        <v/>
      </c>
      <c r="G101" s="2">
        <f>COUNTIFS('Base de Dados'!D:D,A101,'Base de Dados'!E:E,B101,'Base de Dados'!I:I,"Médio")</f>
        <v/>
      </c>
      <c r="H101" s="2">
        <f>COUNTIFS('Base de Dados'!D:D,A101,'Base de Dados'!E:E,B101,'Base de Dados'!I:I,"Pontual")</f>
        <v/>
      </c>
      <c r="I101" s="2">
        <f>IF(C101&gt;=5,"Cluster Grande (5+)",IF(C101&gt;=3,"Cluster Médio (3-4)",IF(C101&gt;=2,"Cluster Pequeno (2)","Cliente Isolado (1)")))</f>
        <v/>
      </c>
    </row>
    <row r="102">
      <c r="A102" s="2" t="inlineStr">
        <is>
          <t>GO</t>
        </is>
      </c>
      <c r="B102" s="4" t="inlineStr">
        <is>
          <t>RIO VERDE</t>
        </is>
      </c>
      <c r="C102" s="2">
        <f>COUNTIFS('Base de Dados'!D:D,A102,'Base de Dados'!E:E,B102)</f>
        <v/>
      </c>
      <c r="D102" s="4" t="inlineStr">
        <is>
          <t>Andressa</t>
        </is>
      </c>
      <c r="E102" s="2">
        <f>COUNTIFS('Base de Dados'!D:D,A102,'Base de Dados'!E:E,B102,'Base de Dados'!I:I,"Estratégico")</f>
        <v/>
      </c>
      <c r="F102" s="2">
        <f>COUNTIFS('Base de Dados'!D:D,A102,'Base de Dados'!E:E,B102,'Base de Dados'!I:I,"Forte")</f>
        <v/>
      </c>
      <c r="G102" s="2">
        <f>COUNTIFS('Base de Dados'!D:D,A102,'Base de Dados'!E:E,B102,'Base de Dados'!I:I,"Médio")</f>
        <v/>
      </c>
      <c r="H102" s="2">
        <f>COUNTIFS('Base de Dados'!D:D,A102,'Base de Dados'!E:E,B102,'Base de Dados'!I:I,"Pontual")</f>
        <v/>
      </c>
      <c r="I102" s="2">
        <f>IF(C102&gt;=5,"Cluster Grande (5+)",IF(C102&gt;=3,"Cluster Médio (3-4)",IF(C102&gt;=2,"Cluster Pequeno (2)","Cliente Isolado (1)")))</f>
        <v/>
      </c>
    </row>
    <row r="103">
      <c r="A103" s="2" t="inlineStr">
        <is>
          <t>GO</t>
        </is>
      </c>
      <c r="B103" s="4" t="inlineStr">
        <is>
          <t>VALPARAISO DE GOIAS</t>
        </is>
      </c>
      <c r="C103" s="2">
        <f>COUNTIFS('Base de Dados'!D:D,A103,'Base de Dados'!E:E,B103)</f>
        <v/>
      </c>
      <c r="D103" s="4" t="inlineStr">
        <is>
          <t>Andressa</t>
        </is>
      </c>
      <c r="E103" s="2">
        <f>COUNTIFS('Base de Dados'!D:D,A103,'Base de Dados'!E:E,B103,'Base de Dados'!I:I,"Estratégico")</f>
        <v/>
      </c>
      <c r="F103" s="2">
        <f>COUNTIFS('Base de Dados'!D:D,A103,'Base de Dados'!E:E,B103,'Base de Dados'!I:I,"Forte")</f>
        <v/>
      </c>
      <c r="G103" s="2">
        <f>COUNTIFS('Base de Dados'!D:D,A103,'Base de Dados'!E:E,B103,'Base de Dados'!I:I,"Médio")</f>
        <v/>
      </c>
      <c r="H103" s="2">
        <f>COUNTIFS('Base de Dados'!D:D,A103,'Base de Dados'!E:E,B103,'Base de Dados'!I:I,"Pontual")</f>
        <v/>
      </c>
      <c r="I103" s="2">
        <f>IF(C103&gt;=5,"Cluster Grande (5+)",IF(C103&gt;=3,"Cluster Médio (3-4)",IF(C103&gt;=2,"Cluster Pequeno (2)","Cliente Isolado (1)")))</f>
        <v/>
      </c>
    </row>
    <row r="104">
      <c r="A104" s="2" t="inlineStr">
        <is>
          <t>GO</t>
        </is>
      </c>
      <c r="B104" s="4" t="inlineStr">
        <is>
          <t>Valparaíso de Goiás</t>
        </is>
      </c>
      <c r="C104" s="2">
        <f>COUNTIFS('Base de Dados'!D:D,A104,'Base de Dados'!E:E,B104)</f>
        <v/>
      </c>
      <c r="D104" s="4" t="inlineStr">
        <is>
          <t>Andressa</t>
        </is>
      </c>
      <c r="E104" s="2">
        <f>COUNTIFS('Base de Dados'!D:D,A104,'Base de Dados'!E:E,B104,'Base de Dados'!I:I,"Estratégico")</f>
        <v/>
      </c>
      <c r="F104" s="2">
        <f>COUNTIFS('Base de Dados'!D:D,A104,'Base de Dados'!E:E,B104,'Base de Dados'!I:I,"Forte")</f>
        <v/>
      </c>
      <c r="G104" s="2">
        <f>COUNTIFS('Base de Dados'!D:D,A104,'Base de Dados'!E:E,B104,'Base de Dados'!I:I,"Médio")</f>
        <v/>
      </c>
      <c r="H104" s="2">
        <f>COUNTIFS('Base de Dados'!D:D,A104,'Base de Dados'!E:E,B104,'Base de Dados'!I:I,"Pontual")</f>
        <v/>
      </c>
      <c r="I104" s="2">
        <f>IF(C104&gt;=5,"Cluster Grande (5+)",IF(C104&gt;=3,"Cluster Médio (3-4)",IF(C104&gt;=2,"Cluster Pequeno (2)","Cliente Isolado (1)")))</f>
        <v/>
      </c>
    </row>
    <row r="105">
      <c r="A105" s="2" t="inlineStr">
        <is>
          <t>MA</t>
        </is>
      </c>
      <c r="B105" s="4" t="inlineStr">
        <is>
          <t>CHAPADINHA</t>
        </is>
      </c>
      <c r="C105" s="2">
        <f>COUNTIFS('Base de Dados'!D:D,A105,'Base de Dados'!E:E,B105)</f>
        <v/>
      </c>
      <c r="D105" s="4" t="inlineStr">
        <is>
          <t>Rodrigo</t>
        </is>
      </c>
      <c r="E105" s="2">
        <f>COUNTIFS('Base de Dados'!D:D,A105,'Base de Dados'!E:E,B105,'Base de Dados'!I:I,"Estratégico")</f>
        <v/>
      </c>
      <c r="F105" s="2">
        <f>COUNTIFS('Base de Dados'!D:D,A105,'Base de Dados'!E:E,B105,'Base de Dados'!I:I,"Forte")</f>
        <v/>
      </c>
      <c r="G105" s="2">
        <f>COUNTIFS('Base de Dados'!D:D,A105,'Base de Dados'!E:E,B105,'Base de Dados'!I:I,"Médio")</f>
        <v/>
      </c>
      <c r="H105" s="2">
        <f>COUNTIFS('Base de Dados'!D:D,A105,'Base de Dados'!E:E,B105,'Base de Dados'!I:I,"Pontual")</f>
        <v/>
      </c>
      <c r="I105" s="2">
        <f>IF(C105&gt;=5,"Cluster Grande (5+)",IF(C105&gt;=3,"Cluster Médio (3-4)",IF(C105&gt;=2,"Cluster Pequeno (2)","Cliente Isolado (1)")))</f>
        <v/>
      </c>
    </row>
    <row r="106">
      <c r="A106" s="2" t="inlineStr">
        <is>
          <t>MA</t>
        </is>
      </c>
      <c r="B106" s="4" t="inlineStr">
        <is>
          <t>Codó</t>
        </is>
      </c>
      <c r="C106" s="2">
        <f>COUNTIFS('Base de Dados'!D:D,A106,'Base de Dados'!E:E,B106)</f>
        <v/>
      </c>
      <c r="D106" s="4" t="inlineStr">
        <is>
          <t>Rodrigo</t>
        </is>
      </c>
      <c r="E106" s="2">
        <f>COUNTIFS('Base de Dados'!D:D,A106,'Base de Dados'!E:E,B106,'Base de Dados'!I:I,"Estratégico")</f>
        <v/>
      </c>
      <c r="F106" s="2">
        <f>COUNTIFS('Base de Dados'!D:D,A106,'Base de Dados'!E:E,B106,'Base de Dados'!I:I,"Forte")</f>
        <v/>
      </c>
      <c r="G106" s="2">
        <f>COUNTIFS('Base de Dados'!D:D,A106,'Base de Dados'!E:E,B106,'Base de Dados'!I:I,"Médio")</f>
        <v/>
      </c>
      <c r="H106" s="2">
        <f>COUNTIFS('Base de Dados'!D:D,A106,'Base de Dados'!E:E,B106,'Base de Dados'!I:I,"Pontual")</f>
        <v/>
      </c>
      <c r="I106" s="2">
        <f>IF(C106&gt;=5,"Cluster Grande (5+)",IF(C106&gt;=3,"Cluster Médio (3-4)",IF(C106&gt;=2,"Cluster Pequeno (2)","Cliente Isolado (1)")))</f>
        <v/>
      </c>
    </row>
    <row r="107">
      <c r="A107" s="2" t="inlineStr">
        <is>
          <t>MA</t>
        </is>
      </c>
      <c r="B107" s="4" t="inlineStr">
        <is>
          <t>PEDREIRAS</t>
        </is>
      </c>
      <c r="C107" s="2">
        <f>COUNTIFS('Base de Dados'!D:D,A107,'Base de Dados'!E:E,B107)</f>
        <v/>
      </c>
      <c r="D107" s="4" t="inlineStr">
        <is>
          <t>Rodrigo</t>
        </is>
      </c>
      <c r="E107" s="2">
        <f>COUNTIFS('Base de Dados'!D:D,A107,'Base de Dados'!E:E,B107,'Base de Dados'!I:I,"Estratégico")</f>
        <v/>
      </c>
      <c r="F107" s="2">
        <f>COUNTIFS('Base de Dados'!D:D,A107,'Base de Dados'!E:E,B107,'Base de Dados'!I:I,"Forte")</f>
        <v/>
      </c>
      <c r="G107" s="2">
        <f>COUNTIFS('Base de Dados'!D:D,A107,'Base de Dados'!E:E,B107,'Base de Dados'!I:I,"Médio")</f>
        <v/>
      </c>
      <c r="H107" s="2">
        <f>COUNTIFS('Base de Dados'!D:D,A107,'Base de Dados'!E:E,B107,'Base de Dados'!I:I,"Pontual")</f>
        <v/>
      </c>
      <c r="I107" s="2">
        <f>IF(C107&gt;=5,"Cluster Grande (5+)",IF(C107&gt;=3,"Cluster Médio (3-4)",IF(C107&gt;=2,"Cluster Pequeno (2)","Cliente Isolado (1)")))</f>
        <v/>
      </c>
    </row>
    <row r="108">
      <c r="A108" s="2" t="inlineStr">
        <is>
          <t>MA</t>
        </is>
      </c>
      <c r="B108" s="4" t="inlineStr">
        <is>
          <t>PINHEIRO</t>
        </is>
      </c>
      <c r="C108" s="2">
        <f>COUNTIFS('Base de Dados'!D:D,A108,'Base de Dados'!E:E,B108)</f>
        <v/>
      </c>
      <c r="D108" s="4" t="inlineStr">
        <is>
          <t>Rodrigo</t>
        </is>
      </c>
      <c r="E108" s="2">
        <f>COUNTIFS('Base de Dados'!D:D,A108,'Base de Dados'!E:E,B108,'Base de Dados'!I:I,"Estratégico")</f>
        <v/>
      </c>
      <c r="F108" s="2">
        <f>COUNTIFS('Base de Dados'!D:D,A108,'Base de Dados'!E:E,B108,'Base de Dados'!I:I,"Forte")</f>
        <v/>
      </c>
      <c r="G108" s="2">
        <f>COUNTIFS('Base de Dados'!D:D,A108,'Base de Dados'!E:E,B108,'Base de Dados'!I:I,"Médio")</f>
        <v/>
      </c>
      <c r="H108" s="2">
        <f>COUNTIFS('Base de Dados'!D:D,A108,'Base de Dados'!E:E,B108,'Base de Dados'!I:I,"Pontual")</f>
        <v/>
      </c>
      <c r="I108" s="2">
        <f>IF(C108&gt;=5,"Cluster Grande (5+)",IF(C108&gt;=3,"Cluster Médio (3-4)",IF(C108&gt;=2,"Cluster Pequeno (2)","Cliente Isolado (1)")))</f>
        <v/>
      </c>
    </row>
    <row r="109">
      <c r="A109" s="2" t="inlineStr">
        <is>
          <t>MA</t>
        </is>
      </c>
      <c r="B109" s="4" t="inlineStr">
        <is>
          <t>PRESIDENTE DUTRA</t>
        </is>
      </c>
      <c r="C109" s="2">
        <f>COUNTIFS('Base de Dados'!D:D,A109,'Base de Dados'!E:E,B109)</f>
        <v/>
      </c>
      <c r="D109" s="4" t="inlineStr">
        <is>
          <t>Rodrigo</t>
        </is>
      </c>
      <c r="E109" s="2">
        <f>COUNTIFS('Base de Dados'!D:D,A109,'Base de Dados'!E:E,B109,'Base de Dados'!I:I,"Estratégico")</f>
        <v/>
      </c>
      <c r="F109" s="2">
        <f>COUNTIFS('Base de Dados'!D:D,A109,'Base de Dados'!E:E,B109,'Base de Dados'!I:I,"Forte")</f>
        <v/>
      </c>
      <c r="G109" s="2">
        <f>COUNTIFS('Base de Dados'!D:D,A109,'Base de Dados'!E:E,B109,'Base de Dados'!I:I,"Médio")</f>
        <v/>
      </c>
      <c r="H109" s="2">
        <f>COUNTIFS('Base de Dados'!D:D,A109,'Base de Dados'!E:E,B109,'Base de Dados'!I:I,"Pontual")</f>
        <v/>
      </c>
      <c r="I109" s="2">
        <f>IF(C109&gt;=5,"Cluster Grande (5+)",IF(C109&gt;=3,"Cluster Médio (3-4)",IF(C109&gt;=2,"Cluster Pequeno (2)","Cliente Isolado (1)")))</f>
        <v/>
      </c>
    </row>
    <row r="110">
      <c r="A110" s="2" t="inlineStr">
        <is>
          <t>MA</t>
        </is>
      </c>
      <c r="B110" s="4" t="inlineStr">
        <is>
          <t>Paço do Lumiar</t>
        </is>
      </c>
      <c r="C110" s="2">
        <f>COUNTIFS('Base de Dados'!D:D,A110,'Base de Dados'!E:E,B110)</f>
        <v/>
      </c>
      <c r="D110" s="4" t="inlineStr">
        <is>
          <t>Rodrigo</t>
        </is>
      </c>
      <c r="E110" s="2">
        <f>COUNTIFS('Base de Dados'!D:D,A110,'Base de Dados'!E:E,B110,'Base de Dados'!I:I,"Estratégico")</f>
        <v/>
      </c>
      <c r="F110" s="2">
        <f>COUNTIFS('Base de Dados'!D:D,A110,'Base de Dados'!E:E,B110,'Base de Dados'!I:I,"Forte")</f>
        <v/>
      </c>
      <c r="G110" s="2">
        <f>COUNTIFS('Base de Dados'!D:D,A110,'Base de Dados'!E:E,B110,'Base de Dados'!I:I,"Médio")</f>
        <v/>
      </c>
      <c r="H110" s="2">
        <f>COUNTIFS('Base de Dados'!D:D,A110,'Base de Dados'!E:E,B110,'Base de Dados'!I:I,"Pontual")</f>
        <v/>
      </c>
      <c r="I110" s="2">
        <f>IF(C110&gt;=5,"Cluster Grande (5+)",IF(C110&gt;=3,"Cluster Médio (3-4)",IF(C110&gt;=2,"Cluster Pequeno (2)","Cliente Isolado (1)")))</f>
        <v/>
      </c>
    </row>
    <row r="111">
      <c r="A111" s="2" t="inlineStr">
        <is>
          <t>MA</t>
        </is>
      </c>
      <c r="B111" s="4" t="inlineStr">
        <is>
          <t>Santa Inês</t>
        </is>
      </c>
      <c r="C111" s="2">
        <f>COUNTIFS('Base de Dados'!D:D,A111,'Base de Dados'!E:E,B111)</f>
        <v/>
      </c>
      <c r="D111" s="4" t="inlineStr">
        <is>
          <t>Rodrigo</t>
        </is>
      </c>
      <c r="E111" s="2">
        <f>COUNTIFS('Base de Dados'!D:D,A111,'Base de Dados'!E:E,B111,'Base de Dados'!I:I,"Estratégico")</f>
        <v/>
      </c>
      <c r="F111" s="2">
        <f>COUNTIFS('Base de Dados'!D:D,A111,'Base de Dados'!E:E,B111,'Base de Dados'!I:I,"Forte")</f>
        <v/>
      </c>
      <c r="G111" s="2">
        <f>COUNTIFS('Base de Dados'!D:D,A111,'Base de Dados'!E:E,B111,'Base de Dados'!I:I,"Médio")</f>
        <v/>
      </c>
      <c r="H111" s="2">
        <f>COUNTIFS('Base de Dados'!D:D,A111,'Base de Dados'!E:E,B111,'Base de Dados'!I:I,"Pontual")</f>
        <v/>
      </c>
      <c r="I111" s="2">
        <f>IF(C111&gt;=5,"Cluster Grande (5+)",IF(C111&gt;=3,"Cluster Médio (3-4)",IF(C111&gt;=2,"Cluster Pequeno (2)","Cliente Isolado (1)")))</f>
        <v/>
      </c>
    </row>
    <row r="112">
      <c r="A112" s="2" t="inlineStr">
        <is>
          <t>MA</t>
        </is>
      </c>
      <c r="B112" s="4" t="inlineStr">
        <is>
          <t>SÃO JOÃO DOS PATOS</t>
        </is>
      </c>
      <c r="C112" s="2">
        <f>COUNTIFS('Base de Dados'!D:D,A112,'Base de Dados'!E:E,B112)</f>
        <v/>
      </c>
      <c r="D112" s="4" t="inlineStr">
        <is>
          <t>Rodrigo</t>
        </is>
      </c>
      <c r="E112" s="2">
        <f>COUNTIFS('Base de Dados'!D:D,A112,'Base de Dados'!E:E,B112,'Base de Dados'!I:I,"Estratégico")</f>
        <v/>
      </c>
      <c r="F112" s="2">
        <f>COUNTIFS('Base de Dados'!D:D,A112,'Base de Dados'!E:E,B112,'Base de Dados'!I:I,"Forte")</f>
        <v/>
      </c>
      <c r="G112" s="2">
        <f>COUNTIFS('Base de Dados'!D:D,A112,'Base de Dados'!E:E,B112,'Base de Dados'!I:I,"Médio")</f>
        <v/>
      </c>
      <c r="H112" s="2">
        <f>COUNTIFS('Base de Dados'!D:D,A112,'Base de Dados'!E:E,B112,'Base de Dados'!I:I,"Pontual")</f>
        <v/>
      </c>
      <c r="I112" s="2">
        <f>IF(C112&gt;=5,"Cluster Grande (5+)",IF(C112&gt;=3,"Cluster Médio (3-4)",IF(C112&gt;=2,"Cluster Pequeno (2)","Cliente Isolado (1)")))</f>
        <v/>
      </c>
    </row>
    <row r="113">
      <c r="A113" s="2" t="inlineStr">
        <is>
          <t>MA</t>
        </is>
      </c>
      <c r="B113" s="4" t="inlineStr">
        <is>
          <t>São Luís</t>
        </is>
      </c>
      <c r="C113" s="2">
        <f>COUNTIFS('Base de Dados'!D:D,A113,'Base de Dados'!E:E,B113)</f>
        <v/>
      </c>
      <c r="D113" s="4" t="inlineStr">
        <is>
          <t>Rodrigo</t>
        </is>
      </c>
      <c r="E113" s="2">
        <f>COUNTIFS('Base de Dados'!D:D,A113,'Base de Dados'!E:E,B113,'Base de Dados'!I:I,"Estratégico")</f>
        <v/>
      </c>
      <c r="F113" s="2">
        <f>COUNTIFS('Base de Dados'!D:D,A113,'Base de Dados'!E:E,B113,'Base de Dados'!I:I,"Forte")</f>
        <v/>
      </c>
      <c r="G113" s="2">
        <f>COUNTIFS('Base de Dados'!D:D,A113,'Base de Dados'!E:E,B113,'Base de Dados'!I:I,"Médio")</f>
        <v/>
      </c>
      <c r="H113" s="2">
        <f>COUNTIFS('Base de Dados'!D:D,A113,'Base de Dados'!E:E,B113,'Base de Dados'!I:I,"Pontual")</f>
        <v/>
      </c>
      <c r="I113" s="2">
        <f>IF(C113&gt;=5,"Cluster Grande (5+)",IF(C113&gt;=3,"Cluster Médio (3-4)",IF(C113&gt;=2,"Cluster Pequeno (2)","Cliente Isolado (1)")))</f>
        <v/>
      </c>
    </row>
    <row r="114">
      <c r="A114" s="2" t="inlineStr">
        <is>
          <t>MG</t>
        </is>
      </c>
      <c r="B114" s="4" t="inlineStr">
        <is>
          <t>ALFENAS</t>
        </is>
      </c>
      <c r="C114" s="2">
        <f>COUNTIFS('Base de Dados'!D:D,A114,'Base de Dados'!E:E,B114)</f>
        <v/>
      </c>
      <c r="D114" s="4" t="inlineStr">
        <is>
          <t>Andressa</t>
        </is>
      </c>
      <c r="E114" s="2">
        <f>COUNTIFS('Base de Dados'!D:D,A114,'Base de Dados'!E:E,B114,'Base de Dados'!I:I,"Estratégico")</f>
        <v/>
      </c>
      <c r="F114" s="2">
        <f>COUNTIFS('Base de Dados'!D:D,A114,'Base de Dados'!E:E,B114,'Base de Dados'!I:I,"Forte")</f>
        <v/>
      </c>
      <c r="G114" s="2">
        <f>COUNTIFS('Base de Dados'!D:D,A114,'Base de Dados'!E:E,B114,'Base de Dados'!I:I,"Médio")</f>
        <v/>
      </c>
      <c r="H114" s="2">
        <f>COUNTIFS('Base de Dados'!D:D,A114,'Base de Dados'!E:E,B114,'Base de Dados'!I:I,"Pontual")</f>
        <v/>
      </c>
      <c r="I114" s="2">
        <f>IF(C114&gt;=5,"Cluster Grande (5+)",IF(C114&gt;=3,"Cluster Médio (3-4)",IF(C114&gt;=2,"Cluster Pequeno (2)","Cliente Isolado (1)")))</f>
        <v/>
      </c>
    </row>
    <row r="115">
      <c r="A115" s="2" t="inlineStr">
        <is>
          <t>MG</t>
        </is>
      </c>
      <c r="B115" s="4" t="inlineStr">
        <is>
          <t>Aimorés</t>
        </is>
      </c>
      <c r="C115" s="2">
        <f>COUNTIFS('Base de Dados'!D:D,A115,'Base de Dados'!E:E,B115)</f>
        <v/>
      </c>
      <c r="D115" s="4" t="inlineStr">
        <is>
          <t>Andressa</t>
        </is>
      </c>
      <c r="E115" s="2">
        <f>COUNTIFS('Base de Dados'!D:D,A115,'Base de Dados'!E:E,B115,'Base de Dados'!I:I,"Estratégico")</f>
        <v/>
      </c>
      <c r="F115" s="2">
        <f>COUNTIFS('Base de Dados'!D:D,A115,'Base de Dados'!E:E,B115,'Base de Dados'!I:I,"Forte")</f>
        <v/>
      </c>
      <c r="G115" s="2">
        <f>COUNTIFS('Base de Dados'!D:D,A115,'Base de Dados'!E:E,B115,'Base de Dados'!I:I,"Médio")</f>
        <v/>
      </c>
      <c r="H115" s="2">
        <f>COUNTIFS('Base de Dados'!D:D,A115,'Base de Dados'!E:E,B115,'Base de Dados'!I:I,"Pontual")</f>
        <v/>
      </c>
      <c r="I115" s="2">
        <f>IF(C115&gt;=5,"Cluster Grande (5+)",IF(C115&gt;=3,"Cluster Médio (3-4)",IF(C115&gt;=2,"Cluster Pequeno (2)","Cliente Isolado (1)")))</f>
        <v/>
      </c>
    </row>
    <row r="116">
      <c r="A116" s="2" t="inlineStr">
        <is>
          <t>MG</t>
        </is>
      </c>
      <c r="B116" s="4" t="inlineStr">
        <is>
          <t>Alfenas</t>
        </is>
      </c>
      <c r="C116" s="2">
        <f>COUNTIFS('Base de Dados'!D:D,A116,'Base de Dados'!E:E,B116)</f>
        <v/>
      </c>
      <c r="D116" s="4" t="inlineStr">
        <is>
          <t>Andressa</t>
        </is>
      </c>
      <c r="E116" s="2">
        <f>COUNTIFS('Base de Dados'!D:D,A116,'Base de Dados'!E:E,B116,'Base de Dados'!I:I,"Estratégico")</f>
        <v/>
      </c>
      <c r="F116" s="2">
        <f>COUNTIFS('Base de Dados'!D:D,A116,'Base de Dados'!E:E,B116,'Base de Dados'!I:I,"Forte")</f>
        <v/>
      </c>
      <c r="G116" s="2">
        <f>COUNTIFS('Base de Dados'!D:D,A116,'Base de Dados'!E:E,B116,'Base de Dados'!I:I,"Médio")</f>
        <v/>
      </c>
      <c r="H116" s="2">
        <f>COUNTIFS('Base de Dados'!D:D,A116,'Base de Dados'!E:E,B116,'Base de Dados'!I:I,"Pontual")</f>
        <v/>
      </c>
      <c r="I116" s="2">
        <f>IF(C116&gt;=5,"Cluster Grande (5+)",IF(C116&gt;=3,"Cluster Médio (3-4)",IF(C116&gt;=2,"Cluster Pequeno (2)","Cliente Isolado (1)")))</f>
        <v/>
      </c>
    </row>
    <row r="117">
      <c r="A117" s="2" t="inlineStr">
        <is>
          <t>MG</t>
        </is>
      </c>
      <c r="B117" s="4" t="inlineStr">
        <is>
          <t>Alvinópolis</t>
        </is>
      </c>
      <c r="C117" s="2">
        <f>COUNTIFS('Base de Dados'!D:D,A117,'Base de Dados'!E:E,B117)</f>
        <v/>
      </c>
      <c r="D117" s="4" t="inlineStr">
        <is>
          <t>Andressa</t>
        </is>
      </c>
      <c r="E117" s="2">
        <f>COUNTIFS('Base de Dados'!D:D,A117,'Base de Dados'!E:E,B117,'Base de Dados'!I:I,"Estratégico")</f>
        <v/>
      </c>
      <c r="F117" s="2">
        <f>COUNTIFS('Base de Dados'!D:D,A117,'Base de Dados'!E:E,B117,'Base de Dados'!I:I,"Forte")</f>
        <v/>
      </c>
      <c r="G117" s="2">
        <f>COUNTIFS('Base de Dados'!D:D,A117,'Base de Dados'!E:E,B117,'Base de Dados'!I:I,"Médio")</f>
        <v/>
      </c>
      <c r="H117" s="2">
        <f>COUNTIFS('Base de Dados'!D:D,A117,'Base de Dados'!E:E,B117,'Base de Dados'!I:I,"Pontual")</f>
        <v/>
      </c>
      <c r="I117" s="2">
        <f>IF(C117&gt;=5,"Cluster Grande (5+)",IF(C117&gt;=3,"Cluster Médio (3-4)",IF(C117&gt;=2,"Cluster Pequeno (2)","Cliente Isolado (1)")))</f>
        <v/>
      </c>
    </row>
    <row r="118">
      <c r="A118" s="2" t="inlineStr">
        <is>
          <t>MG</t>
        </is>
      </c>
      <c r="B118" s="4" t="inlineStr">
        <is>
          <t>Araçuaí</t>
        </is>
      </c>
      <c r="C118" s="2">
        <f>COUNTIFS('Base de Dados'!D:D,A118,'Base de Dados'!E:E,B118)</f>
        <v/>
      </c>
      <c r="D118" s="4" t="inlineStr">
        <is>
          <t>Andressa</t>
        </is>
      </c>
      <c r="E118" s="2">
        <f>COUNTIFS('Base de Dados'!D:D,A118,'Base de Dados'!E:E,B118,'Base de Dados'!I:I,"Estratégico")</f>
        <v/>
      </c>
      <c r="F118" s="2">
        <f>COUNTIFS('Base de Dados'!D:D,A118,'Base de Dados'!E:E,B118,'Base de Dados'!I:I,"Forte")</f>
        <v/>
      </c>
      <c r="G118" s="2">
        <f>COUNTIFS('Base de Dados'!D:D,A118,'Base de Dados'!E:E,B118,'Base de Dados'!I:I,"Médio")</f>
        <v/>
      </c>
      <c r="H118" s="2">
        <f>COUNTIFS('Base de Dados'!D:D,A118,'Base de Dados'!E:E,B118,'Base de Dados'!I:I,"Pontual")</f>
        <v/>
      </c>
      <c r="I118" s="2">
        <f>IF(C118&gt;=5,"Cluster Grande (5+)",IF(C118&gt;=3,"Cluster Médio (3-4)",IF(C118&gt;=2,"Cluster Pequeno (2)","Cliente Isolado (1)")))</f>
        <v/>
      </c>
    </row>
    <row r="119">
      <c r="A119" s="2" t="inlineStr">
        <is>
          <t>MG</t>
        </is>
      </c>
      <c r="B119" s="4" t="inlineStr">
        <is>
          <t>BELO HORIZONTE</t>
        </is>
      </c>
      <c r="C119" s="2">
        <f>COUNTIFS('Base de Dados'!D:D,A119,'Base de Dados'!E:E,B119)</f>
        <v/>
      </c>
      <c r="D119" s="4" t="inlineStr">
        <is>
          <t>Andressa</t>
        </is>
      </c>
      <c r="E119" s="2">
        <f>COUNTIFS('Base de Dados'!D:D,A119,'Base de Dados'!E:E,B119,'Base de Dados'!I:I,"Estratégico")</f>
        <v/>
      </c>
      <c r="F119" s="2">
        <f>COUNTIFS('Base de Dados'!D:D,A119,'Base de Dados'!E:E,B119,'Base de Dados'!I:I,"Forte")</f>
        <v/>
      </c>
      <c r="G119" s="2">
        <f>COUNTIFS('Base de Dados'!D:D,A119,'Base de Dados'!E:E,B119,'Base de Dados'!I:I,"Médio")</f>
        <v/>
      </c>
      <c r="H119" s="2">
        <f>COUNTIFS('Base de Dados'!D:D,A119,'Base de Dados'!E:E,B119,'Base de Dados'!I:I,"Pontual")</f>
        <v/>
      </c>
      <c r="I119" s="2">
        <f>IF(C119&gt;=5,"Cluster Grande (5+)",IF(C119&gt;=3,"Cluster Médio (3-4)",IF(C119&gt;=2,"Cluster Pequeno (2)","Cliente Isolado (1)")))</f>
        <v/>
      </c>
    </row>
    <row r="120">
      <c r="A120" s="2" t="inlineStr">
        <is>
          <t>MG</t>
        </is>
      </c>
      <c r="B120" s="4" t="inlineStr">
        <is>
          <t>BETIM</t>
        </is>
      </c>
      <c r="C120" s="2">
        <f>COUNTIFS('Base de Dados'!D:D,A120,'Base de Dados'!E:E,B120)</f>
        <v/>
      </c>
      <c r="D120" s="4" t="inlineStr">
        <is>
          <t>Andressa</t>
        </is>
      </c>
      <c r="E120" s="2">
        <f>COUNTIFS('Base de Dados'!D:D,A120,'Base de Dados'!E:E,B120,'Base de Dados'!I:I,"Estratégico")</f>
        <v/>
      </c>
      <c r="F120" s="2">
        <f>COUNTIFS('Base de Dados'!D:D,A120,'Base de Dados'!E:E,B120,'Base de Dados'!I:I,"Forte")</f>
        <v/>
      </c>
      <c r="G120" s="2">
        <f>COUNTIFS('Base de Dados'!D:D,A120,'Base de Dados'!E:E,B120,'Base de Dados'!I:I,"Médio")</f>
        <v/>
      </c>
      <c r="H120" s="2">
        <f>COUNTIFS('Base de Dados'!D:D,A120,'Base de Dados'!E:E,B120,'Base de Dados'!I:I,"Pontual")</f>
        <v/>
      </c>
      <c r="I120" s="2">
        <f>IF(C120&gt;=5,"Cluster Grande (5+)",IF(C120&gt;=3,"Cluster Médio (3-4)",IF(C120&gt;=2,"Cluster Pequeno (2)","Cliente Isolado (1)")))</f>
        <v/>
      </c>
    </row>
    <row r="121">
      <c r="A121" s="2" t="inlineStr">
        <is>
          <t>MG</t>
        </is>
      </c>
      <c r="B121" s="4" t="inlineStr">
        <is>
          <t>BOM DESPACHO</t>
        </is>
      </c>
      <c r="C121" s="2">
        <f>COUNTIFS('Base de Dados'!D:D,A121,'Base de Dados'!E:E,B121)</f>
        <v/>
      </c>
      <c r="D121" s="4" t="inlineStr">
        <is>
          <t>Andressa</t>
        </is>
      </c>
      <c r="E121" s="2">
        <f>COUNTIFS('Base de Dados'!D:D,A121,'Base de Dados'!E:E,B121,'Base de Dados'!I:I,"Estratégico")</f>
        <v/>
      </c>
      <c r="F121" s="2">
        <f>COUNTIFS('Base de Dados'!D:D,A121,'Base de Dados'!E:E,B121,'Base de Dados'!I:I,"Forte")</f>
        <v/>
      </c>
      <c r="G121" s="2">
        <f>COUNTIFS('Base de Dados'!D:D,A121,'Base de Dados'!E:E,B121,'Base de Dados'!I:I,"Médio")</f>
        <v/>
      </c>
      <c r="H121" s="2">
        <f>COUNTIFS('Base de Dados'!D:D,A121,'Base de Dados'!E:E,B121,'Base de Dados'!I:I,"Pontual")</f>
        <v/>
      </c>
      <c r="I121" s="2">
        <f>IF(C121&gt;=5,"Cluster Grande (5+)",IF(C121&gt;=3,"Cluster Médio (3-4)",IF(C121&gt;=2,"Cluster Pequeno (2)","Cliente Isolado (1)")))</f>
        <v/>
      </c>
    </row>
    <row r="122">
      <c r="A122" s="2" t="inlineStr">
        <is>
          <t>MG</t>
        </is>
      </c>
      <c r="B122" s="4" t="inlineStr">
        <is>
          <t>CARATINGA</t>
        </is>
      </c>
      <c r="C122" s="2">
        <f>COUNTIFS('Base de Dados'!D:D,A122,'Base de Dados'!E:E,B122)</f>
        <v/>
      </c>
      <c r="D122" s="4" t="inlineStr">
        <is>
          <t>Andressa</t>
        </is>
      </c>
      <c r="E122" s="2">
        <f>COUNTIFS('Base de Dados'!D:D,A122,'Base de Dados'!E:E,B122,'Base de Dados'!I:I,"Estratégico")</f>
        <v/>
      </c>
      <c r="F122" s="2">
        <f>COUNTIFS('Base de Dados'!D:D,A122,'Base de Dados'!E:E,B122,'Base de Dados'!I:I,"Forte")</f>
        <v/>
      </c>
      <c r="G122" s="2">
        <f>COUNTIFS('Base de Dados'!D:D,A122,'Base de Dados'!E:E,B122,'Base de Dados'!I:I,"Médio")</f>
        <v/>
      </c>
      <c r="H122" s="2">
        <f>COUNTIFS('Base de Dados'!D:D,A122,'Base de Dados'!E:E,B122,'Base de Dados'!I:I,"Pontual")</f>
        <v/>
      </c>
      <c r="I122" s="2">
        <f>IF(C122&gt;=5,"Cluster Grande (5+)",IF(C122&gt;=3,"Cluster Médio (3-4)",IF(C122&gt;=2,"Cluster Pequeno (2)","Cliente Isolado (1)")))</f>
        <v/>
      </c>
    </row>
    <row r="123">
      <c r="A123" s="2" t="inlineStr">
        <is>
          <t>MG</t>
        </is>
      </c>
      <c r="B123" s="4" t="inlineStr">
        <is>
          <t>CATAGUASES</t>
        </is>
      </c>
      <c r="C123" s="2">
        <f>COUNTIFS('Base de Dados'!D:D,A123,'Base de Dados'!E:E,B123)</f>
        <v/>
      </c>
      <c r="D123" s="4" t="inlineStr">
        <is>
          <t>Andressa</t>
        </is>
      </c>
      <c r="E123" s="2">
        <f>COUNTIFS('Base de Dados'!D:D,A123,'Base de Dados'!E:E,B123,'Base de Dados'!I:I,"Estratégico")</f>
        <v/>
      </c>
      <c r="F123" s="2">
        <f>COUNTIFS('Base de Dados'!D:D,A123,'Base de Dados'!E:E,B123,'Base de Dados'!I:I,"Forte")</f>
        <v/>
      </c>
      <c r="G123" s="2">
        <f>COUNTIFS('Base de Dados'!D:D,A123,'Base de Dados'!E:E,B123,'Base de Dados'!I:I,"Médio")</f>
        <v/>
      </c>
      <c r="H123" s="2">
        <f>COUNTIFS('Base de Dados'!D:D,A123,'Base de Dados'!E:E,B123,'Base de Dados'!I:I,"Pontual")</f>
        <v/>
      </c>
      <c r="I123" s="2">
        <f>IF(C123&gt;=5,"Cluster Grande (5+)",IF(C123&gt;=3,"Cluster Médio (3-4)",IF(C123&gt;=2,"Cluster Pequeno (2)","Cliente Isolado (1)")))</f>
        <v/>
      </c>
    </row>
    <row r="124">
      <c r="A124" s="2" t="inlineStr">
        <is>
          <t>MG</t>
        </is>
      </c>
      <c r="B124" s="4" t="inlineStr">
        <is>
          <t>CONSELHEIRO LAFAIETE</t>
        </is>
      </c>
      <c r="C124" s="2">
        <f>COUNTIFS('Base de Dados'!D:D,A124,'Base de Dados'!E:E,B124)</f>
        <v/>
      </c>
      <c r="D124" s="4" t="inlineStr">
        <is>
          <t>Andressa</t>
        </is>
      </c>
      <c r="E124" s="2">
        <f>COUNTIFS('Base de Dados'!D:D,A124,'Base de Dados'!E:E,B124,'Base de Dados'!I:I,"Estratégico")</f>
        <v/>
      </c>
      <c r="F124" s="2">
        <f>COUNTIFS('Base de Dados'!D:D,A124,'Base de Dados'!E:E,B124,'Base de Dados'!I:I,"Forte")</f>
        <v/>
      </c>
      <c r="G124" s="2">
        <f>COUNTIFS('Base de Dados'!D:D,A124,'Base de Dados'!E:E,B124,'Base de Dados'!I:I,"Médio")</f>
        <v/>
      </c>
      <c r="H124" s="2">
        <f>COUNTIFS('Base de Dados'!D:D,A124,'Base de Dados'!E:E,B124,'Base de Dados'!I:I,"Pontual")</f>
        <v/>
      </c>
      <c r="I124" s="2">
        <f>IF(C124&gt;=5,"Cluster Grande (5+)",IF(C124&gt;=3,"Cluster Médio (3-4)",IF(C124&gt;=2,"Cluster Pequeno (2)","Cliente Isolado (1)")))</f>
        <v/>
      </c>
    </row>
    <row r="125">
      <c r="A125" s="2" t="inlineStr">
        <is>
          <t>MG</t>
        </is>
      </c>
      <c r="B125" s="4" t="inlineStr">
        <is>
          <t>CONTAGEM</t>
        </is>
      </c>
      <c r="C125" s="2">
        <f>COUNTIFS('Base de Dados'!D:D,A125,'Base de Dados'!E:E,B125)</f>
        <v/>
      </c>
      <c r="D125" s="4" t="inlineStr">
        <is>
          <t>Andressa</t>
        </is>
      </c>
      <c r="E125" s="2">
        <f>COUNTIFS('Base de Dados'!D:D,A125,'Base de Dados'!E:E,B125,'Base de Dados'!I:I,"Estratégico")</f>
        <v/>
      </c>
      <c r="F125" s="2">
        <f>COUNTIFS('Base de Dados'!D:D,A125,'Base de Dados'!E:E,B125,'Base de Dados'!I:I,"Forte")</f>
        <v/>
      </c>
      <c r="G125" s="2">
        <f>COUNTIFS('Base de Dados'!D:D,A125,'Base de Dados'!E:E,B125,'Base de Dados'!I:I,"Médio")</f>
        <v/>
      </c>
      <c r="H125" s="2">
        <f>COUNTIFS('Base de Dados'!D:D,A125,'Base de Dados'!E:E,B125,'Base de Dados'!I:I,"Pontual")</f>
        <v/>
      </c>
      <c r="I125" s="2">
        <f>IF(C125&gt;=5,"Cluster Grande (5+)",IF(C125&gt;=3,"Cluster Médio (3-4)",IF(C125&gt;=2,"Cluster Pequeno (2)","Cliente Isolado (1)")))</f>
        <v/>
      </c>
    </row>
    <row r="126">
      <c r="A126" s="2" t="inlineStr">
        <is>
          <t>MG</t>
        </is>
      </c>
      <c r="B126" s="4" t="inlineStr">
        <is>
          <t>COROMANDEL</t>
        </is>
      </c>
      <c r="C126" s="2">
        <f>COUNTIFS('Base de Dados'!D:D,A126,'Base de Dados'!E:E,B126)</f>
        <v/>
      </c>
      <c r="D126" s="4" t="inlineStr">
        <is>
          <t>Andressa</t>
        </is>
      </c>
      <c r="E126" s="2">
        <f>COUNTIFS('Base de Dados'!D:D,A126,'Base de Dados'!E:E,B126,'Base de Dados'!I:I,"Estratégico")</f>
        <v/>
      </c>
      <c r="F126" s="2">
        <f>COUNTIFS('Base de Dados'!D:D,A126,'Base de Dados'!E:E,B126,'Base de Dados'!I:I,"Forte")</f>
        <v/>
      </c>
      <c r="G126" s="2">
        <f>COUNTIFS('Base de Dados'!D:D,A126,'Base de Dados'!E:E,B126,'Base de Dados'!I:I,"Médio")</f>
        <v/>
      </c>
      <c r="H126" s="2">
        <f>COUNTIFS('Base de Dados'!D:D,A126,'Base de Dados'!E:E,B126,'Base de Dados'!I:I,"Pontual")</f>
        <v/>
      </c>
      <c r="I126" s="2">
        <f>IF(C126&gt;=5,"Cluster Grande (5+)",IF(C126&gt;=3,"Cluster Médio (3-4)",IF(C126&gt;=2,"Cluster Pequeno (2)","Cliente Isolado (1)")))</f>
        <v/>
      </c>
    </row>
    <row r="127">
      <c r="A127" s="2" t="inlineStr">
        <is>
          <t>MG</t>
        </is>
      </c>
      <c r="B127" s="4" t="inlineStr">
        <is>
          <t>CORONEL FABRICIANO</t>
        </is>
      </c>
      <c r="C127" s="2">
        <f>COUNTIFS('Base de Dados'!D:D,A127,'Base de Dados'!E:E,B127)</f>
        <v/>
      </c>
      <c r="D127" s="4" t="inlineStr">
        <is>
          <t>Andressa</t>
        </is>
      </c>
      <c r="E127" s="2">
        <f>COUNTIFS('Base de Dados'!D:D,A127,'Base de Dados'!E:E,B127,'Base de Dados'!I:I,"Estratégico")</f>
        <v/>
      </c>
      <c r="F127" s="2">
        <f>COUNTIFS('Base de Dados'!D:D,A127,'Base de Dados'!E:E,B127,'Base de Dados'!I:I,"Forte")</f>
        <v/>
      </c>
      <c r="G127" s="2">
        <f>COUNTIFS('Base de Dados'!D:D,A127,'Base de Dados'!E:E,B127,'Base de Dados'!I:I,"Médio")</f>
        <v/>
      </c>
      <c r="H127" s="2">
        <f>COUNTIFS('Base de Dados'!D:D,A127,'Base de Dados'!E:E,B127,'Base de Dados'!I:I,"Pontual")</f>
        <v/>
      </c>
      <c r="I127" s="2">
        <f>IF(C127&gt;=5,"Cluster Grande (5+)",IF(C127&gt;=3,"Cluster Médio (3-4)",IF(C127&gt;=2,"Cluster Pequeno (2)","Cliente Isolado (1)")))</f>
        <v/>
      </c>
    </row>
    <row r="128">
      <c r="A128" s="2" t="inlineStr">
        <is>
          <t>MG</t>
        </is>
      </c>
      <c r="B128" s="4" t="inlineStr">
        <is>
          <t>CURVELO</t>
        </is>
      </c>
      <c r="C128" s="2">
        <f>COUNTIFS('Base de Dados'!D:D,A128,'Base de Dados'!E:E,B128)</f>
        <v/>
      </c>
      <c r="D128" s="4" t="inlineStr">
        <is>
          <t>Andressa</t>
        </is>
      </c>
      <c r="E128" s="2">
        <f>COUNTIFS('Base de Dados'!D:D,A128,'Base de Dados'!E:E,B128,'Base de Dados'!I:I,"Estratégico")</f>
        <v/>
      </c>
      <c r="F128" s="2">
        <f>COUNTIFS('Base de Dados'!D:D,A128,'Base de Dados'!E:E,B128,'Base de Dados'!I:I,"Forte")</f>
        <v/>
      </c>
      <c r="G128" s="2">
        <f>COUNTIFS('Base de Dados'!D:D,A128,'Base de Dados'!E:E,B128,'Base de Dados'!I:I,"Médio")</f>
        <v/>
      </c>
      <c r="H128" s="2">
        <f>COUNTIFS('Base de Dados'!D:D,A128,'Base de Dados'!E:E,B128,'Base de Dados'!I:I,"Pontual")</f>
        <v/>
      </c>
      <c r="I128" s="2">
        <f>IF(C128&gt;=5,"Cluster Grande (5+)",IF(C128&gt;=3,"Cluster Médio (3-4)",IF(C128&gt;=2,"Cluster Pequeno (2)","Cliente Isolado (1)")))</f>
        <v/>
      </c>
    </row>
    <row r="129">
      <c r="A129" s="2" t="inlineStr">
        <is>
          <t>MG</t>
        </is>
      </c>
      <c r="B129" s="4" t="inlineStr">
        <is>
          <t>DORES DE CAMPOS</t>
        </is>
      </c>
      <c r="C129" s="2">
        <f>COUNTIFS('Base de Dados'!D:D,A129,'Base de Dados'!E:E,B129)</f>
        <v/>
      </c>
      <c r="D129" s="4" t="inlineStr">
        <is>
          <t>Andressa</t>
        </is>
      </c>
      <c r="E129" s="2">
        <f>COUNTIFS('Base de Dados'!D:D,A129,'Base de Dados'!E:E,B129,'Base de Dados'!I:I,"Estratégico")</f>
        <v/>
      </c>
      <c r="F129" s="2">
        <f>COUNTIFS('Base de Dados'!D:D,A129,'Base de Dados'!E:E,B129,'Base de Dados'!I:I,"Forte")</f>
        <v/>
      </c>
      <c r="G129" s="2">
        <f>COUNTIFS('Base de Dados'!D:D,A129,'Base de Dados'!E:E,B129,'Base de Dados'!I:I,"Médio")</f>
        <v/>
      </c>
      <c r="H129" s="2">
        <f>COUNTIFS('Base de Dados'!D:D,A129,'Base de Dados'!E:E,B129,'Base de Dados'!I:I,"Pontual")</f>
        <v/>
      </c>
      <c r="I129" s="2">
        <f>IF(C129&gt;=5,"Cluster Grande (5+)",IF(C129&gt;=3,"Cluster Médio (3-4)",IF(C129&gt;=2,"Cluster Pequeno (2)","Cliente Isolado (1)")))</f>
        <v/>
      </c>
    </row>
    <row r="130">
      <c r="A130" s="2" t="inlineStr">
        <is>
          <t>MG</t>
        </is>
      </c>
      <c r="B130" s="4" t="inlineStr">
        <is>
          <t>Divinópolis</t>
        </is>
      </c>
      <c r="C130" s="2">
        <f>COUNTIFS('Base de Dados'!D:D,A130,'Base de Dados'!E:E,B130)</f>
        <v/>
      </c>
      <c r="D130" s="4" t="inlineStr">
        <is>
          <t>Andressa</t>
        </is>
      </c>
      <c r="E130" s="2">
        <f>COUNTIFS('Base de Dados'!D:D,A130,'Base de Dados'!E:E,B130,'Base de Dados'!I:I,"Estratégico")</f>
        <v/>
      </c>
      <c r="F130" s="2">
        <f>COUNTIFS('Base de Dados'!D:D,A130,'Base de Dados'!E:E,B130,'Base de Dados'!I:I,"Forte")</f>
        <v/>
      </c>
      <c r="G130" s="2">
        <f>COUNTIFS('Base de Dados'!D:D,A130,'Base de Dados'!E:E,B130,'Base de Dados'!I:I,"Médio")</f>
        <v/>
      </c>
      <c r="H130" s="2">
        <f>COUNTIFS('Base de Dados'!D:D,A130,'Base de Dados'!E:E,B130,'Base de Dados'!I:I,"Pontual")</f>
        <v/>
      </c>
      <c r="I130" s="2">
        <f>IF(C130&gt;=5,"Cluster Grande (5+)",IF(C130&gt;=3,"Cluster Médio (3-4)",IF(C130&gt;=2,"Cluster Pequeno (2)","Cliente Isolado (1)")))</f>
        <v/>
      </c>
    </row>
    <row r="131">
      <c r="A131" s="2" t="inlineStr">
        <is>
          <t>MG</t>
        </is>
      </c>
      <c r="B131" s="4" t="inlineStr">
        <is>
          <t>ESPERA FELIZ</t>
        </is>
      </c>
      <c r="C131" s="2">
        <f>COUNTIFS('Base de Dados'!D:D,A131,'Base de Dados'!E:E,B131)</f>
        <v/>
      </c>
      <c r="D131" s="4" t="inlineStr">
        <is>
          <t>Andressa</t>
        </is>
      </c>
      <c r="E131" s="2">
        <f>COUNTIFS('Base de Dados'!D:D,A131,'Base de Dados'!E:E,B131,'Base de Dados'!I:I,"Estratégico")</f>
        <v/>
      </c>
      <c r="F131" s="2">
        <f>COUNTIFS('Base de Dados'!D:D,A131,'Base de Dados'!E:E,B131,'Base de Dados'!I:I,"Forte")</f>
        <v/>
      </c>
      <c r="G131" s="2">
        <f>COUNTIFS('Base de Dados'!D:D,A131,'Base de Dados'!E:E,B131,'Base de Dados'!I:I,"Médio")</f>
        <v/>
      </c>
      <c r="H131" s="2">
        <f>COUNTIFS('Base de Dados'!D:D,A131,'Base de Dados'!E:E,B131,'Base de Dados'!I:I,"Pontual")</f>
        <v/>
      </c>
      <c r="I131" s="2">
        <f>IF(C131&gt;=5,"Cluster Grande (5+)",IF(C131&gt;=3,"Cluster Médio (3-4)",IF(C131&gt;=2,"Cluster Pequeno (2)","Cliente Isolado (1)")))</f>
        <v/>
      </c>
    </row>
    <row r="132">
      <c r="A132" s="2" t="inlineStr">
        <is>
          <t>MG</t>
        </is>
      </c>
      <c r="B132" s="4" t="inlineStr">
        <is>
          <t>FORMIGA</t>
        </is>
      </c>
      <c r="C132" s="2">
        <f>COUNTIFS('Base de Dados'!D:D,A132,'Base de Dados'!E:E,B132)</f>
        <v/>
      </c>
      <c r="D132" s="4" t="inlineStr">
        <is>
          <t>Andressa</t>
        </is>
      </c>
      <c r="E132" s="2">
        <f>COUNTIFS('Base de Dados'!D:D,A132,'Base de Dados'!E:E,B132,'Base de Dados'!I:I,"Estratégico")</f>
        <v/>
      </c>
      <c r="F132" s="2">
        <f>COUNTIFS('Base de Dados'!D:D,A132,'Base de Dados'!E:E,B132,'Base de Dados'!I:I,"Forte")</f>
        <v/>
      </c>
      <c r="G132" s="2">
        <f>COUNTIFS('Base de Dados'!D:D,A132,'Base de Dados'!E:E,B132,'Base de Dados'!I:I,"Médio")</f>
        <v/>
      </c>
      <c r="H132" s="2">
        <f>COUNTIFS('Base de Dados'!D:D,A132,'Base de Dados'!E:E,B132,'Base de Dados'!I:I,"Pontual")</f>
        <v/>
      </c>
      <c r="I132" s="2">
        <f>IF(C132&gt;=5,"Cluster Grande (5+)",IF(C132&gt;=3,"Cluster Médio (3-4)",IF(C132&gt;=2,"Cluster Pequeno (2)","Cliente Isolado (1)")))</f>
        <v/>
      </c>
    </row>
    <row r="133">
      <c r="A133" s="2" t="inlineStr">
        <is>
          <t>MG</t>
        </is>
      </c>
      <c r="B133" s="4" t="inlineStr">
        <is>
          <t>GOVERNADOR VALADARES</t>
        </is>
      </c>
      <c r="C133" s="2">
        <f>COUNTIFS('Base de Dados'!D:D,A133,'Base de Dados'!E:E,B133)</f>
        <v/>
      </c>
      <c r="D133" s="4" t="inlineStr">
        <is>
          <t>Andressa</t>
        </is>
      </c>
      <c r="E133" s="2">
        <f>COUNTIFS('Base de Dados'!D:D,A133,'Base de Dados'!E:E,B133,'Base de Dados'!I:I,"Estratégico")</f>
        <v/>
      </c>
      <c r="F133" s="2">
        <f>COUNTIFS('Base de Dados'!D:D,A133,'Base de Dados'!E:E,B133,'Base de Dados'!I:I,"Forte")</f>
        <v/>
      </c>
      <c r="G133" s="2">
        <f>COUNTIFS('Base de Dados'!D:D,A133,'Base de Dados'!E:E,B133,'Base de Dados'!I:I,"Médio")</f>
        <v/>
      </c>
      <c r="H133" s="2">
        <f>COUNTIFS('Base de Dados'!D:D,A133,'Base de Dados'!E:E,B133,'Base de Dados'!I:I,"Pontual")</f>
        <v/>
      </c>
      <c r="I133" s="2">
        <f>IF(C133&gt;=5,"Cluster Grande (5+)",IF(C133&gt;=3,"Cluster Médio (3-4)",IF(C133&gt;=2,"Cluster Pequeno (2)","Cliente Isolado (1)")))</f>
        <v/>
      </c>
    </row>
    <row r="134">
      <c r="A134" s="2" t="inlineStr">
        <is>
          <t>MG</t>
        </is>
      </c>
      <c r="B134" s="4" t="inlineStr">
        <is>
          <t>IPATINGA</t>
        </is>
      </c>
      <c r="C134" s="2">
        <f>COUNTIFS('Base de Dados'!D:D,A134,'Base de Dados'!E:E,B134)</f>
        <v/>
      </c>
      <c r="D134" s="4" t="inlineStr">
        <is>
          <t>Andressa</t>
        </is>
      </c>
      <c r="E134" s="2">
        <f>COUNTIFS('Base de Dados'!D:D,A134,'Base de Dados'!E:E,B134,'Base de Dados'!I:I,"Estratégico")</f>
        <v/>
      </c>
      <c r="F134" s="2">
        <f>COUNTIFS('Base de Dados'!D:D,A134,'Base de Dados'!E:E,B134,'Base de Dados'!I:I,"Forte")</f>
        <v/>
      </c>
      <c r="G134" s="2">
        <f>COUNTIFS('Base de Dados'!D:D,A134,'Base de Dados'!E:E,B134,'Base de Dados'!I:I,"Médio")</f>
        <v/>
      </c>
      <c r="H134" s="2">
        <f>COUNTIFS('Base de Dados'!D:D,A134,'Base de Dados'!E:E,B134,'Base de Dados'!I:I,"Pontual")</f>
        <v/>
      </c>
      <c r="I134" s="2">
        <f>IF(C134&gt;=5,"Cluster Grande (5+)",IF(C134&gt;=3,"Cluster Médio (3-4)",IF(C134&gt;=2,"Cluster Pequeno (2)","Cliente Isolado (1)")))</f>
        <v/>
      </c>
    </row>
    <row r="135">
      <c r="A135" s="2" t="inlineStr">
        <is>
          <t>MG</t>
        </is>
      </c>
      <c r="B135" s="4" t="inlineStr">
        <is>
          <t>JUIZ DE FORA</t>
        </is>
      </c>
      <c r="C135" s="2">
        <f>COUNTIFS('Base de Dados'!D:D,A135,'Base de Dados'!E:E,B135)</f>
        <v/>
      </c>
      <c r="D135" s="4" t="inlineStr">
        <is>
          <t>Andressa</t>
        </is>
      </c>
      <c r="E135" s="2">
        <f>COUNTIFS('Base de Dados'!D:D,A135,'Base de Dados'!E:E,B135,'Base de Dados'!I:I,"Estratégico")</f>
        <v/>
      </c>
      <c r="F135" s="2">
        <f>COUNTIFS('Base de Dados'!D:D,A135,'Base de Dados'!E:E,B135,'Base de Dados'!I:I,"Forte")</f>
        <v/>
      </c>
      <c r="G135" s="2">
        <f>COUNTIFS('Base de Dados'!D:D,A135,'Base de Dados'!E:E,B135,'Base de Dados'!I:I,"Médio")</f>
        <v/>
      </c>
      <c r="H135" s="2">
        <f>COUNTIFS('Base de Dados'!D:D,A135,'Base de Dados'!E:E,B135,'Base de Dados'!I:I,"Pontual")</f>
        <v/>
      </c>
      <c r="I135" s="2">
        <f>IF(C135&gt;=5,"Cluster Grande (5+)",IF(C135&gt;=3,"Cluster Médio (3-4)",IF(C135&gt;=2,"Cluster Pequeno (2)","Cliente Isolado (1)")))</f>
        <v/>
      </c>
    </row>
    <row r="136">
      <c r="A136" s="2" t="inlineStr">
        <is>
          <t>MG</t>
        </is>
      </c>
      <c r="B136" s="4" t="inlineStr">
        <is>
          <t>Januária</t>
        </is>
      </c>
      <c r="C136" s="2">
        <f>COUNTIFS('Base de Dados'!D:D,A136,'Base de Dados'!E:E,B136)</f>
        <v/>
      </c>
      <c r="D136" s="4" t="inlineStr">
        <is>
          <t>Andressa</t>
        </is>
      </c>
      <c r="E136" s="2">
        <f>COUNTIFS('Base de Dados'!D:D,A136,'Base de Dados'!E:E,B136,'Base de Dados'!I:I,"Estratégico")</f>
        <v/>
      </c>
      <c r="F136" s="2">
        <f>COUNTIFS('Base de Dados'!D:D,A136,'Base de Dados'!E:E,B136,'Base de Dados'!I:I,"Forte")</f>
        <v/>
      </c>
      <c r="G136" s="2">
        <f>COUNTIFS('Base de Dados'!D:D,A136,'Base de Dados'!E:E,B136,'Base de Dados'!I:I,"Médio")</f>
        <v/>
      </c>
      <c r="H136" s="2">
        <f>COUNTIFS('Base de Dados'!D:D,A136,'Base de Dados'!E:E,B136,'Base de Dados'!I:I,"Pontual")</f>
        <v/>
      </c>
      <c r="I136" s="2">
        <f>IF(C136&gt;=5,"Cluster Grande (5+)",IF(C136&gt;=3,"Cluster Médio (3-4)",IF(C136&gt;=2,"Cluster Pequeno (2)","Cliente Isolado (1)")))</f>
        <v/>
      </c>
    </row>
    <row r="137">
      <c r="A137" s="2" t="inlineStr">
        <is>
          <t>MG</t>
        </is>
      </c>
      <c r="B137" s="4" t="inlineStr">
        <is>
          <t>Japaraíba</t>
        </is>
      </c>
      <c r="C137" s="2">
        <f>COUNTIFS('Base de Dados'!D:D,A137,'Base de Dados'!E:E,B137)</f>
        <v/>
      </c>
      <c r="D137" s="4" t="inlineStr">
        <is>
          <t>Andressa</t>
        </is>
      </c>
      <c r="E137" s="2">
        <f>COUNTIFS('Base de Dados'!D:D,A137,'Base de Dados'!E:E,B137,'Base de Dados'!I:I,"Estratégico")</f>
        <v/>
      </c>
      <c r="F137" s="2">
        <f>COUNTIFS('Base de Dados'!D:D,A137,'Base de Dados'!E:E,B137,'Base de Dados'!I:I,"Forte")</f>
        <v/>
      </c>
      <c r="G137" s="2">
        <f>COUNTIFS('Base de Dados'!D:D,A137,'Base de Dados'!E:E,B137,'Base de Dados'!I:I,"Médio")</f>
        <v/>
      </c>
      <c r="H137" s="2">
        <f>COUNTIFS('Base de Dados'!D:D,A137,'Base de Dados'!E:E,B137,'Base de Dados'!I:I,"Pontual")</f>
        <v/>
      </c>
      <c r="I137" s="2">
        <f>IF(C137&gt;=5,"Cluster Grande (5+)",IF(C137&gt;=3,"Cluster Médio (3-4)",IF(C137&gt;=2,"Cluster Pequeno (2)","Cliente Isolado (1)")))</f>
        <v/>
      </c>
    </row>
    <row r="138">
      <c r="A138" s="2" t="inlineStr">
        <is>
          <t>MG</t>
        </is>
      </c>
      <c r="B138" s="4" t="inlineStr">
        <is>
          <t>João Pinheiro</t>
        </is>
      </c>
      <c r="C138" s="2">
        <f>COUNTIFS('Base de Dados'!D:D,A138,'Base de Dados'!E:E,B138)</f>
        <v/>
      </c>
      <c r="D138" s="4" t="inlineStr">
        <is>
          <t>Andressa</t>
        </is>
      </c>
      <c r="E138" s="2">
        <f>COUNTIFS('Base de Dados'!D:D,A138,'Base de Dados'!E:E,B138,'Base de Dados'!I:I,"Estratégico")</f>
        <v/>
      </c>
      <c r="F138" s="2">
        <f>COUNTIFS('Base de Dados'!D:D,A138,'Base de Dados'!E:E,B138,'Base de Dados'!I:I,"Forte")</f>
        <v/>
      </c>
      <c r="G138" s="2">
        <f>COUNTIFS('Base de Dados'!D:D,A138,'Base de Dados'!E:E,B138,'Base de Dados'!I:I,"Médio")</f>
        <v/>
      </c>
      <c r="H138" s="2">
        <f>COUNTIFS('Base de Dados'!D:D,A138,'Base de Dados'!E:E,B138,'Base de Dados'!I:I,"Pontual")</f>
        <v/>
      </c>
      <c r="I138" s="2">
        <f>IF(C138&gt;=5,"Cluster Grande (5+)",IF(C138&gt;=3,"Cluster Médio (3-4)",IF(C138&gt;=2,"Cluster Pequeno (2)","Cliente Isolado (1)")))</f>
        <v/>
      </c>
    </row>
    <row r="139">
      <c r="A139" s="2" t="inlineStr">
        <is>
          <t>MG</t>
        </is>
      </c>
      <c r="B139" s="4" t="inlineStr">
        <is>
          <t>LAVRAS</t>
        </is>
      </c>
      <c r="C139" s="2">
        <f>COUNTIFS('Base de Dados'!D:D,A139,'Base de Dados'!E:E,B139)</f>
        <v/>
      </c>
      <c r="D139" s="4" t="inlineStr">
        <is>
          <t>Andressa</t>
        </is>
      </c>
      <c r="E139" s="2">
        <f>COUNTIFS('Base de Dados'!D:D,A139,'Base de Dados'!E:E,B139,'Base de Dados'!I:I,"Estratégico")</f>
        <v/>
      </c>
      <c r="F139" s="2">
        <f>COUNTIFS('Base de Dados'!D:D,A139,'Base de Dados'!E:E,B139,'Base de Dados'!I:I,"Forte")</f>
        <v/>
      </c>
      <c r="G139" s="2">
        <f>COUNTIFS('Base de Dados'!D:D,A139,'Base de Dados'!E:E,B139,'Base de Dados'!I:I,"Médio")</f>
        <v/>
      </c>
      <c r="H139" s="2">
        <f>COUNTIFS('Base de Dados'!D:D,A139,'Base de Dados'!E:E,B139,'Base de Dados'!I:I,"Pontual")</f>
        <v/>
      </c>
      <c r="I139" s="2">
        <f>IF(C139&gt;=5,"Cluster Grande (5+)",IF(C139&gt;=3,"Cluster Médio (3-4)",IF(C139&gt;=2,"Cluster Pequeno (2)","Cliente Isolado (1)")))</f>
        <v/>
      </c>
    </row>
    <row r="140">
      <c r="A140" s="2" t="inlineStr">
        <is>
          <t>MG</t>
        </is>
      </c>
      <c r="B140" s="4" t="inlineStr">
        <is>
          <t>LEOPOLDINA</t>
        </is>
      </c>
      <c r="C140" s="2">
        <f>COUNTIFS('Base de Dados'!D:D,A140,'Base de Dados'!E:E,B140)</f>
        <v/>
      </c>
      <c r="D140" s="4" t="inlineStr">
        <is>
          <t>Andressa</t>
        </is>
      </c>
      <c r="E140" s="2">
        <f>COUNTIFS('Base de Dados'!D:D,A140,'Base de Dados'!E:E,B140,'Base de Dados'!I:I,"Estratégico")</f>
        <v/>
      </c>
      <c r="F140" s="2">
        <f>COUNTIFS('Base de Dados'!D:D,A140,'Base de Dados'!E:E,B140,'Base de Dados'!I:I,"Forte")</f>
        <v/>
      </c>
      <c r="G140" s="2">
        <f>COUNTIFS('Base de Dados'!D:D,A140,'Base de Dados'!E:E,B140,'Base de Dados'!I:I,"Médio")</f>
        <v/>
      </c>
      <c r="H140" s="2">
        <f>COUNTIFS('Base de Dados'!D:D,A140,'Base de Dados'!E:E,B140,'Base de Dados'!I:I,"Pontual")</f>
        <v/>
      </c>
      <c r="I140" s="2">
        <f>IF(C140&gt;=5,"Cluster Grande (5+)",IF(C140&gt;=3,"Cluster Médio (3-4)",IF(C140&gt;=2,"Cluster Pequeno (2)","Cliente Isolado (1)")))</f>
        <v/>
      </c>
    </row>
    <row r="141">
      <c r="A141" s="2" t="inlineStr">
        <is>
          <t>MG</t>
        </is>
      </c>
      <c r="B141" s="4" t="inlineStr">
        <is>
          <t>MARIANA</t>
        </is>
      </c>
      <c r="C141" s="2">
        <f>COUNTIFS('Base de Dados'!D:D,A141,'Base de Dados'!E:E,B141)</f>
        <v/>
      </c>
      <c r="D141" s="4" t="inlineStr">
        <is>
          <t>Andressa</t>
        </is>
      </c>
      <c r="E141" s="2">
        <f>COUNTIFS('Base de Dados'!D:D,A141,'Base de Dados'!E:E,B141,'Base de Dados'!I:I,"Estratégico")</f>
        <v/>
      </c>
      <c r="F141" s="2">
        <f>COUNTIFS('Base de Dados'!D:D,A141,'Base de Dados'!E:E,B141,'Base de Dados'!I:I,"Forte")</f>
        <v/>
      </c>
      <c r="G141" s="2">
        <f>COUNTIFS('Base de Dados'!D:D,A141,'Base de Dados'!E:E,B141,'Base de Dados'!I:I,"Médio")</f>
        <v/>
      </c>
      <c r="H141" s="2">
        <f>COUNTIFS('Base de Dados'!D:D,A141,'Base de Dados'!E:E,B141,'Base de Dados'!I:I,"Pontual")</f>
        <v/>
      </c>
      <c r="I141" s="2">
        <f>IF(C141&gt;=5,"Cluster Grande (5+)",IF(C141&gt;=3,"Cluster Médio (3-4)",IF(C141&gt;=2,"Cluster Pequeno (2)","Cliente Isolado (1)")))</f>
        <v/>
      </c>
    </row>
    <row r="142">
      <c r="A142" s="2" t="inlineStr">
        <is>
          <t>MG</t>
        </is>
      </c>
      <c r="B142" s="4" t="inlineStr">
        <is>
          <t>MONTES CLAROS</t>
        </is>
      </c>
      <c r="C142" s="2">
        <f>COUNTIFS('Base de Dados'!D:D,A142,'Base de Dados'!E:E,B142)</f>
        <v/>
      </c>
      <c r="D142" s="4" t="inlineStr">
        <is>
          <t>Andressa</t>
        </is>
      </c>
      <c r="E142" s="2">
        <f>COUNTIFS('Base de Dados'!D:D,A142,'Base de Dados'!E:E,B142,'Base de Dados'!I:I,"Estratégico")</f>
        <v/>
      </c>
      <c r="F142" s="2">
        <f>COUNTIFS('Base de Dados'!D:D,A142,'Base de Dados'!E:E,B142,'Base de Dados'!I:I,"Forte")</f>
        <v/>
      </c>
      <c r="G142" s="2">
        <f>COUNTIFS('Base de Dados'!D:D,A142,'Base de Dados'!E:E,B142,'Base de Dados'!I:I,"Médio")</f>
        <v/>
      </c>
      <c r="H142" s="2">
        <f>COUNTIFS('Base de Dados'!D:D,A142,'Base de Dados'!E:E,B142,'Base de Dados'!I:I,"Pontual")</f>
        <v/>
      </c>
      <c r="I142" s="2">
        <f>IF(C142&gt;=5,"Cluster Grande (5+)",IF(C142&gt;=3,"Cluster Médio (3-4)",IF(C142&gt;=2,"Cluster Pequeno (2)","Cliente Isolado (1)")))</f>
        <v/>
      </c>
    </row>
    <row r="143">
      <c r="A143" s="2" t="inlineStr">
        <is>
          <t>MG</t>
        </is>
      </c>
      <c r="B143" s="4" t="inlineStr">
        <is>
          <t>Muriaé</t>
        </is>
      </c>
      <c r="C143" s="2">
        <f>COUNTIFS('Base de Dados'!D:D,A143,'Base de Dados'!E:E,B143)</f>
        <v/>
      </c>
      <c r="D143" s="4" t="inlineStr">
        <is>
          <t>Andressa</t>
        </is>
      </c>
      <c r="E143" s="2">
        <f>COUNTIFS('Base de Dados'!D:D,A143,'Base de Dados'!E:E,B143,'Base de Dados'!I:I,"Estratégico")</f>
        <v/>
      </c>
      <c r="F143" s="2">
        <f>COUNTIFS('Base de Dados'!D:D,A143,'Base de Dados'!E:E,B143,'Base de Dados'!I:I,"Forte")</f>
        <v/>
      </c>
      <c r="G143" s="2">
        <f>COUNTIFS('Base de Dados'!D:D,A143,'Base de Dados'!E:E,B143,'Base de Dados'!I:I,"Médio")</f>
        <v/>
      </c>
      <c r="H143" s="2">
        <f>COUNTIFS('Base de Dados'!D:D,A143,'Base de Dados'!E:E,B143,'Base de Dados'!I:I,"Pontual")</f>
        <v/>
      </c>
      <c r="I143" s="2">
        <f>IF(C143&gt;=5,"Cluster Grande (5+)",IF(C143&gt;=3,"Cluster Médio (3-4)",IF(C143&gt;=2,"Cluster Pequeno (2)","Cliente Isolado (1)")))</f>
        <v/>
      </c>
    </row>
    <row r="144">
      <c r="A144" s="2" t="inlineStr">
        <is>
          <t>MG</t>
        </is>
      </c>
      <c r="B144" s="4" t="inlineStr">
        <is>
          <t>NOVA SERRANA</t>
        </is>
      </c>
      <c r="C144" s="2">
        <f>COUNTIFS('Base de Dados'!D:D,A144,'Base de Dados'!E:E,B144)</f>
        <v/>
      </c>
      <c r="D144" s="4" t="inlineStr">
        <is>
          <t>Andressa</t>
        </is>
      </c>
      <c r="E144" s="2">
        <f>COUNTIFS('Base de Dados'!D:D,A144,'Base de Dados'!E:E,B144,'Base de Dados'!I:I,"Estratégico")</f>
        <v/>
      </c>
      <c r="F144" s="2">
        <f>COUNTIFS('Base de Dados'!D:D,A144,'Base de Dados'!E:E,B144,'Base de Dados'!I:I,"Forte")</f>
        <v/>
      </c>
      <c r="G144" s="2">
        <f>COUNTIFS('Base de Dados'!D:D,A144,'Base de Dados'!E:E,B144,'Base de Dados'!I:I,"Médio")</f>
        <v/>
      </c>
      <c r="H144" s="2">
        <f>COUNTIFS('Base de Dados'!D:D,A144,'Base de Dados'!E:E,B144,'Base de Dados'!I:I,"Pontual")</f>
        <v/>
      </c>
      <c r="I144" s="2">
        <f>IF(C144&gt;=5,"Cluster Grande (5+)",IF(C144&gt;=3,"Cluster Médio (3-4)",IF(C144&gt;=2,"Cluster Pequeno (2)","Cliente Isolado (1)")))</f>
        <v/>
      </c>
    </row>
    <row r="145">
      <c r="A145" s="2" t="inlineStr">
        <is>
          <t>MG</t>
        </is>
      </c>
      <c r="B145" s="4" t="inlineStr">
        <is>
          <t>OURO PRETO</t>
        </is>
      </c>
      <c r="C145" s="2">
        <f>COUNTIFS('Base de Dados'!D:D,A145,'Base de Dados'!E:E,B145)</f>
        <v/>
      </c>
      <c r="D145" s="4" t="inlineStr">
        <is>
          <t>Andressa</t>
        </is>
      </c>
      <c r="E145" s="2">
        <f>COUNTIFS('Base de Dados'!D:D,A145,'Base de Dados'!E:E,B145,'Base de Dados'!I:I,"Estratégico")</f>
        <v/>
      </c>
      <c r="F145" s="2">
        <f>COUNTIFS('Base de Dados'!D:D,A145,'Base de Dados'!E:E,B145,'Base de Dados'!I:I,"Forte")</f>
        <v/>
      </c>
      <c r="G145" s="2">
        <f>COUNTIFS('Base de Dados'!D:D,A145,'Base de Dados'!E:E,B145,'Base de Dados'!I:I,"Médio")</f>
        <v/>
      </c>
      <c r="H145" s="2">
        <f>COUNTIFS('Base de Dados'!D:D,A145,'Base de Dados'!E:E,B145,'Base de Dados'!I:I,"Pontual")</f>
        <v/>
      </c>
      <c r="I145" s="2">
        <f>IF(C145&gt;=5,"Cluster Grande (5+)",IF(C145&gt;=3,"Cluster Médio (3-4)",IF(C145&gt;=2,"Cluster Pequeno (2)","Cliente Isolado (1)")))</f>
        <v/>
      </c>
    </row>
    <row r="146">
      <c r="A146" s="2" t="inlineStr">
        <is>
          <t>MG</t>
        </is>
      </c>
      <c r="B146" s="4" t="inlineStr">
        <is>
          <t>PARACATU</t>
        </is>
      </c>
      <c r="C146" s="2">
        <f>COUNTIFS('Base de Dados'!D:D,A146,'Base de Dados'!E:E,B146)</f>
        <v/>
      </c>
      <c r="D146" s="4" t="inlineStr">
        <is>
          <t>Andressa</t>
        </is>
      </c>
      <c r="E146" s="2">
        <f>COUNTIFS('Base de Dados'!D:D,A146,'Base de Dados'!E:E,B146,'Base de Dados'!I:I,"Estratégico")</f>
        <v/>
      </c>
      <c r="F146" s="2">
        <f>COUNTIFS('Base de Dados'!D:D,A146,'Base de Dados'!E:E,B146,'Base de Dados'!I:I,"Forte")</f>
        <v/>
      </c>
      <c r="G146" s="2">
        <f>COUNTIFS('Base de Dados'!D:D,A146,'Base de Dados'!E:E,B146,'Base de Dados'!I:I,"Médio")</f>
        <v/>
      </c>
      <c r="H146" s="2">
        <f>COUNTIFS('Base de Dados'!D:D,A146,'Base de Dados'!E:E,B146,'Base de Dados'!I:I,"Pontual")</f>
        <v/>
      </c>
      <c r="I146" s="2">
        <f>IF(C146&gt;=5,"Cluster Grande (5+)",IF(C146&gt;=3,"Cluster Médio (3-4)",IF(C146&gt;=2,"Cluster Pequeno (2)","Cliente Isolado (1)")))</f>
        <v/>
      </c>
    </row>
    <row r="147">
      <c r="A147" s="2" t="inlineStr">
        <is>
          <t>MG</t>
        </is>
      </c>
      <c r="B147" s="4" t="inlineStr">
        <is>
          <t>PATOS DE MINAS</t>
        </is>
      </c>
      <c r="C147" s="2">
        <f>COUNTIFS('Base de Dados'!D:D,A147,'Base de Dados'!E:E,B147)</f>
        <v/>
      </c>
      <c r="D147" s="4" t="inlineStr">
        <is>
          <t>Andressa</t>
        </is>
      </c>
      <c r="E147" s="2">
        <f>COUNTIFS('Base de Dados'!D:D,A147,'Base de Dados'!E:E,B147,'Base de Dados'!I:I,"Estratégico")</f>
        <v/>
      </c>
      <c r="F147" s="2">
        <f>COUNTIFS('Base de Dados'!D:D,A147,'Base de Dados'!E:E,B147,'Base de Dados'!I:I,"Forte")</f>
        <v/>
      </c>
      <c r="G147" s="2">
        <f>COUNTIFS('Base de Dados'!D:D,A147,'Base de Dados'!E:E,B147,'Base de Dados'!I:I,"Médio")</f>
        <v/>
      </c>
      <c r="H147" s="2">
        <f>COUNTIFS('Base de Dados'!D:D,A147,'Base de Dados'!E:E,B147,'Base de Dados'!I:I,"Pontual")</f>
        <v/>
      </c>
      <c r="I147" s="2">
        <f>IF(C147&gt;=5,"Cluster Grande (5+)",IF(C147&gt;=3,"Cluster Médio (3-4)",IF(C147&gt;=2,"Cluster Pequeno (2)","Cliente Isolado (1)")))</f>
        <v/>
      </c>
    </row>
    <row r="148">
      <c r="A148" s="2" t="inlineStr">
        <is>
          <t>MG</t>
        </is>
      </c>
      <c r="B148" s="4" t="inlineStr">
        <is>
          <t>PIRAPORA</t>
        </is>
      </c>
      <c r="C148" s="2">
        <f>COUNTIFS('Base de Dados'!D:D,A148,'Base de Dados'!E:E,B148)</f>
        <v/>
      </c>
      <c r="D148" s="4" t="inlineStr">
        <is>
          <t>Andressa</t>
        </is>
      </c>
      <c r="E148" s="2">
        <f>COUNTIFS('Base de Dados'!D:D,A148,'Base de Dados'!E:E,B148,'Base de Dados'!I:I,"Estratégico")</f>
        <v/>
      </c>
      <c r="F148" s="2">
        <f>COUNTIFS('Base de Dados'!D:D,A148,'Base de Dados'!E:E,B148,'Base de Dados'!I:I,"Forte")</f>
        <v/>
      </c>
      <c r="G148" s="2">
        <f>COUNTIFS('Base de Dados'!D:D,A148,'Base de Dados'!E:E,B148,'Base de Dados'!I:I,"Médio")</f>
        <v/>
      </c>
      <c r="H148" s="2">
        <f>COUNTIFS('Base de Dados'!D:D,A148,'Base de Dados'!E:E,B148,'Base de Dados'!I:I,"Pontual")</f>
        <v/>
      </c>
      <c r="I148" s="2">
        <f>IF(C148&gt;=5,"Cluster Grande (5+)",IF(C148&gt;=3,"Cluster Médio (3-4)",IF(C148&gt;=2,"Cluster Pequeno (2)","Cliente Isolado (1)")))</f>
        <v/>
      </c>
    </row>
    <row r="149">
      <c r="A149" s="2" t="inlineStr">
        <is>
          <t>MG</t>
        </is>
      </c>
      <c r="B149" s="4" t="inlineStr">
        <is>
          <t>PONTE NOVA</t>
        </is>
      </c>
      <c r="C149" s="2">
        <f>COUNTIFS('Base de Dados'!D:D,A149,'Base de Dados'!E:E,B149)</f>
        <v/>
      </c>
      <c r="D149" s="4" t="inlineStr">
        <is>
          <t>Andressa</t>
        </is>
      </c>
      <c r="E149" s="2">
        <f>COUNTIFS('Base de Dados'!D:D,A149,'Base de Dados'!E:E,B149,'Base de Dados'!I:I,"Estratégico")</f>
        <v/>
      </c>
      <c r="F149" s="2">
        <f>COUNTIFS('Base de Dados'!D:D,A149,'Base de Dados'!E:E,B149,'Base de Dados'!I:I,"Forte")</f>
        <v/>
      </c>
      <c r="G149" s="2">
        <f>COUNTIFS('Base de Dados'!D:D,A149,'Base de Dados'!E:E,B149,'Base de Dados'!I:I,"Médio")</f>
        <v/>
      </c>
      <c r="H149" s="2">
        <f>COUNTIFS('Base de Dados'!D:D,A149,'Base de Dados'!E:E,B149,'Base de Dados'!I:I,"Pontual")</f>
        <v/>
      </c>
      <c r="I149" s="2">
        <f>IF(C149&gt;=5,"Cluster Grande (5+)",IF(C149&gt;=3,"Cluster Médio (3-4)",IF(C149&gt;=2,"Cluster Pequeno (2)","Cliente Isolado (1)")))</f>
        <v/>
      </c>
    </row>
    <row r="150">
      <c r="A150" s="2" t="inlineStr">
        <is>
          <t>MG</t>
        </is>
      </c>
      <c r="B150" s="4" t="inlineStr">
        <is>
          <t>PONTO DOS VOLANTES</t>
        </is>
      </c>
      <c r="C150" s="2">
        <f>COUNTIFS('Base de Dados'!D:D,A150,'Base de Dados'!E:E,B150)</f>
        <v/>
      </c>
      <c r="D150" s="4" t="inlineStr">
        <is>
          <t>Andressa</t>
        </is>
      </c>
      <c r="E150" s="2">
        <f>COUNTIFS('Base de Dados'!D:D,A150,'Base de Dados'!E:E,B150,'Base de Dados'!I:I,"Estratégico")</f>
        <v/>
      </c>
      <c r="F150" s="2">
        <f>COUNTIFS('Base de Dados'!D:D,A150,'Base de Dados'!E:E,B150,'Base de Dados'!I:I,"Forte")</f>
        <v/>
      </c>
      <c r="G150" s="2">
        <f>COUNTIFS('Base de Dados'!D:D,A150,'Base de Dados'!E:E,B150,'Base de Dados'!I:I,"Médio")</f>
        <v/>
      </c>
      <c r="H150" s="2">
        <f>COUNTIFS('Base de Dados'!D:D,A150,'Base de Dados'!E:E,B150,'Base de Dados'!I:I,"Pontual")</f>
        <v/>
      </c>
      <c r="I150" s="2">
        <f>IF(C150&gt;=5,"Cluster Grande (5+)",IF(C150&gt;=3,"Cluster Médio (3-4)",IF(C150&gt;=2,"Cluster Pequeno (2)","Cliente Isolado (1)")))</f>
        <v/>
      </c>
    </row>
    <row r="151">
      <c r="A151" s="2" t="inlineStr">
        <is>
          <t>MG</t>
        </is>
      </c>
      <c r="B151" s="4" t="inlineStr">
        <is>
          <t>PORTEIRINHA</t>
        </is>
      </c>
      <c r="C151" s="2">
        <f>COUNTIFS('Base de Dados'!D:D,A151,'Base de Dados'!E:E,B151)</f>
        <v/>
      </c>
      <c r="D151" s="4" t="inlineStr">
        <is>
          <t>Andressa</t>
        </is>
      </c>
      <c r="E151" s="2">
        <f>COUNTIFS('Base de Dados'!D:D,A151,'Base de Dados'!E:E,B151,'Base de Dados'!I:I,"Estratégico")</f>
        <v/>
      </c>
      <c r="F151" s="2">
        <f>COUNTIFS('Base de Dados'!D:D,A151,'Base de Dados'!E:E,B151,'Base de Dados'!I:I,"Forte")</f>
        <v/>
      </c>
      <c r="G151" s="2">
        <f>COUNTIFS('Base de Dados'!D:D,A151,'Base de Dados'!E:E,B151,'Base de Dados'!I:I,"Médio")</f>
        <v/>
      </c>
      <c r="H151" s="2">
        <f>COUNTIFS('Base de Dados'!D:D,A151,'Base de Dados'!E:E,B151,'Base de Dados'!I:I,"Pontual")</f>
        <v/>
      </c>
      <c r="I151" s="2">
        <f>IF(C151&gt;=5,"Cluster Grande (5+)",IF(C151&gt;=3,"Cluster Médio (3-4)",IF(C151&gt;=2,"Cluster Pequeno (2)","Cliente Isolado (1)")))</f>
        <v/>
      </c>
    </row>
    <row r="152">
      <c r="A152" s="2" t="inlineStr">
        <is>
          <t>MG</t>
        </is>
      </c>
      <c r="B152" s="4" t="inlineStr">
        <is>
          <t>POUSO ALEGRE</t>
        </is>
      </c>
      <c r="C152" s="2">
        <f>COUNTIFS('Base de Dados'!D:D,A152,'Base de Dados'!E:E,B152)</f>
        <v/>
      </c>
      <c r="D152" s="4" t="inlineStr">
        <is>
          <t>Andressa</t>
        </is>
      </c>
      <c r="E152" s="2">
        <f>COUNTIFS('Base de Dados'!D:D,A152,'Base de Dados'!E:E,B152,'Base de Dados'!I:I,"Estratégico")</f>
        <v/>
      </c>
      <c r="F152" s="2">
        <f>COUNTIFS('Base de Dados'!D:D,A152,'Base de Dados'!E:E,B152,'Base de Dados'!I:I,"Forte")</f>
        <v/>
      </c>
      <c r="G152" s="2">
        <f>COUNTIFS('Base de Dados'!D:D,A152,'Base de Dados'!E:E,B152,'Base de Dados'!I:I,"Médio")</f>
        <v/>
      </c>
      <c r="H152" s="2">
        <f>COUNTIFS('Base de Dados'!D:D,A152,'Base de Dados'!E:E,B152,'Base de Dados'!I:I,"Pontual")</f>
        <v/>
      </c>
      <c r="I152" s="2">
        <f>IF(C152&gt;=5,"Cluster Grande (5+)",IF(C152&gt;=3,"Cluster Médio (3-4)",IF(C152&gt;=2,"Cluster Pequeno (2)","Cliente Isolado (1)")))</f>
        <v/>
      </c>
    </row>
    <row r="153">
      <c r="A153" s="2" t="inlineStr">
        <is>
          <t>MG</t>
        </is>
      </c>
      <c r="B153" s="4" t="inlineStr">
        <is>
          <t>Pará de Minas</t>
        </is>
      </c>
      <c r="C153" s="2">
        <f>COUNTIFS('Base de Dados'!D:D,A153,'Base de Dados'!E:E,B153)</f>
        <v/>
      </c>
      <c r="D153" s="4" t="inlineStr">
        <is>
          <t>Andressa</t>
        </is>
      </c>
      <c r="E153" s="2">
        <f>COUNTIFS('Base de Dados'!D:D,A153,'Base de Dados'!E:E,B153,'Base de Dados'!I:I,"Estratégico")</f>
        <v/>
      </c>
      <c r="F153" s="2">
        <f>COUNTIFS('Base de Dados'!D:D,A153,'Base de Dados'!E:E,B153,'Base de Dados'!I:I,"Forte")</f>
        <v/>
      </c>
      <c r="G153" s="2">
        <f>COUNTIFS('Base de Dados'!D:D,A153,'Base de Dados'!E:E,B153,'Base de Dados'!I:I,"Médio")</f>
        <v/>
      </c>
      <c r="H153" s="2">
        <f>COUNTIFS('Base de Dados'!D:D,A153,'Base de Dados'!E:E,B153,'Base de Dados'!I:I,"Pontual")</f>
        <v/>
      </c>
      <c r="I153" s="2">
        <f>IF(C153&gt;=5,"Cluster Grande (5+)",IF(C153&gt;=3,"Cluster Médio (3-4)",IF(C153&gt;=2,"Cluster Pequeno (2)","Cliente Isolado (1)")))</f>
        <v/>
      </c>
    </row>
    <row r="154">
      <c r="A154" s="2" t="inlineStr">
        <is>
          <t>MG</t>
        </is>
      </c>
      <c r="B154" s="4" t="inlineStr">
        <is>
          <t>Patrocínio</t>
        </is>
      </c>
      <c r="C154" s="2">
        <f>COUNTIFS('Base de Dados'!D:D,A154,'Base de Dados'!E:E,B154)</f>
        <v/>
      </c>
      <c r="D154" s="4" t="inlineStr">
        <is>
          <t>Andressa</t>
        </is>
      </c>
      <c r="E154" s="2">
        <f>COUNTIFS('Base de Dados'!D:D,A154,'Base de Dados'!E:E,B154,'Base de Dados'!I:I,"Estratégico")</f>
        <v/>
      </c>
      <c r="F154" s="2">
        <f>COUNTIFS('Base de Dados'!D:D,A154,'Base de Dados'!E:E,B154,'Base de Dados'!I:I,"Forte")</f>
        <v/>
      </c>
      <c r="G154" s="2">
        <f>COUNTIFS('Base de Dados'!D:D,A154,'Base de Dados'!E:E,B154,'Base de Dados'!I:I,"Médio")</f>
        <v/>
      </c>
      <c r="H154" s="2">
        <f>COUNTIFS('Base de Dados'!D:D,A154,'Base de Dados'!E:E,B154,'Base de Dados'!I:I,"Pontual")</f>
        <v/>
      </c>
      <c r="I154" s="2">
        <f>IF(C154&gt;=5,"Cluster Grande (5+)",IF(C154&gt;=3,"Cluster Médio (3-4)",IF(C154&gt;=2,"Cluster Pequeno (2)","Cliente Isolado (1)")))</f>
        <v/>
      </c>
    </row>
    <row r="155">
      <c r="A155" s="2" t="inlineStr">
        <is>
          <t>MG</t>
        </is>
      </c>
      <c r="B155" s="4" t="inlineStr">
        <is>
          <t>Perdões</t>
        </is>
      </c>
      <c r="C155" s="2">
        <f>COUNTIFS('Base de Dados'!D:D,A155,'Base de Dados'!E:E,B155)</f>
        <v/>
      </c>
      <c r="D155" s="4" t="inlineStr">
        <is>
          <t>Andressa</t>
        </is>
      </c>
      <c r="E155" s="2">
        <f>COUNTIFS('Base de Dados'!D:D,A155,'Base de Dados'!E:E,B155,'Base de Dados'!I:I,"Estratégico")</f>
        <v/>
      </c>
      <c r="F155" s="2">
        <f>COUNTIFS('Base de Dados'!D:D,A155,'Base de Dados'!E:E,B155,'Base de Dados'!I:I,"Forte")</f>
        <v/>
      </c>
      <c r="G155" s="2">
        <f>COUNTIFS('Base de Dados'!D:D,A155,'Base de Dados'!E:E,B155,'Base de Dados'!I:I,"Médio")</f>
        <v/>
      </c>
      <c r="H155" s="2">
        <f>COUNTIFS('Base de Dados'!D:D,A155,'Base de Dados'!E:E,B155,'Base de Dados'!I:I,"Pontual")</f>
        <v/>
      </c>
      <c r="I155" s="2">
        <f>IF(C155&gt;=5,"Cluster Grande (5+)",IF(C155&gt;=3,"Cluster Médio (3-4)",IF(C155&gt;=2,"Cluster Pequeno (2)","Cliente Isolado (1)")))</f>
        <v/>
      </c>
    </row>
    <row r="156">
      <c r="A156" s="2" t="inlineStr">
        <is>
          <t>MG</t>
        </is>
      </c>
      <c r="B156" s="4" t="inlineStr">
        <is>
          <t>Poços de Caldas</t>
        </is>
      </c>
      <c r="C156" s="2">
        <f>COUNTIFS('Base de Dados'!D:D,A156,'Base de Dados'!E:E,B156)</f>
        <v/>
      </c>
      <c r="D156" s="4" t="inlineStr">
        <is>
          <t>Andressa</t>
        </is>
      </c>
      <c r="E156" s="2">
        <f>COUNTIFS('Base de Dados'!D:D,A156,'Base de Dados'!E:E,B156,'Base de Dados'!I:I,"Estratégico")</f>
        <v/>
      </c>
      <c r="F156" s="2">
        <f>COUNTIFS('Base de Dados'!D:D,A156,'Base de Dados'!E:E,B156,'Base de Dados'!I:I,"Forte")</f>
        <v/>
      </c>
      <c r="G156" s="2">
        <f>COUNTIFS('Base de Dados'!D:D,A156,'Base de Dados'!E:E,B156,'Base de Dados'!I:I,"Médio")</f>
        <v/>
      </c>
      <c r="H156" s="2">
        <f>COUNTIFS('Base de Dados'!D:D,A156,'Base de Dados'!E:E,B156,'Base de Dados'!I:I,"Pontual")</f>
        <v/>
      </c>
      <c r="I156" s="2">
        <f>IF(C156&gt;=5,"Cluster Grande (5+)",IF(C156&gt;=3,"Cluster Médio (3-4)",IF(C156&gt;=2,"Cluster Pequeno (2)","Cliente Isolado (1)")))</f>
        <v/>
      </c>
    </row>
    <row r="157">
      <c r="A157" s="2" t="inlineStr">
        <is>
          <t>MG</t>
        </is>
      </c>
      <c r="B157" s="4" t="inlineStr">
        <is>
          <t>SALINAS</t>
        </is>
      </c>
      <c r="C157" s="2">
        <f>COUNTIFS('Base de Dados'!D:D,A157,'Base de Dados'!E:E,B157)</f>
        <v/>
      </c>
      <c r="D157" s="4" t="inlineStr">
        <is>
          <t>Andressa</t>
        </is>
      </c>
      <c r="E157" s="2">
        <f>COUNTIFS('Base de Dados'!D:D,A157,'Base de Dados'!E:E,B157,'Base de Dados'!I:I,"Estratégico")</f>
        <v/>
      </c>
      <c r="F157" s="2">
        <f>COUNTIFS('Base de Dados'!D:D,A157,'Base de Dados'!E:E,B157,'Base de Dados'!I:I,"Forte")</f>
        <v/>
      </c>
      <c r="G157" s="2">
        <f>COUNTIFS('Base de Dados'!D:D,A157,'Base de Dados'!E:E,B157,'Base de Dados'!I:I,"Médio")</f>
        <v/>
      </c>
      <c r="H157" s="2">
        <f>COUNTIFS('Base de Dados'!D:D,A157,'Base de Dados'!E:E,B157,'Base de Dados'!I:I,"Pontual")</f>
        <v/>
      </c>
      <c r="I157" s="2">
        <f>IF(C157&gt;=5,"Cluster Grande (5+)",IF(C157&gt;=3,"Cluster Médio (3-4)",IF(C157&gt;=2,"Cluster Pequeno (2)","Cliente Isolado (1)")))</f>
        <v/>
      </c>
    </row>
    <row r="158">
      <c r="A158" s="2" t="inlineStr">
        <is>
          <t>MG</t>
        </is>
      </c>
      <c r="B158" s="4" t="inlineStr">
        <is>
          <t>SANTA CRUZ DE MINAS</t>
        </is>
      </c>
      <c r="C158" s="2">
        <f>COUNTIFS('Base de Dados'!D:D,A158,'Base de Dados'!E:E,B158)</f>
        <v/>
      </c>
      <c r="D158" s="4" t="inlineStr">
        <is>
          <t>Andressa</t>
        </is>
      </c>
      <c r="E158" s="2">
        <f>COUNTIFS('Base de Dados'!D:D,A158,'Base de Dados'!E:E,B158,'Base de Dados'!I:I,"Estratégico")</f>
        <v/>
      </c>
      <c r="F158" s="2">
        <f>COUNTIFS('Base de Dados'!D:D,A158,'Base de Dados'!E:E,B158,'Base de Dados'!I:I,"Forte")</f>
        <v/>
      </c>
      <c r="G158" s="2">
        <f>COUNTIFS('Base de Dados'!D:D,A158,'Base de Dados'!E:E,B158,'Base de Dados'!I:I,"Médio")</f>
        <v/>
      </c>
      <c r="H158" s="2">
        <f>COUNTIFS('Base de Dados'!D:D,A158,'Base de Dados'!E:E,B158,'Base de Dados'!I:I,"Pontual")</f>
        <v/>
      </c>
      <c r="I158" s="2">
        <f>IF(C158&gt;=5,"Cluster Grande (5+)",IF(C158&gt;=3,"Cluster Médio (3-4)",IF(C158&gt;=2,"Cluster Pequeno (2)","Cliente Isolado (1)")))</f>
        <v/>
      </c>
    </row>
    <row r="159">
      <c r="A159" s="2" t="inlineStr">
        <is>
          <t>MG</t>
        </is>
      </c>
      <c r="B159" s="4" t="inlineStr">
        <is>
          <t>SETE LAGOAS</t>
        </is>
      </c>
      <c r="C159" s="2">
        <f>COUNTIFS('Base de Dados'!D:D,A159,'Base de Dados'!E:E,B159)</f>
        <v/>
      </c>
      <c r="D159" s="4" t="inlineStr">
        <is>
          <t>Andressa</t>
        </is>
      </c>
      <c r="E159" s="2">
        <f>COUNTIFS('Base de Dados'!D:D,A159,'Base de Dados'!E:E,B159,'Base de Dados'!I:I,"Estratégico")</f>
        <v/>
      </c>
      <c r="F159" s="2">
        <f>COUNTIFS('Base de Dados'!D:D,A159,'Base de Dados'!E:E,B159,'Base de Dados'!I:I,"Forte")</f>
        <v/>
      </c>
      <c r="G159" s="2">
        <f>COUNTIFS('Base de Dados'!D:D,A159,'Base de Dados'!E:E,B159,'Base de Dados'!I:I,"Médio")</f>
        <v/>
      </c>
      <c r="H159" s="2">
        <f>COUNTIFS('Base de Dados'!D:D,A159,'Base de Dados'!E:E,B159,'Base de Dados'!I:I,"Pontual")</f>
        <v/>
      </c>
      <c r="I159" s="2">
        <f>IF(C159&gt;=5,"Cluster Grande (5+)",IF(C159&gt;=3,"Cluster Médio (3-4)",IF(C159&gt;=2,"Cluster Pequeno (2)","Cliente Isolado (1)")))</f>
        <v/>
      </c>
    </row>
    <row r="160">
      <c r="A160" s="2" t="inlineStr">
        <is>
          <t>MG</t>
        </is>
      </c>
      <c r="B160" s="4" t="inlineStr">
        <is>
          <t>Santa Rita do Sapucaí</t>
        </is>
      </c>
      <c r="C160" s="2">
        <f>COUNTIFS('Base de Dados'!D:D,A160,'Base de Dados'!E:E,B160)</f>
        <v/>
      </c>
      <c r="D160" s="4" t="inlineStr">
        <is>
          <t>Andressa</t>
        </is>
      </c>
      <c r="E160" s="2">
        <f>COUNTIFS('Base de Dados'!D:D,A160,'Base de Dados'!E:E,B160,'Base de Dados'!I:I,"Estratégico")</f>
        <v/>
      </c>
      <c r="F160" s="2">
        <f>COUNTIFS('Base de Dados'!D:D,A160,'Base de Dados'!E:E,B160,'Base de Dados'!I:I,"Forte")</f>
        <v/>
      </c>
      <c r="G160" s="2">
        <f>COUNTIFS('Base de Dados'!D:D,A160,'Base de Dados'!E:E,B160,'Base de Dados'!I:I,"Médio")</f>
        <v/>
      </c>
      <c r="H160" s="2">
        <f>COUNTIFS('Base de Dados'!D:D,A160,'Base de Dados'!E:E,B160,'Base de Dados'!I:I,"Pontual")</f>
        <v/>
      </c>
      <c r="I160" s="2">
        <f>IF(C160&gt;=5,"Cluster Grande (5+)",IF(C160&gt;=3,"Cluster Médio (3-4)",IF(C160&gt;=2,"Cluster Pequeno (2)","Cliente Isolado (1)")))</f>
        <v/>
      </c>
    </row>
    <row r="161">
      <c r="A161" s="2" t="inlineStr">
        <is>
          <t>MG</t>
        </is>
      </c>
      <c r="B161" s="4" t="inlineStr">
        <is>
          <t>São João del Rei</t>
        </is>
      </c>
      <c r="C161" s="2">
        <f>COUNTIFS('Base de Dados'!D:D,A161,'Base de Dados'!E:E,B161)</f>
        <v/>
      </c>
      <c r="D161" s="4" t="inlineStr">
        <is>
          <t>Andressa</t>
        </is>
      </c>
      <c r="E161" s="2">
        <f>COUNTIFS('Base de Dados'!D:D,A161,'Base de Dados'!E:E,B161,'Base de Dados'!I:I,"Estratégico")</f>
        <v/>
      </c>
      <c r="F161" s="2">
        <f>COUNTIFS('Base de Dados'!D:D,A161,'Base de Dados'!E:E,B161,'Base de Dados'!I:I,"Forte")</f>
        <v/>
      </c>
      <c r="G161" s="2">
        <f>COUNTIFS('Base de Dados'!D:D,A161,'Base de Dados'!E:E,B161,'Base de Dados'!I:I,"Médio")</f>
        <v/>
      </c>
      <c r="H161" s="2">
        <f>COUNTIFS('Base de Dados'!D:D,A161,'Base de Dados'!E:E,B161,'Base de Dados'!I:I,"Pontual")</f>
        <v/>
      </c>
      <c r="I161" s="2">
        <f>IF(C161&gt;=5,"Cluster Grande (5+)",IF(C161&gt;=3,"Cluster Médio (3-4)",IF(C161&gt;=2,"Cluster Pequeno (2)","Cliente Isolado (1)")))</f>
        <v/>
      </c>
    </row>
    <row r="162">
      <c r="A162" s="2" t="inlineStr">
        <is>
          <t>MG</t>
        </is>
      </c>
      <c r="B162" s="4" t="inlineStr">
        <is>
          <t>TUPACIGUARA</t>
        </is>
      </c>
      <c r="C162" s="2">
        <f>COUNTIFS('Base de Dados'!D:D,A162,'Base de Dados'!E:E,B162)</f>
        <v/>
      </c>
      <c r="D162" s="4" t="inlineStr">
        <is>
          <t>Andressa</t>
        </is>
      </c>
      <c r="E162" s="2">
        <f>COUNTIFS('Base de Dados'!D:D,A162,'Base de Dados'!E:E,B162,'Base de Dados'!I:I,"Estratégico")</f>
        <v/>
      </c>
      <c r="F162" s="2">
        <f>COUNTIFS('Base de Dados'!D:D,A162,'Base de Dados'!E:E,B162,'Base de Dados'!I:I,"Forte")</f>
        <v/>
      </c>
      <c r="G162" s="2">
        <f>COUNTIFS('Base de Dados'!D:D,A162,'Base de Dados'!E:E,B162,'Base de Dados'!I:I,"Médio")</f>
        <v/>
      </c>
      <c r="H162" s="2">
        <f>COUNTIFS('Base de Dados'!D:D,A162,'Base de Dados'!E:E,B162,'Base de Dados'!I:I,"Pontual")</f>
        <v/>
      </c>
      <c r="I162" s="2">
        <f>IF(C162&gt;=5,"Cluster Grande (5+)",IF(C162&gt;=3,"Cluster Médio (3-4)",IF(C162&gt;=2,"Cluster Pequeno (2)","Cliente Isolado (1)")))</f>
        <v/>
      </c>
    </row>
    <row r="163">
      <c r="A163" s="2" t="inlineStr">
        <is>
          <t>MG</t>
        </is>
      </c>
      <c r="B163" s="4" t="inlineStr">
        <is>
          <t>Teófilo Otoni</t>
        </is>
      </c>
      <c r="C163" s="2">
        <f>COUNTIFS('Base de Dados'!D:D,A163,'Base de Dados'!E:E,B163)</f>
        <v/>
      </c>
      <c r="D163" s="4" t="inlineStr">
        <is>
          <t>Andressa</t>
        </is>
      </c>
      <c r="E163" s="2">
        <f>COUNTIFS('Base de Dados'!D:D,A163,'Base de Dados'!E:E,B163,'Base de Dados'!I:I,"Estratégico")</f>
        <v/>
      </c>
      <c r="F163" s="2">
        <f>COUNTIFS('Base de Dados'!D:D,A163,'Base de Dados'!E:E,B163,'Base de Dados'!I:I,"Forte")</f>
        <v/>
      </c>
      <c r="G163" s="2">
        <f>COUNTIFS('Base de Dados'!D:D,A163,'Base de Dados'!E:E,B163,'Base de Dados'!I:I,"Médio")</f>
        <v/>
      </c>
      <c r="H163" s="2">
        <f>COUNTIFS('Base de Dados'!D:D,A163,'Base de Dados'!E:E,B163,'Base de Dados'!I:I,"Pontual")</f>
        <v/>
      </c>
      <c r="I163" s="2">
        <f>IF(C163&gt;=5,"Cluster Grande (5+)",IF(C163&gt;=3,"Cluster Médio (3-4)",IF(C163&gt;=2,"Cluster Pequeno (2)","Cliente Isolado (1)")))</f>
        <v/>
      </c>
    </row>
    <row r="164">
      <c r="A164" s="2" t="inlineStr">
        <is>
          <t>MG</t>
        </is>
      </c>
      <c r="B164" s="4" t="inlineStr">
        <is>
          <t>Timóteo</t>
        </is>
      </c>
      <c r="C164" s="2">
        <f>COUNTIFS('Base de Dados'!D:D,A164,'Base de Dados'!E:E,B164)</f>
        <v/>
      </c>
      <c r="D164" s="4" t="inlineStr">
        <is>
          <t>Andressa</t>
        </is>
      </c>
      <c r="E164" s="2">
        <f>COUNTIFS('Base de Dados'!D:D,A164,'Base de Dados'!E:E,B164,'Base de Dados'!I:I,"Estratégico")</f>
        <v/>
      </c>
      <c r="F164" s="2">
        <f>COUNTIFS('Base de Dados'!D:D,A164,'Base de Dados'!E:E,B164,'Base de Dados'!I:I,"Forte")</f>
        <v/>
      </c>
      <c r="G164" s="2">
        <f>COUNTIFS('Base de Dados'!D:D,A164,'Base de Dados'!E:E,B164,'Base de Dados'!I:I,"Médio")</f>
        <v/>
      </c>
      <c r="H164" s="2">
        <f>COUNTIFS('Base de Dados'!D:D,A164,'Base de Dados'!E:E,B164,'Base de Dados'!I:I,"Pontual")</f>
        <v/>
      </c>
      <c r="I164" s="2">
        <f>IF(C164&gt;=5,"Cluster Grande (5+)",IF(C164&gt;=3,"Cluster Médio (3-4)",IF(C164&gt;=2,"Cluster Pequeno (2)","Cliente Isolado (1)")))</f>
        <v/>
      </c>
    </row>
    <row r="165">
      <c r="A165" s="2" t="inlineStr">
        <is>
          <t>MG</t>
        </is>
      </c>
      <c r="B165" s="4" t="inlineStr">
        <is>
          <t>Três Corações</t>
        </is>
      </c>
      <c r="C165" s="2">
        <f>COUNTIFS('Base de Dados'!D:D,A165,'Base de Dados'!E:E,B165)</f>
        <v/>
      </c>
      <c r="D165" s="4" t="inlineStr">
        <is>
          <t>Andressa</t>
        </is>
      </c>
      <c r="E165" s="2">
        <f>COUNTIFS('Base de Dados'!D:D,A165,'Base de Dados'!E:E,B165,'Base de Dados'!I:I,"Estratégico")</f>
        <v/>
      </c>
      <c r="F165" s="2">
        <f>COUNTIFS('Base de Dados'!D:D,A165,'Base de Dados'!E:E,B165,'Base de Dados'!I:I,"Forte")</f>
        <v/>
      </c>
      <c r="G165" s="2">
        <f>COUNTIFS('Base de Dados'!D:D,A165,'Base de Dados'!E:E,B165,'Base de Dados'!I:I,"Médio")</f>
        <v/>
      </c>
      <c r="H165" s="2">
        <f>COUNTIFS('Base de Dados'!D:D,A165,'Base de Dados'!E:E,B165,'Base de Dados'!I:I,"Pontual")</f>
        <v/>
      </c>
      <c r="I165" s="2">
        <f>IF(C165&gt;=5,"Cluster Grande (5+)",IF(C165&gt;=3,"Cluster Médio (3-4)",IF(C165&gt;=2,"Cluster Pequeno (2)","Cliente Isolado (1)")))</f>
        <v/>
      </c>
    </row>
    <row r="166">
      <c r="A166" s="2" t="inlineStr">
        <is>
          <t>MG</t>
        </is>
      </c>
      <c r="B166" s="4" t="inlineStr">
        <is>
          <t>Três Pontas</t>
        </is>
      </c>
      <c r="C166" s="2">
        <f>COUNTIFS('Base de Dados'!D:D,A166,'Base de Dados'!E:E,B166)</f>
        <v/>
      </c>
      <c r="D166" s="4" t="inlineStr">
        <is>
          <t>Andressa</t>
        </is>
      </c>
      <c r="E166" s="2">
        <f>COUNTIFS('Base de Dados'!D:D,A166,'Base de Dados'!E:E,B166,'Base de Dados'!I:I,"Estratégico")</f>
        <v/>
      </c>
      <c r="F166" s="2">
        <f>COUNTIFS('Base de Dados'!D:D,A166,'Base de Dados'!E:E,B166,'Base de Dados'!I:I,"Forte")</f>
        <v/>
      </c>
      <c r="G166" s="2">
        <f>COUNTIFS('Base de Dados'!D:D,A166,'Base de Dados'!E:E,B166,'Base de Dados'!I:I,"Médio")</f>
        <v/>
      </c>
      <c r="H166" s="2">
        <f>COUNTIFS('Base de Dados'!D:D,A166,'Base de Dados'!E:E,B166,'Base de Dados'!I:I,"Pontual")</f>
        <v/>
      </c>
      <c r="I166" s="2">
        <f>IF(C166&gt;=5,"Cluster Grande (5+)",IF(C166&gt;=3,"Cluster Médio (3-4)",IF(C166&gt;=2,"Cluster Pequeno (2)","Cliente Isolado (1)")))</f>
        <v/>
      </c>
    </row>
    <row r="167">
      <c r="A167" s="2" t="inlineStr">
        <is>
          <t>MG</t>
        </is>
      </c>
      <c r="B167" s="4" t="inlineStr">
        <is>
          <t>Uberlândia</t>
        </is>
      </c>
      <c r="C167" s="2">
        <f>COUNTIFS('Base de Dados'!D:D,A167,'Base de Dados'!E:E,B167)</f>
        <v/>
      </c>
      <c r="D167" s="4" t="inlineStr">
        <is>
          <t>Andressa</t>
        </is>
      </c>
      <c r="E167" s="2">
        <f>COUNTIFS('Base de Dados'!D:D,A167,'Base de Dados'!E:E,B167,'Base de Dados'!I:I,"Estratégico")</f>
        <v/>
      </c>
      <c r="F167" s="2">
        <f>COUNTIFS('Base de Dados'!D:D,A167,'Base de Dados'!E:E,B167,'Base de Dados'!I:I,"Forte")</f>
        <v/>
      </c>
      <c r="G167" s="2">
        <f>COUNTIFS('Base de Dados'!D:D,A167,'Base de Dados'!E:E,B167,'Base de Dados'!I:I,"Médio")</f>
        <v/>
      </c>
      <c r="H167" s="2">
        <f>COUNTIFS('Base de Dados'!D:D,A167,'Base de Dados'!E:E,B167,'Base de Dados'!I:I,"Pontual")</f>
        <v/>
      </c>
      <c r="I167" s="2">
        <f>IF(C167&gt;=5,"Cluster Grande (5+)",IF(C167&gt;=3,"Cluster Médio (3-4)",IF(C167&gt;=2,"Cluster Pequeno (2)","Cliente Isolado (1)")))</f>
        <v/>
      </c>
    </row>
    <row r="168">
      <c r="A168" s="2" t="inlineStr">
        <is>
          <t>MG</t>
        </is>
      </c>
      <c r="B168" s="4" t="inlineStr">
        <is>
          <t>Ubá</t>
        </is>
      </c>
      <c r="C168" s="2">
        <f>COUNTIFS('Base de Dados'!D:D,A168,'Base de Dados'!E:E,B168)</f>
        <v/>
      </c>
      <c r="D168" s="4" t="inlineStr">
        <is>
          <t>Andressa</t>
        </is>
      </c>
      <c r="E168" s="2">
        <f>COUNTIFS('Base de Dados'!D:D,A168,'Base de Dados'!E:E,B168,'Base de Dados'!I:I,"Estratégico")</f>
        <v/>
      </c>
      <c r="F168" s="2">
        <f>COUNTIFS('Base de Dados'!D:D,A168,'Base de Dados'!E:E,B168,'Base de Dados'!I:I,"Forte")</f>
        <v/>
      </c>
      <c r="G168" s="2">
        <f>COUNTIFS('Base de Dados'!D:D,A168,'Base de Dados'!E:E,B168,'Base de Dados'!I:I,"Médio")</f>
        <v/>
      </c>
      <c r="H168" s="2">
        <f>COUNTIFS('Base de Dados'!D:D,A168,'Base de Dados'!E:E,B168,'Base de Dados'!I:I,"Pontual")</f>
        <v/>
      </c>
      <c r="I168" s="2">
        <f>IF(C168&gt;=5,"Cluster Grande (5+)",IF(C168&gt;=3,"Cluster Médio (3-4)",IF(C168&gt;=2,"Cluster Pequeno (2)","Cliente Isolado (1)")))</f>
        <v/>
      </c>
    </row>
    <row r="169">
      <c r="A169" s="2" t="inlineStr">
        <is>
          <t>MG</t>
        </is>
      </c>
      <c r="B169" s="4" t="inlineStr">
        <is>
          <t>Unaí</t>
        </is>
      </c>
      <c r="C169" s="2">
        <f>COUNTIFS('Base de Dados'!D:D,A169,'Base de Dados'!E:E,B169)</f>
        <v/>
      </c>
      <c r="D169" s="4" t="inlineStr">
        <is>
          <t>Andressa</t>
        </is>
      </c>
      <c r="E169" s="2">
        <f>COUNTIFS('Base de Dados'!D:D,A169,'Base de Dados'!E:E,B169,'Base de Dados'!I:I,"Estratégico")</f>
        <v/>
      </c>
      <c r="F169" s="2">
        <f>COUNTIFS('Base de Dados'!D:D,A169,'Base de Dados'!E:E,B169,'Base de Dados'!I:I,"Forte")</f>
        <v/>
      </c>
      <c r="G169" s="2">
        <f>COUNTIFS('Base de Dados'!D:D,A169,'Base de Dados'!E:E,B169,'Base de Dados'!I:I,"Médio")</f>
        <v/>
      </c>
      <c r="H169" s="2">
        <f>COUNTIFS('Base de Dados'!D:D,A169,'Base de Dados'!E:E,B169,'Base de Dados'!I:I,"Pontual")</f>
        <v/>
      </c>
      <c r="I169" s="2">
        <f>IF(C169&gt;=5,"Cluster Grande (5+)",IF(C169&gt;=3,"Cluster Médio (3-4)",IF(C169&gt;=2,"Cluster Pequeno (2)","Cliente Isolado (1)")))</f>
        <v/>
      </c>
    </row>
    <row r="170">
      <c r="A170" s="2" t="inlineStr">
        <is>
          <t>MG</t>
        </is>
      </c>
      <c r="B170" s="4" t="inlineStr">
        <is>
          <t>VARGINHA</t>
        </is>
      </c>
      <c r="C170" s="2">
        <f>COUNTIFS('Base de Dados'!D:D,A170,'Base de Dados'!E:E,B170)</f>
        <v/>
      </c>
      <c r="D170" s="4" t="inlineStr">
        <is>
          <t>Andressa</t>
        </is>
      </c>
      <c r="E170" s="2">
        <f>COUNTIFS('Base de Dados'!D:D,A170,'Base de Dados'!E:E,B170,'Base de Dados'!I:I,"Estratégico")</f>
        <v/>
      </c>
      <c r="F170" s="2">
        <f>COUNTIFS('Base de Dados'!D:D,A170,'Base de Dados'!E:E,B170,'Base de Dados'!I:I,"Forte")</f>
        <v/>
      </c>
      <c r="G170" s="2">
        <f>COUNTIFS('Base de Dados'!D:D,A170,'Base de Dados'!E:E,B170,'Base de Dados'!I:I,"Médio")</f>
        <v/>
      </c>
      <c r="H170" s="2">
        <f>COUNTIFS('Base de Dados'!D:D,A170,'Base de Dados'!E:E,B170,'Base de Dados'!I:I,"Pontual")</f>
        <v/>
      </c>
      <c r="I170" s="2">
        <f>IF(C170&gt;=5,"Cluster Grande (5+)",IF(C170&gt;=3,"Cluster Médio (3-4)",IF(C170&gt;=2,"Cluster Pequeno (2)","Cliente Isolado (1)")))</f>
        <v/>
      </c>
    </row>
    <row r="171">
      <c r="A171" s="2" t="inlineStr">
        <is>
          <t>MG</t>
        </is>
      </c>
      <c r="B171" s="4" t="inlineStr">
        <is>
          <t>Viçosa</t>
        </is>
      </c>
      <c r="C171" s="2">
        <f>COUNTIFS('Base de Dados'!D:D,A171,'Base de Dados'!E:E,B171)</f>
        <v/>
      </c>
      <c r="D171" s="4" t="inlineStr">
        <is>
          <t>Andressa</t>
        </is>
      </c>
      <c r="E171" s="2">
        <f>COUNTIFS('Base de Dados'!D:D,A171,'Base de Dados'!E:E,B171,'Base de Dados'!I:I,"Estratégico")</f>
        <v/>
      </c>
      <c r="F171" s="2">
        <f>COUNTIFS('Base de Dados'!D:D,A171,'Base de Dados'!E:E,B171,'Base de Dados'!I:I,"Forte")</f>
        <v/>
      </c>
      <c r="G171" s="2">
        <f>COUNTIFS('Base de Dados'!D:D,A171,'Base de Dados'!E:E,B171,'Base de Dados'!I:I,"Médio")</f>
        <v/>
      </c>
      <c r="H171" s="2">
        <f>COUNTIFS('Base de Dados'!D:D,A171,'Base de Dados'!E:E,B171,'Base de Dados'!I:I,"Pontual")</f>
        <v/>
      </c>
      <c r="I171" s="2">
        <f>IF(C171&gt;=5,"Cluster Grande (5+)",IF(C171&gt;=3,"Cluster Médio (3-4)",IF(C171&gt;=2,"Cluster Pequeno (2)","Cliente Isolado (1)")))</f>
        <v/>
      </c>
    </row>
    <row r="172">
      <c r="A172" s="2" t="inlineStr">
        <is>
          <t>MS</t>
        </is>
      </c>
      <c r="B172" s="4" t="inlineStr">
        <is>
          <t>CAMPO GRANDE</t>
        </is>
      </c>
      <c r="C172" s="2">
        <f>COUNTIFS('Base de Dados'!D:D,A172,'Base de Dados'!E:E,B172)</f>
        <v/>
      </c>
      <c r="D172" s="4" t="inlineStr">
        <is>
          <t>Yan Aragão</t>
        </is>
      </c>
      <c r="E172" s="2">
        <f>COUNTIFS('Base de Dados'!D:D,A172,'Base de Dados'!E:E,B172,'Base de Dados'!I:I,"Estratégico")</f>
        <v/>
      </c>
      <c r="F172" s="2">
        <f>COUNTIFS('Base de Dados'!D:D,A172,'Base de Dados'!E:E,B172,'Base de Dados'!I:I,"Forte")</f>
        <v/>
      </c>
      <c r="G172" s="2">
        <f>COUNTIFS('Base de Dados'!D:D,A172,'Base de Dados'!E:E,B172,'Base de Dados'!I:I,"Médio")</f>
        <v/>
      </c>
      <c r="H172" s="2">
        <f>COUNTIFS('Base de Dados'!D:D,A172,'Base de Dados'!E:E,B172,'Base de Dados'!I:I,"Pontual")</f>
        <v/>
      </c>
      <c r="I172" s="2">
        <f>IF(C172&gt;=5,"Cluster Grande (5+)",IF(C172&gt;=3,"Cluster Médio (3-4)",IF(C172&gt;=2,"Cluster Pequeno (2)","Cliente Isolado (1)")))</f>
        <v/>
      </c>
    </row>
    <row r="173">
      <c r="A173" s="2" t="inlineStr">
        <is>
          <t>MS</t>
        </is>
      </c>
      <c r="B173" s="4" t="inlineStr">
        <is>
          <t>Corumbá</t>
        </is>
      </c>
      <c r="C173" s="2">
        <f>COUNTIFS('Base de Dados'!D:D,A173,'Base de Dados'!E:E,B173)</f>
        <v/>
      </c>
      <c r="D173" s="4" t="inlineStr">
        <is>
          <t>Yan Aragão</t>
        </is>
      </c>
      <c r="E173" s="2">
        <f>COUNTIFS('Base de Dados'!D:D,A173,'Base de Dados'!E:E,B173,'Base de Dados'!I:I,"Estratégico")</f>
        <v/>
      </c>
      <c r="F173" s="2">
        <f>COUNTIFS('Base de Dados'!D:D,A173,'Base de Dados'!E:E,B173,'Base de Dados'!I:I,"Forte")</f>
        <v/>
      </c>
      <c r="G173" s="2">
        <f>COUNTIFS('Base de Dados'!D:D,A173,'Base de Dados'!E:E,B173,'Base de Dados'!I:I,"Médio")</f>
        <v/>
      </c>
      <c r="H173" s="2">
        <f>COUNTIFS('Base de Dados'!D:D,A173,'Base de Dados'!E:E,B173,'Base de Dados'!I:I,"Pontual")</f>
        <v/>
      </c>
      <c r="I173" s="2">
        <f>IF(C173&gt;=5,"Cluster Grande (5+)",IF(C173&gt;=3,"Cluster Médio (3-4)",IF(C173&gt;=2,"Cluster Pequeno (2)","Cliente Isolado (1)")))</f>
        <v/>
      </c>
    </row>
    <row r="174">
      <c r="A174" s="2" t="inlineStr">
        <is>
          <t>MS</t>
        </is>
      </c>
      <c r="B174" s="4" t="inlineStr">
        <is>
          <t>Naviraí</t>
        </is>
      </c>
      <c r="C174" s="2">
        <f>COUNTIFS('Base de Dados'!D:D,A174,'Base de Dados'!E:E,B174)</f>
        <v/>
      </c>
      <c r="D174" s="4" t="inlineStr">
        <is>
          <t>Yan Aragão</t>
        </is>
      </c>
      <c r="E174" s="2">
        <f>COUNTIFS('Base de Dados'!D:D,A174,'Base de Dados'!E:E,B174,'Base de Dados'!I:I,"Estratégico")</f>
        <v/>
      </c>
      <c r="F174" s="2">
        <f>COUNTIFS('Base de Dados'!D:D,A174,'Base de Dados'!E:E,B174,'Base de Dados'!I:I,"Forte")</f>
        <v/>
      </c>
      <c r="G174" s="2">
        <f>COUNTIFS('Base de Dados'!D:D,A174,'Base de Dados'!E:E,B174,'Base de Dados'!I:I,"Médio")</f>
        <v/>
      </c>
      <c r="H174" s="2">
        <f>COUNTIFS('Base de Dados'!D:D,A174,'Base de Dados'!E:E,B174,'Base de Dados'!I:I,"Pontual")</f>
        <v/>
      </c>
      <c r="I174" s="2">
        <f>IF(C174&gt;=5,"Cluster Grande (5+)",IF(C174&gt;=3,"Cluster Médio (3-4)",IF(C174&gt;=2,"Cluster Pequeno (2)","Cliente Isolado (1)")))</f>
        <v/>
      </c>
    </row>
    <row r="175">
      <c r="A175" s="2" t="inlineStr">
        <is>
          <t>MT</t>
        </is>
      </c>
      <c r="B175" s="4" t="inlineStr">
        <is>
          <t>ALTA FLORESTA</t>
        </is>
      </c>
      <c r="C175" s="2">
        <f>COUNTIFS('Base de Dados'!D:D,A175,'Base de Dados'!E:E,B175)</f>
        <v/>
      </c>
      <c r="D175" s="4" t="inlineStr">
        <is>
          <t>Yan Aragão</t>
        </is>
      </c>
      <c r="E175" s="2">
        <f>COUNTIFS('Base de Dados'!D:D,A175,'Base de Dados'!E:E,B175,'Base de Dados'!I:I,"Estratégico")</f>
        <v/>
      </c>
      <c r="F175" s="2">
        <f>COUNTIFS('Base de Dados'!D:D,A175,'Base de Dados'!E:E,B175,'Base de Dados'!I:I,"Forte")</f>
        <v/>
      </c>
      <c r="G175" s="2">
        <f>COUNTIFS('Base de Dados'!D:D,A175,'Base de Dados'!E:E,B175,'Base de Dados'!I:I,"Médio")</f>
        <v/>
      </c>
      <c r="H175" s="2">
        <f>COUNTIFS('Base de Dados'!D:D,A175,'Base de Dados'!E:E,B175,'Base de Dados'!I:I,"Pontual")</f>
        <v/>
      </c>
      <c r="I175" s="2">
        <f>IF(C175&gt;=5,"Cluster Grande (5+)",IF(C175&gt;=3,"Cluster Médio (3-4)",IF(C175&gt;=2,"Cluster Pequeno (2)","Cliente Isolado (1)")))</f>
        <v/>
      </c>
    </row>
    <row r="176">
      <c r="A176" s="2" t="inlineStr">
        <is>
          <t>MT</t>
        </is>
      </c>
      <c r="B176" s="4" t="inlineStr">
        <is>
          <t>CONFRESA</t>
        </is>
      </c>
      <c r="C176" s="2">
        <f>COUNTIFS('Base de Dados'!D:D,A176,'Base de Dados'!E:E,B176)</f>
        <v/>
      </c>
      <c r="D176" s="4" t="inlineStr">
        <is>
          <t>Yan Aragão</t>
        </is>
      </c>
      <c r="E176" s="2">
        <f>COUNTIFS('Base de Dados'!D:D,A176,'Base de Dados'!E:E,B176,'Base de Dados'!I:I,"Estratégico")</f>
        <v/>
      </c>
      <c r="F176" s="2">
        <f>COUNTIFS('Base de Dados'!D:D,A176,'Base de Dados'!E:E,B176,'Base de Dados'!I:I,"Forte")</f>
        <v/>
      </c>
      <c r="G176" s="2">
        <f>COUNTIFS('Base de Dados'!D:D,A176,'Base de Dados'!E:E,B176,'Base de Dados'!I:I,"Médio")</f>
        <v/>
      </c>
      <c r="H176" s="2">
        <f>COUNTIFS('Base de Dados'!D:D,A176,'Base de Dados'!E:E,B176,'Base de Dados'!I:I,"Pontual")</f>
        <v/>
      </c>
      <c r="I176" s="2">
        <f>IF(C176&gt;=5,"Cluster Grande (5+)",IF(C176&gt;=3,"Cluster Médio (3-4)",IF(C176&gt;=2,"Cluster Pequeno (2)","Cliente Isolado (1)")))</f>
        <v/>
      </c>
    </row>
    <row r="177">
      <c r="A177" s="2" t="inlineStr">
        <is>
          <t>MT</t>
        </is>
      </c>
      <c r="B177" s="4" t="inlineStr">
        <is>
          <t>Cuiabá</t>
        </is>
      </c>
      <c r="C177" s="2">
        <f>COUNTIFS('Base de Dados'!D:D,A177,'Base de Dados'!E:E,B177)</f>
        <v/>
      </c>
      <c r="D177" s="4" t="inlineStr">
        <is>
          <t>Yan Aragão</t>
        </is>
      </c>
      <c r="E177" s="2">
        <f>COUNTIFS('Base de Dados'!D:D,A177,'Base de Dados'!E:E,B177,'Base de Dados'!I:I,"Estratégico")</f>
        <v/>
      </c>
      <c r="F177" s="2">
        <f>COUNTIFS('Base de Dados'!D:D,A177,'Base de Dados'!E:E,B177,'Base de Dados'!I:I,"Forte")</f>
        <v/>
      </c>
      <c r="G177" s="2">
        <f>COUNTIFS('Base de Dados'!D:D,A177,'Base de Dados'!E:E,B177,'Base de Dados'!I:I,"Médio")</f>
        <v/>
      </c>
      <c r="H177" s="2">
        <f>COUNTIFS('Base de Dados'!D:D,A177,'Base de Dados'!E:E,B177,'Base de Dados'!I:I,"Pontual")</f>
        <v/>
      </c>
      <c r="I177" s="2">
        <f>IF(C177&gt;=5,"Cluster Grande (5+)",IF(C177&gt;=3,"Cluster Médio (3-4)",IF(C177&gt;=2,"Cluster Pequeno (2)","Cliente Isolado (1)")))</f>
        <v/>
      </c>
    </row>
    <row r="178">
      <c r="A178" s="2" t="inlineStr">
        <is>
          <t>MT</t>
        </is>
      </c>
      <c r="B178" s="4" t="inlineStr">
        <is>
          <t>PRIMAVERA DO LESTE</t>
        </is>
      </c>
      <c r="C178" s="2">
        <f>COUNTIFS('Base de Dados'!D:D,A178,'Base de Dados'!E:E,B178)</f>
        <v/>
      </c>
      <c r="D178" s="4" t="inlineStr">
        <is>
          <t>Yan Aragão</t>
        </is>
      </c>
      <c r="E178" s="2">
        <f>COUNTIFS('Base de Dados'!D:D,A178,'Base de Dados'!E:E,B178,'Base de Dados'!I:I,"Estratégico")</f>
        <v/>
      </c>
      <c r="F178" s="2">
        <f>COUNTIFS('Base de Dados'!D:D,A178,'Base de Dados'!E:E,B178,'Base de Dados'!I:I,"Forte")</f>
        <v/>
      </c>
      <c r="G178" s="2">
        <f>COUNTIFS('Base de Dados'!D:D,A178,'Base de Dados'!E:E,B178,'Base de Dados'!I:I,"Médio")</f>
        <v/>
      </c>
      <c r="H178" s="2">
        <f>COUNTIFS('Base de Dados'!D:D,A178,'Base de Dados'!E:E,B178,'Base de Dados'!I:I,"Pontual")</f>
        <v/>
      </c>
      <c r="I178" s="2">
        <f>IF(C178&gt;=5,"Cluster Grande (5+)",IF(C178&gt;=3,"Cluster Médio (3-4)",IF(C178&gt;=2,"Cluster Pequeno (2)","Cliente Isolado (1)")))</f>
        <v/>
      </c>
    </row>
    <row r="179">
      <c r="A179" s="2" t="inlineStr">
        <is>
          <t>MT</t>
        </is>
      </c>
      <c r="B179" s="4" t="inlineStr">
        <is>
          <t>Paranatinga</t>
        </is>
      </c>
      <c r="C179" s="2">
        <f>COUNTIFS('Base de Dados'!D:D,A179,'Base de Dados'!E:E,B179)</f>
        <v/>
      </c>
      <c r="D179" s="4" t="inlineStr">
        <is>
          <t>Yan Aragão</t>
        </is>
      </c>
      <c r="E179" s="2">
        <f>COUNTIFS('Base de Dados'!D:D,A179,'Base de Dados'!E:E,B179,'Base de Dados'!I:I,"Estratégico")</f>
        <v/>
      </c>
      <c r="F179" s="2">
        <f>COUNTIFS('Base de Dados'!D:D,A179,'Base de Dados'!E:E,B179,'Base de Dados'!I:I,"Forte")</f>
        <v/>
      </c>
      <c r="G179" s="2">
        <f>COUNTIFS('Base de Dados'!D:D,A179,'Base de Dados'!E:E,B179,'Base de Dados'!I:I,"Médio")</f>
        <v/>
      </c>
      <c r="H179" s="2">
        <f>COUNTIFS('Base de Dados'!D:D,A179,'Base de Dados'!E:E,B179,'Base de Dados'!I:I,"Pontual")</f>
        <v/>
      </c>
      <c r="I179" s="2">
        <f>IF(C179&gt;=5,"Cluster Grande (5+)",IF(C179&gt;=3,"Cluster Médio (3-4)",IF(C179&gt;=2,"Cluster Pequeno (2)","Cliente Isolado (1)")))</f>
        <v/>
      </c>
    </row>
    <row r="180">
      <c r="A180" s="2" t="inlineStr">
        <is>
          <t>MT</t>
        </is>
      </c>
      <c r="B180" s="4" t="inlineStr">
        <is>
          <t>Rondonópolis</t>
        </is>
      </c>
      <c r="C180" s="2">
        <f>COUNTIFS('Base de Dados'!D:D,A180,'Base de Dados'!E:E,B180)</f>
        <v/>
      </c>
      <c r="D180" s="4" t="inlineStr">
        <is>
          <t>Yan Aragão</t>
        </is>
      </c>
      <c r="E180" s="2">
        <f>COUNTIFS('Base de Dados'!D:D,A180,'Base de Dados'!E:E,B180,'Base de Dados'!I:I,"Estratégico")</f>
        <v/>
      </c>
      <c r="F180" s="2">
        <f>COUNTIFS('Base de Dados'!D:D,A180,'Base de Dados'!E:E,B180,'Base de Dados'!I:I,"Forte")</f>
        <v/>
      </c>
      <c r="G180" s="2">
        <f>COUNTIFS('Base de Dados'!D:D,A180,'Base de Dados'!E:E,B180,'Base de Dados'!I:I,"Médio")</f>
        <v/>
      </c>
      <c r="H180" s="2">
        <f>COUNTIFS('Base de Dados'!D:D,A180,'Base de Dados'!E:E,B180,'Base de Dados'!I:I,"Pontual")</f>
        <v/>
      </c>
      <c r="I180" s="2">
        <f>IF(C180&gt;=5,"Cluster Grande (5+)",IF(C180&gt;=3,"Cluster Médio (3-4)",IF(C180&gt;=2,"Cluster Pequeno (2)","Cliente Isolado (1)")))</f>
        <v/>
      </c>
    </row>
    <row r="181">
      <c r="A181" s="2" t="inlineStr">
        <is>
          <t>MT</t>
        </is>
      </c>
      <c r="B181" s="4" t="inlineStr">
        <is>
          <t>SINOP</t>
        </is>
      </c>
      <c r="C181" s="2">
        <f>COUNTIFS('Base de Dados'!D:D,A181,'Base de Dados'!E:E,B181)</f>
        <v/>
      </c>
      <c r="D181" s="4" t="inlineStr">
        <is>
          <t>Yan Aragão</t>
        </is>
      </c>
      <c r="E181" s="2">
        <f>COUNTIFS('Base de Dados'!D:D,A181,'Base de Dados'!E:E,B181,'Base de Dados'!I:I,"Estratégico")</f>
        <v/>
      </c>
      <c r="F181" s="2">
        <f>COUNTIFS('Base de Dados'!D:D,A181,'Base de Dados'!E:E,B181,'Base de Dados'!I:I,"Forte")</f>
        <v/>
      </c>
      <c r="G181" s="2">
        <f>COUNTIFS('Base de Dados'!D:D,A181,'Base de Dados'!E:E,B181,'Base de Dados'!I:I,"Médio")</f>
        <v/>
      </c>
      <c r="H181" s="2">
        <f>COUNTIFS('Base de Dados'!D:D,A181,'Base de Dados'!E:E,B181,'Base de Dados'!I:I,"Pontual")</f>
        <v/>
      </c>
      <c r="I181" s="2">
        <f>IF(C181&gt;=5,"Cluster Grande (5+)",IF(C181&gt;=3,"Cluster Médio (3-4)",IF(C181&gt;=2,"Cluster Pequeno (2)","Cliente Isolado (1)")))</f>
        <v/>
      </c>
    </row>
    <row r="182">
      <c r="A182" s="2" t="inlineStr">
        <is>
          <t>MT</t>
        </is>
      </c>
      <c r="B182" s="4" t="inlineStr">
        <is>
          <t>Sapezal</t>
        </is>
      </c>
      <c r="C182" s="2">
        <f>COUNTIFS('Base de Dados'!D:D,A182,'Base de Dados'!E:E,B182)</f>
        <v/>
      </c>
      <c r="D182" s="4" t="inlineStr">
        <is>
          <t>Yan Aragão</t>
        </is>
      </c>
      <c r="E182" s="2">
        <f>COUNTIFS('Base de Dados'!D:D,A182,'Base de Dados'!E:E,B182,'Base de Dados'!I:I,"Estratégico")</f>
        <v/>
      </c>
      <c r="F182" s="2">
        <f>COUNTIFS('Base de Dados'!D:D,A182,'Base de Dados'!E:E,B182,'Base de Dados'!I:I,"Forte")</f>
        <v/>
      </c>
      <c r="G182" s="2">
        <f>COUNTIFS('Base de Dados'!D:D,A182,'Base de Dados'!E:E,B182,'Base de Dados'!I:I,"Médio")</f>
        <v/>
      </c>
      <c r="H182" s="2">
        <f>COUNTIFS('Base de Dados'!D:D,A182,'Base de Dados'!E:E,B182,'Base de Dados'!I:I,"Pontual")</f>
        <v/>
      </c>
      <c r="I182" s="2">
        <f>IF(C182&gt;=5,"Cluster Grande (5+)",IF(C182&gt;=3,"Cluster Médio (3-4)",IF(C182&gt;=2,"Cluster Pequeno (2)","Cliente Isolado (1)")))</f>
        <v/>
      </c>
    </row>
    <row r="183">
      <c r="A183" s="2" t="inlineStr">
        <is>
          <t>MT</t>
        </is>
      </c>
      <c r="B183" s="4" t="inlineStr">
        <is>
          <t>Tangará da Serra</t>
        </is>
      </c>
      <c r="C183" s="2">
        <f>COUNTIFS('Base de Dados'!D:D,A183,'Base de Dados'!E:E,B183)</f>
        <v/>
      </c>
      <c r="D183" s="4" t="inlineStr">
        <is>
          <t>Yan Aragão</t>
        </is>
      </c>
      <c r="E183" s="2">
        <f>COUNTIFS('Base de Dados'!D:D,A183,'Base de Dados'!E:E,B183,'Base de Dados'!I:I,"Estratégico")</f>
        <v/>
      </c>
      <c r="F183" s="2">
        <f>COUNTIFS('Base de Dados'!D:D,A183,'Base de Dados'!E:E,B183,'Base de Dados'!I:I,"Forte")</f>
        <v/>
      </c>
      <c r="G183" s="2">
        <f>COUNTIFS('Base de Dados'!D:D,A183,'Base de Dados'!E:E,B183,'Base de Dados'!I:I,"Médio")</f>
        <v/>
      </c>
      <c r="H183" s="2">
        <f>COUNTIFS('Base de Dados'!D:D,A183,'Base de Dados'!E:E,B183,'Base de Dados'!I:I,"Pontual")</f>
        <v/>
      </c>
      <c r="I183" s="2">
        <f>IF(C183&gt;=5,"Cluster Grande (5+)",IF(C183&gt;=3,"Cluster Médio (3-4)",IF(C183&gt;=2,"Cluster Pequeno (2)","Cliente Isolado (1)")))</f>
        <v/>
      </c>
    </row>
    <row r="184">
      <c r="A184" s="2" t="inlineStr">
        <is>
          <t>MT</t>
        </is>
      </c>
      <c r="B184" s="4" t="inlineStr">
        <is>
          <t>Várzea Grande</t>
        </is>
      </c>
      <c r="C184" s="2">
        <f>COUNTIFS('Base de Dados'!D:D,A184,'Base de Dados'!E:E,B184)</f>
        <v/>
      </c>
      <c r="D184" s="4" t="inlineStr">
        <is>
          <t>Yan Aragão</t>
        </is>
      </c>
      <c r="E184" s="2">
        <f>COUNTIFS('Base de Dados'!D:D,A184,'Base de Dados'!E:E,B184,'Base de Dados'!I:I,"Estratégico")</f>
        <v/>
      </c>
      <c r="F184" s="2">
        <f>COUNTIFS('Base de Dados'!D:D,A184,'Base de Dados'!E:E,B184,'Base de Dados'!I:I,"Forte")</f>
        <v/>
      </c>
      <c r="G184" s="2">
        <f>COUNTIFS('Base de Dados'!D:D,A184,'Base de Dados'!E:E,B184,'Base de Dados'!I:I,"Médio")</f>
        <v/>
      </c>
      <c r="H184" s="2">
        <f>COUNTIFS('Base de Dados'!D:D,A184,'Base de Dados'!E:E,B184,'Base de Dados'!I:I,"Pontual")</f>
        <v/>
      </c>
      <c r="I184" s="2">
        <f>IF(C184&gt;=5,"Cluster Grande (5+)",IF(C184&gt;=3,"Cluster Médio (3-4)",IF(C184&gt;=2,"Cluster Pequeno (2)","Cliente Isolado (1)")))</f>
        <v/>
      </c>
    </row>
    <row r="185">
      <c r="A185" s="2" t="inlineStr">
        <is>
          <t>PA</t>
        </is>
      </c>
      <c r="B185" s="4" t="inlineStr">
        <is>
          <t>ABAETETUBA</t>
        </is>
      </c>
      <c r="C185" s="2">
        <f>COUNTIFS('Base de Dados'!D:D,A185,'Base de Dados'!E:E,B185)</f>
        <v/>
      </c>
      <c r="D185" s="4" t="inlineStr">
        <is>
          <t>Rodrigo</t>
        </is>
      </c>
      <c r="E185" s="2">
        <f>COUNTIFS('Base de Dados'!D:D,A185,'Base de Dados'!E:E,B185,'Base de Dados'!I:I,"Estratégico")</f>
        <v/>
      </c>
      <c r="F185" s="2">
        <f>COUNTIFS('Base de Dados'!D:D,A185,'Base de Dados'!E:E,B185,'Base de Dados'!I:I,"Forte")</f>
        <v/>
      </c>
      <c r="G185" s="2">
        <f>COUNTIFS('Base de Dados'!D:D,A185,'Base de Dados'!E:E,B185,'Base de Dados'!I:I,"Médio")</f>
        <v/>
      </c>
      <c r="H185" s="2">
        <f>COUNTIFS('Base de Dados'!D:D,A185,'Base de Dados'!E:E,B185,'Base de Dados'!I:I,"Pontual")</f>
        <v/>
      </c>
      <c r="I185" s="2">
        <f>IF(C185&gt;=5,"Cluster Grande (5+)",IF(C185&gt;=3,"Cluster Médio (3-4)",IF(C185&gt;=2,"Cluster Pequeno (2)","Cliente Isolado (1)")))</f>
        <v/>
      </c>
    </row>
    <row r="186">
      <c r="A186" s="2" t="inlineStr">
        <is>
          <t>PA</t>
        </is>
      </c>
      <c r="B186" s="4" t="inlineStr">
        <is>
          <t>ALENQUER</t>
        </is>
      </c>
      <c r="C186" s="2">
        <f>COUNTIFS('Base de Dados'!D:D,A186,'Base de Dados'!E:E,B186)</f>
        <v/>
      </c>
      <c r="D186" s="4" t="inlineStr">
        <is>
          <t>Rodrigo</t>
        </is>
      </c>
      <c r="E186" s="2">
        <f>COUNTIFS('Base de Dados'!D:D,A186,'Base de Dados'!E:E,B186,'Base de Dados'!I:I,"Estratégico")</f>
        <v/>
      </c>
      <c r="F186" s="2">
        <f>COUNTIFS('Base de Dados'!D:D,A186,'Base de Dados'!E:E,B186,'Base de Dados'!I:I,"Forte")</f>
        <v/>
      </c>
      <c r="G186" s="2">
        <f>COUNTIFS('Base de Dados'!D:D,A186,'Base de Dados'!E:E,B186,'Base de Dados'!I:I,"Médio")</f>
        <v/>
      </c>
      <c r="H186" s="2">
        <f>COUNTIFS('Base de Dados'!D:D,A186,'Base de Dados'!E:E,B186,'Base de Dados'!I:I,"Pontual")</f>
        <v/>
      </c>
      <c r="I186" s="2">
        <f>IF(C186&gt;=5,"Cluster Grande (5+)",IF(C186&gt;=3,"Cluster Médio (3-4)",IF(C186&gt;=2,"Cluster Pequeno (2)","Cliente Isolado (1)")))</f>
        <v/>
      </c>
    </row>
    <row r="187">
      <c r="A187" s="2" t="inlineStr">
        <is>
          <t>PA</t>
        </is>
      </c>
      <c r="B187" s="4" t="inlineStr">
        <is>
          <t>ALTAMIRA</t>
        </is>
      </c>
      <c r="C187" s="2">
        <f>COUNTIFS('Base de Dados'!D:D,A187,'Base de Dados'!E:E,B187)</f>
        <v/>
      </c>
      <c r="D187" s="4" t="inlineStr">
        <is>
          <t>Rodrigo</t>
        </is>
      </c>
      <c r="E187" s="2">
        <f>COUNTIFS('Base de Dados'!D:D,A187,'Base de Dados'!E:E,B187,'Base de Dados'!I:I,"Estratégico")</f>
        <v/>
      </c>
      <c r="F187" s="2">
        <f>COUNTIFS('Base de Dados'!D:D,A187,'Base de Dados'!E:E,B187,'Base de Dados'!I:I,"Forte")</f>
        <v/>
      </c>
      <c r="G187" s="2">
        <f>COUNTIFS('Base de Dados'!D:D,A187,'Base de Dados'!E:E,B187,'Base de Dados'!I:I,"Médio")</f>
        <v/>
      </c>
      <c r="H187" s="2">
        <f>COUNTIFS('Base de Dados'!D:D,A187,'Base de Dados'!E:E,B187,'Base de Dados'!I:I,"Pontual")</f>
        <v/>
      </c>
      <c r="I187" s="2">
        <f>IF(C187&gt;=5,"Cluster Grande (5+)",IF(C187&gt;=3,"Cluster Médio (3-4)",IF(C187&gt;=2,"Cluster Pequeno (2)","Cliente Isolado (1)")))</f>
        <v/>
      </c>
    </row>
    <row r="188">
      <c r="A188" s="2" t="inlineStr">
        <is>
          <t>PA</t>
        </is>
      </c>
      <c r="B188" s="4" t="inlineStr">
        <is>
          <t>ANANINDEUA</t>
        </is>
      </c>
      <c r="C188" s="2">
        <f>COUNTIFS('Base de Dados'!D:D,A188,'Base de Dados'!E:E,B188)</f>
        <v/>
      </c>
      <c r="D188" s="4" t="inlineStr">
        <is>
          <t>Rodrigo</t>
        </is>
      </c>
      <c r="E188" s="2">
        <f>COUNTIFS('Base de Dados'!D:D,A188,'Base de Dados'!E:E,B188,'Base de Dados'!I:I,"Estratégico")</f>
        <v/>
      </c>
      <c r="F188" s="2">
        <f>COUNTIFS('Base de Dados'!D:D,A188,'Base de Dados'!E:E,B188,'Base de Dados'!I:I,"Forte")</f>
        <v/>
      </c>
      <c r="G188" s="2">
        <f>COUNTIFS('Base de Dados'!D:D,A188,'Base de Dados'!E:E,B188,'Base de Dados'!I:I,"Médio")</f>
        <v/>
      </c>
      <c r="H188" s="2">
        <f>COUNTIFS('Base de Dados'!D:D,A188,'Base de Dados'!E:E,B188,'Base de Dados'!I:I,"Pontual")</f>
        <v/>
      </c>
      <c r="I188" s="2">
        <f>IF(C188&gt;=5,"Cluster Grande (5+)",IF(C188&gt;=3,"Cluster Médio (3-4)",IF(C188&gt;=2,"Cluster Pequeno (2)","Cliente Isolado (1)")))</f>
        <v/>
      </c>
    </row>
    <row r="189">
      <c r="A189" s="2" t="inlineStr">
        <is>
          <t>PA</t>
        </is>
      </c>
      <c r="B189" s="4" t="inlineStr">
        <is>
          <t>Ananindeua</t>
        </is>
      </c>
      <c r="C189" s="2">
        <f>COUNTIFS('Base de Dados'!D:D,A189,'Base de Dados'!E:E,B189)</f>
        <v/>
      </c>
      <c r="D189" s="4" t="inlineStr">
        <is>
          <t>Rodrigo</t>
        </is>
      </c>
      <c r="E189" s="2">
        <f>COUNTIFS('Base de Dados'!D:D,A189,'Base de Dados'!E:E,B189,'Base de Dados'!I:I,"Estratégico")</f>
        <v/>
      </c>
      <c r="F189" s="2">
        <f>COUNTIFS('Base de Dados'!D:D,A189,'Base de Dados'!E:E,B189,'Base de Dados'!I:I,"Forte")</f>
        <v/>
      </c>
      <c r="G189" s="2">
        <f>COUNTIFS('Base de Dados'!D:D,A189,'Base de Dados'!E:E,B189,'Base de Dados'!I:I,"Médio")</f>
        <v/>
      </c>
      <c r="H189" s="2">
        <f>COUNTIFS('Base de Dados'!D:D,A189,'Base de Dados'!E:E,B189,'Base de Dados'!I:I,"Pontual")</f>
        <v/>
      </c>
      <c r="I189" s="2">
        <f>IF(C189&gt;=5,"Cluster Grande (5+)",IF(C189&gt;=3,"Cluster Médio (3-4)",IF(C189&gt;=2,"Cluster Pequeno (2)","Cliente Isolado (1)")))</f>
        <v/>
      </c>
    </row>
    <row r="190">
      <c r="A190" s="2" t="inlineStr">
        <is>
          <t>PA</t>
        </is>
      </c>
      <c r="B190" s="4" t="inlineStr">
        <is>
          <t>Augusto Corrêa</t>
        </is>
      </c>
      <c r="C190" s="2">
        <f>COUNTIFS('Base de Dados'!D:D,A190,'Base de Dados'!E:E,B190)</f>
        <v/>
      </c>
      <c r="D190" s="4" t="inlineStr">
        <is>
          <t>Rodrigo</t>
        </is>
      </c>
      <c r="E190" s="2">
        <f>COUNTIFS('Base de Dados'!D:D,A190,'Base de Dados'!E:E,B190,'Base de Dados'!I:I,"Estratégico")</f>
        <v/>
      </c>
      <c r="F190" s="2">
        <f>COUNTIFS('Base de Dados'!D:D,A190,'Base de Dados'!E:E,B190,'Base de Dados'!I:I,"Forte")</f>
        <v/>
      </c>
      <c r="G190" s="2">
        <f>COUNTIFS('Base de Dados'!D:D,A190,'Base de Dados'!E:E,B190,'Base de Dados'!I:I,"Médio")</f>
        <v/>
      </c>
      <c r="H190" s="2">
        <f>COUNTIFS('Base de Dados'!D:D,A190,'Base de Dados'!E:E,B190,'Base de Dados'!I:I,"Pontual")</f>
        <v/>
      </c>
      <c r="I190" s="2">
        <f>IF(C190&gt;=5,"Cluster Grande (5+)",IF(C190&gt;=3,"Cluster Médio (3-4)",IF(C190&gt;=2,"Cluster Pequeno (2)","Cliente Isolado (1)")))</f>
        <v/>
      </c>
    </row>
    <row r="191">
      <c r="A191" s="2" t="inlineStr">
        <is>
          <t>PA</t>
        </is>
      </c>
      <c r="B191" s="4" t="inlineStr">
        <is>
          <t>BARCARENA</t>
        </is>
      </c>
      <c r="C191" s="2">
        <f>COUNTIFS('Base de Dados'!D:D,A191,'Base de Dados'!E:E,B191)</f>
        <v/>
      </c>
      <c r="D191" s="4" t="inlineStr">
        <is>
          <t>Rodrigo</t>
        </is>
      </c>
      <c r="E191" s="2">
        <f>COUNTIFS('Base de Dados'!D:D,A191,'Base de Dados'!E:E,B191,'Base de Dados'!I:I,"Estratégico")</f>
        <v/>
      </c>
      <c r="F191" s="2">
        <f>COUNTIFS('Base de Dados'!D:D,A191,'Base de Dados'!E:E,B191,'Base de Dados'!I:I,"Forte")</f>
        <v/>
      </c>
      <c r="G191" s="2">
        <f>COUNTIFS('Base de Dados'!D:D,A191,'Base de Dados'!E:E,B191,'Base de Dados'!I:I,"Médio")</f>
        <v/>
      </c>
      <c r="H191" s="2">
        <f>COUNTIFS('Base de Dados'!D:D,A191,'Base de Dados'!E:E,B191,'Base de Dados'!I:I,"Pontual")</f>
        <v/>
      </c>
      <c r="I191" s="2">
        <f>IF(C191&gt;=5,"Cluster Grande (5+)",IF(C191&gt;=3,"Cluster Médio (3-4)",IF(C191&gt;=2,"Cluster Pequeno (2)","Cliente Isolado (1)")))</f>
        <v/>
      </c>
    </row>
    <row r="192">
      <c r="A192" s="2" t="inlineStr">
        <is>
          <t>PA</t>
        </is>
      </c>
      <c r="B192" s="4" t="inlineStr">
        <is>
          <t>BELÉM</t>
        </is>
      </c>
      <c r="C192" s="2">
        <f>COUNTIFS('Base de Dados'!D:D,A192,'Base de Dados'!E:E,B192)</f>
        <v/>
      </c>
      <c r="D192" s="4" t="inlineStr">
        <is>
          <t>Rodrigo</t>
        </is>
      </c>
      <c r="E192" s="2">
        <f>COUNTIFS('Base de Dados'!D:D,A192,'Base de Dados'!E:E,B192,'Base de Dados'!I:I,"Estratégico")</f>
        <v/>
      </c>
      <c r="F192" s="2">
        <f>COUNTIFS('Base de Dados'!D:D,A192,'Base de Dados'!E:E,B192,'Base de Dados'!I:I,"Forte")</f>
        <v/>
      </c>
      <c r="G192" s="2">
        <f>COUNTIFS('Base de Dados'!D:D,A192,'Base de Dados'!E:E,B192,'Base de Dados'!I:I,"Médio")</f>
        <v/>
      </c>
      <c r="H192" s="2">
        <f>COUNTIFS('Base de Dados'!D:D,A192,'Base de Dados'!E:E,B192,'Base de Dados'!I:I,"Pontual")</f>
        <v/>
      </c>
      <c r="I192" s="2">
        <f>IF(C192&gt;=5,"Cluster Grande (5+)",IF(C192&gt;=3,"Cluster Médio (3-4)",IF(C192&gt;=2,"Cluster Pequeno (2)","Cliente Isolado (1)")))</f>
        <v/>
      </c>
    </row>
    <row r="193">
      <c r="A193" s="2" t="inlineStr">
        <is>
          <t>PA</t>
        </is>
      </c>
      <c r="B193" s="4" t="inlineStr">
        <is>
          <t>BRASIL NOVO</t>
        </is>
      </c>
      <c r="C193" s="2">
        <f>COUNTIFS('Base de Dados'!D:D,A193,'Base de Dados'!E:E,B193)</f>
        <v/>
      </c>
      <c r="D193" s="4" t="inlineStr">
        <is>
          <t>Rodrigo</t>
        </is>
      </c>
      <c r="E193" s="2">
        <f>COUNTIFS('Base de Dados'!D:D,A193,'Base de Dados'!E:E,B193,'Base de Dados'!I:I,"Estratégico")</f>
        <v/>
      </c>
      <c r="F193" s="2">
        <f>COUNTIFS('Base de Dados'!D:D,A193,'Base de Dados'!E:E,B193,'Base de Dados'!I:I,"Forte")</f>
        <v/>
      </c>
      <c r="G193" s="2">
        <f>COUNTIFS('Base de Dados'!D:D,A193,'Base de Dados'!E:E,B193,'Base de Dados'!I:I,"Médio")</f>
        <v/>
      </c>
      <c r="H193" s="2">
        <f>COUNTIFS('Base de Dados'!D:D,A193,'Base de Dados'!E:E,B193,'Base de Dados'!I:I,"Pontual")</f>
        <v/>
      </c>
      <c r="I193" s="2">
        <f>IF(C193&gt;=5,"Cluster Grande (5+)",IF(C193&gt;=3,"Cluster Médio (3-4)",IF(C193&gt;=2,"Cluster Pequeno (2)","Cliente Isolado (1)")))</f>
        <v/>
      </c>
    </row>
    <row r="194">
      <c r="A194" s="2" t="inlineStr">
        <is>
          <t>PA</t>
        </is>
      </c>
      <c r="B194" s="4" t="inlineStr">
        <is>
          <t>BREVES</t>
        </is>
      </c>
      <c r="C194" s="2">
        <f>COUNTIFS('Base de Dados'!D:D,A194,'Base de Dados'!E:E,B194)</f>
        <v/>
      </c>
      <c r="D194" s="4" t="inlineStr">
        <is>
          <t>Rodrigo</t>
        </is>
      </c>
      <c r="E194" s="2">
        <f>COUNTIFS('Base de Dados'!D:D,A194,'Base de Dados'!E:E,B194,'Base de Dados'!I:I,"Estratégico")</f>
        <v/>
      </c>
      <c r="F194" s="2">
        <f>COUNTIFS('Base de Dados'!D:D,A194,'Base de Dados'!E:E,B194,'Base de Dados'!I:I,"Forte")</f>
        <v/>
      </c>
      <c r="G194" s="2">
        <f>COUNTIFS('Base de Dados'!D:D,A194,'Base de Dados'!E:E,B194,'Base de Dados'!I:I,"Médio")</f>
        <v/>
      </c>
      <c r="H194" s="2">
        <f>COUNTIFS('Base de Dados'!D:D,A194,'Base de Dados'!E:E,B194,'Base de Dados'!I:I,"Pontual")</f>
        <v/>
      </c>
      <c r="I194" s="2">
        <f>IF(C194&gt;=5,"Cluster Grande (5+)",IF(C194&gt;=3,"Cluster Médio (3-4)",IF(C194&gt;=2,"Cluster Pequeno (2)","Cliente Isolado (1)")))</f>
        <v/>
      </c>
    </row>
    <row r="195">
      <c r="A195" s="2" t="inlineStr">
        <is>
          <t>PA</t>
        </is>
      </c>
      <c r="B195" s="4" t="inlineStr">
        <is>
          <t>Belém</t>
        </is>
      </c>
      <c r="C195" s="2">
        <f>COUNTIFS('Base de Dados'!D:D,A195,'Base de Dados'!E:E,B195)</f>
        <v/>
      </c>
      <c r="D195" s="4" t="inlineStr">
        <is>
          <t>Rodrigo</t>
        </is>
      </c>
      <c r="E195" s="2">
        <f>COUNTIFS('Base de Dados'!D:D,A195,'Base de Dados'!E:E,B195,'Base de Dados'!I:I,"Estratégico")</f>
        <v/>
      </c>
      <c r="F195" s="2">
        <f>COUNTIFS('Base de Dados'!D:D,A195,'Base de Dados'!E:E,B195,'Base de Dados'!I:I,"Forte")</f>
        <v/>
      </c>
      <c r="G195" s="2">
        <f>COUNTIFS('Base de Dados'!D:D,A195,'Base de Dados'!E:E,B195,'Base de Dados'!I:I,"Médio")</f>
        <v/>
      </c>
      <c r="H195" s="2">
        <f>COUNTIFS('Base de Dados'!D:D,A195,'Base de Dados'!E:E,B195,'Base de Dados'!I:I,"Pontual")</f>
        <v/>
      </c>
      <c r="I195" s="2">
        <f>IF(C195&gt;=5,"Cluster Grande (5+)",IF(C195&gt;=3,"Cluster Médio (3-4)",IF(C195&gt;=2,"Cluster Pequeno (2)","Cliente Isolado (1)")))</f>
        <v/>
      </c>
    </row>
    <row r="196">
      <c r="A196" s="2" t="inlineStr">
        <is>
          <t>PA</t>
        </is>
      </c>
      <c r="B196" s="4" t="inlineStr">
        <is>
          <t>Bragança</t>
        </is>
      </c>
      <c r="C196" s="2">
        <f>COUNTIFS('Base de Dados'!D:D,A196,'Base de Dados'!E:E,B196)</f>
        <v/>
      </c>
      <c r="D196" s="4" t="inlineStr">
        <is>
          <t>Rodrigo</t>
        </is>
      </c>
      <c r="E196" s="2">
        <f>COUNTIFS('Base de Dados'!D:D,A196,'Base de Dados'!E:E,B196,'Base de Dados'!I:I,"Estratégico")</f>
        <v/>
      </c>
      <c r="F196" s="2">
        <f>COUNTIFS('Base de Dados'!D:D,A196,'Base de Dados'!E:E,B196,'Base de Dados'!I:I,"Forte")</f>
        <v/>
      </c>
      <c r="G196" s="2">
        <f>COUNTIFS('Base de Dados'!D:D,A196,'Base de Dados'!E:E,B196,'Base de Dados'!I:I,"Médio")</f>
        <v/>
      </c>
      <c r="H196" s="2">
        <f>COUNTIFS('Base de Dados'!D:D,A196,'Base de Dados'!E:E,B196,'Base de Dados'!I:I,"Pontual")</f>
        <v/>
      </c>
      <c r="I196" s="2">
        <f>IF(C196&gt;=5,"Cluster Grande (5+)",IF(C196&gt;=3,"Cluster Médio (3-4)",IF(C196&gt;=2,"Cluster Pequeno (2)","Cliente Isolado (1)")))</f>
        <v/>
      </c>
    </row>
    <row r="197">
      <c r="A197" s="2" t="inlineStr">
        <is>
          <t>PA</t>
        </is>
      </c>
      <c r="B197" s="4" t="inlineStr">
        <is>
          <t>CAPANEMA</t>
        </is>
      </c>
      <c r="C197" s="2">
        <f>COUNTIFS('Base de Dados'!D:D,A197,'Base de Dados'!E:E,B197)</f>
        <v/>
      </c>
      <c r="D197" s="4" t="inlineStr">
        <is>
          <t>Rodrigo</t>
        </is>
      </c>
      <c r="E197" s="2">
        <f>COUNTIFS('Base de Dados'!D:D,A197,'Base de Dados'!E:E,B197,'Base de Dados'!I:I,"Estratégico")</f>
        <v/>
      </c>
      <c r="F197" s="2">
        <f>COUNTIFS('Base de Dados'!D:D,A197,'Base de Dados'!E:E,B197,'Base de Dados'!I:I,"Forte")</f>
        <v/>
      </c>
      <c r="G197" s="2">
        <f>COUNTIFS('Base de Dados'!D:D,A197,'Base de Dados'!E:E,B197,'Base de Dados'!I:I,"Médio")</f>
        <v/>
      </c>
      <c r="H197" s="2">
        <f>COUNTIFS('Base de Dados'!D:D,A197,'Base de Dados'!E:E,B197,'Base de Dados'!I:I,"Pontual")</f>
        <v/>
      </c>
      <c r="I197" s="2">
        <f>IF(C197&gt;=5,"Cluster Grande (5+)",IF(C197&gt;=3,"Cluster Médio (3-4)",IF(C197&gt;=2,"Cluster Pequeno (2)","Cliente Isolado (1)")))</f>
        <v/>
      </c>
    </row>
    <row r="198">
      <c r="A198" s="2" t="inlineStr">
        <is>
          <t>PA</t>
        </is>
      </c>
      <c r="B198" s="4" t="inlineStr">
        <is>
          <t>CAPITÃO POÇO</t>
        </is>
      </c>
      <c r="C198" s="2">
        <f>COUNTIFS('Base de Dados'!D:D,A198,'Base de Dados'!E:E,B198)</f>
        <v/>
      </c>
      <c r="D198" s="4" t="inlineStr">
        <is>
          <t>Rodrigo</t>
        </is>
      </c>
      <c r="E198" s="2">
        <f>COUNTIFS('Base de Dados'!D:D,A198,'Base de Dados'!E:E,B198,'Base de Dados'!I:I,"Estratégico")</f>
        <v/>
      </c>
      <c r="F198" s="2">
        <f>COUNTIFS('Base de Dados'!D:D,A198,'Base de Dados'!E:E,B198,'Base de Dados'!I:I,"Forte")</f>
        <v/>
      </c>
      <c r="G198" s="2">
        <f>COUNTIFS('Base de Dados'!D:D,A198,'Base de Dados'!E:E,B198,'Base de Dados'!I:I,"Médio")</f>
        <v/>
      </c>
      <c r="H198" s="2">
        <f>COUNTIFS('Base de Dados'!D:D,A198,'Base de Dados'!E:E,B198,'Base de Dados'!I:I,"Pontual")</f>
        <v/>
      </c>
      <c r="I198" s="2">
        <f>IF(C198&gt;=5,"Cluster Grande (5+)",IF(C198&gt;=3,"Cluster Médio (3-4)",IF(C198&gt;=2,"Cluster Pequeno (2)","Cliente Isolado (1)")))</f>
        <v/>
      </c>
    </row>
    <row r="199">
      <c r="A199" s="2" t="inlineStr">
        <is>
          <t>PA</t>
        </is>
      </c>
      <c r="B199" s="4" t="inlineStr">
        <is>
          <t>CASTANHAL</t>
        </is>
      </c>
      <c r="C199" s="2">
        <f>COUNTIFS('Base de Dados'!D:D,A199,'Base de Dados'!E:E,B199)</f>
        <v/>
      </c>
      <c r="D199" s="4" t="inlineStr">
        <is>
          <t>Rodrigo</t>
        </is>
      </c>
      <c r="E199" s="2">
        <f>COUNTIFS('Base de Dados'!D:D,A199,'Base de Dados'!E:E,B199,'Base de Dados'!I:I,"Estratégico")</f>
        <v/>
      </c>
      <c r="F199" s="2">
        <f>COUNTIFS('Base de Dados'!D:D,A199,'Base de Dados'!E:E,B199,'Base de Dados'!I:I,"Forte")</f>
        <v/>
      </c>
      <c r="G199" s="2">
        <f>COUNTIFS('Base de Dados'!D:D,A199,'Base de Dados'!E:E,B199,'Base de Dados'!I:I,"Médio")</f>
        <v/>
      </c>
      <c r="H199" s="2">
        <f>COUNTIFS('Base de Dados'!D:D,A199,'Base de Dados'!E:E,B199,'Base de Dados'!I:I,"Pontual")</f>
        <v/>
      </c>
      <c r="I199" s="2">
        <f>IF(C199&gt;=5,"Cluster Grande (5+)",IF(C199&gt;=3,"Cluster Médio (3-4)",IF(C199&gt;=2,"Cluster Pequeno (2)","Cliente Isolado (1)")))</f>
        <v/>
      </c>
    </row>
    <row r="200">
      <c r="A200" s="2" t="inlineStr">
        <is>
          <t>PA</t>
        </is>
      </c>
      <c r="B200" s="4" t="inlineStr">
        <is>
          <t>CURRALINHO</t>
        </is>
      </c>
      <c r="C200" s="2">
        <f>COUNTIFS('Base de Dados'!D:D,A200,'Base de Dados'!E:E,B200)</f>
        <v/>
      </c>
      <c r="D200" s="4" t="inlineStr">
        <is>
          <t>Rodrigo</t>
        </is>
      </c>
      <c r="E200" s="2">
        <f>COUNTIFS('Base de Dados'!D:D,A200,'Base de Dados'!E:E,B200,'Base de Dados'!I:I,"Estratégico")</f>
        <v/>
      </c>
      <c r="F200" s="2">
        <f>COUNTIFS('Base de Dados'!D:D,A200,'Base de Dados'!E:E,B200,'Base de Dados'!I:I,"Forte")</f>
        <v/>
      </c>
      <c r="G200" s="2">
        <f>COUNTIFS('Base de Dados'!D:D,A200,'Base de Dados'!E:E,B200,'Base de Dados'!I:I,"Médio")</f>
        <v/>
      </c>
      <c r="H200" s="2">
        <f>COUNTIFS('Base de Dados'!D:D,A200,'Base de Dados'!E:E,B200,'Base de Dados'!I:I,"Pontual")</f>
        <v/>
      </c>
      <c r="I200" s="2">
        <f>IF(C200&gt;=5,"Cluster Grande (5+)",IF(C200&gt;=3,"Cluster Médio (3-4)",IF(C200&gt;=2,"Cluster Pequeno (2)","Cliente Isolado (1)")))</f>
        <v/>
      </c>
    </row>
    <row r="201">
      <c r="A201" s="2" t="inlineStr">
        <is>
          <t>PA</t>
        </is>
      </c>
      <c r="B201" s="4" t="inlineStr">
        <is>
          <t>Canaã dos Carajás</t>
        </is>
      </c>
      <c r="C201" s="2">
        <f>COUNTIFS('Base de Dados'!D:D,A201,'Base de Dados'!E:E,B201)</f>
        <v/>
      </c>
      <c r="D201" s="4" t="inlineStr">
        <is>
          <t>Rodrigo</t>
        </is>
      </c>
      <c r="E201" s="2">
        <f>COUNTIFS('Base de Dados'!D:D,A201,'Base de Dados'!E:E,B201,'Base de Dados'!I:I,"Estratégico")</f>
        <v/>
      </c>
      <c r="F201" s="2">
        <f>COUNTIFS('Base de Dados'!D:D,A201,'Base de Dados'!E:E,B201,'Base de Dados'!I:I,"Forte")</f>
        <v/>
      </c>
      <c r="G201" s="2">
        <f>COUNTIFS('Base de Dados'!D:D,A201,'Base de Dados'!E:E,B201,'Base de Dados'!I:I,"Médio")</f>
        <v/>
      </c>
      <c r="H201" s="2">
        <f>COUNTIFS('Base de Dados'!D:D,A201,'Base de Dados'!E:E,B201,'Base de Dados'!I:I,"Pontual")</f>
        <v/>
      </c>
      <c r="I201" s="2">
        <f>IF(C201&gt;=5,"Cluster Grande (5+)",IF(C201&gt;=3,"Cluster Médio (3-4)",IF(C201&gt;=2,"Cluster Pequeno (2)","Cliente Isolado (1)")))</f>
        <v/>
      </c>
    </row>
    <row r="202">
      <c r="A202" s="2" t="inlineStr">
        <is>
          <t>PA</t>
        </is>
      </c>
      <c r="B202" s="4" t="inlineStr">
        <is>
          <t>GARRAFÃO DO NORTE</t>
        </is>
      </c>
      <c r="C202" s="2">
        <f>COUNTIFS('Base de Dados'!D:D,A202,'Base de Dados'!E:E,B202)</f>
        <v/>
      </c>
      <c r="D202" s="4" t="inlineStr">
        <is>
          <t>Rodrigo</t>
        </is>
      </c>
      <c r="E202" s="2">
        <f>COUNTIFS('Base de Dados'!D:D,A202,'Base de Dados'!E:E,B202,'Base de Dados'!I:I,"Estratégico")</f>
        <v/>
      </c>
      <c r="F202" s="2">
        <f>COUNTIFS('Base de Dados'!D:D,A202,'Base de Dados'!E:E,B202,'Base de Dados'!I:I,"Forte")</f>
        <v/>
      </c>
      <c r="G202" s="2">
        <f>COUNTIFS('Base de Dados'!D:D,A202,'Base de Dados'!E:E,B202,'Base de Dados'!I:I,"Médio")</f>
        <v/>
      </c>
      <c r="H202" s="2">
        <f>COUNTIFS('Base de Dados'!D:D,A202,'Base de Dados'!E:E,B202,'Base de Dados'!I:I,"Pontual")</f>
        <v/>
      </c>
      <c r="I202" s="2">
        <f>IF(C202&gt;=5,"Cluster Grande (5+)",IF(C202&gt;=3,"Cluster Médio (3-4)",IF(C202&gt;=2,"Cluster Pequeno (2)","Cliente Isolado (1)")))</f>
        <v/>
      </c>
    </row>
  </sheetData>
  <autoFilter ref="A1:I2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2026-03-10T19:24:04Z</dcterms:created>
  <dcterms:modified xmlns:dcterms="http://purl.org/dc/terms/" xmlns:xsi="http://www.w3.org/2001/XMLSchema-instance" xsi:type="dcterms:W3CDTF">2026-03-10T19:47:39Z</dcterms:modified>
</cp:coreProperties>
</file>