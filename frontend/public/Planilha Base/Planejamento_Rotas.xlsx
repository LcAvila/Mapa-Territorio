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_avila\Downloads\"/>
    </mc:Choice>
  </mc:AlternateContent>
  <xr:revisionPtr revIDLastSave="0" documentId="13_ncr:1_{1EEB026E-477E-47FE-B7C8-84C66685496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se de Dados" sheetId="1" r:id="rId1"/>
    <sheet name="Resumo Supervisores" sheetId="2" r:id="rId2"/>
    <sheet name="Agenda Semanal" sheetId="3" r:id="rId3"/>
    <sheet name="Roteiro Semanal" sheetId="8" r:id="rId4"/>
    <sheet name="Estatísticas por UF" sheetId="4" r:id="rId5"/>
    <sheet name="Clusters Geográficos" sheetId="9" r:id="rId6"/>
    <sheet name="Clusters Classificação" sheetId="5" r:id="rId7"/>
    <sheet name="Dashboard Executivo" sheetId="6" r:id="rId8"/>
    <sheet name="Supervisor x Semana" sheetId="7" r:id="rId9"/>
  </sheets>
  <definedNames>
    <definedName name="_xlnm._FilterDatabase" localSheetId="0" hidden="1">'Base de Dados'!$A$1:$R$881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D9" i="7"/>
  <c r="C9" i="7"/>
  <c r="B9" i="7"/>
  <c r="E8" i="7"/>
  <c r="D8" i="7"/>
  <c r="C8" i="7"/>
  <c r="B8" i="7"/>
  <c r="F8" i="7" s="1"/>
  <c r="E7" i="7"/>
  <c r="D7" i="7"/>
  <c r="C7" i="7"/>
  <c r="B7" i="7"/>
  <c r="F7" i="7" s="1"/>
  <c r="E6" i="7"/>
  <c r="D6" i="7"/>
  <c r="C6" i="7"/>
  <c r="B6" i="7"/>
  <c r="F6" i="7" s="1"/>
  <c r="E5" i="7"/>
  <c r="D5" i="7"/>
  <c r="C5" i="7"/>
  <c r="B5" i="7"/>
  <c r="F5" i="7" s="1"/>
  <c r="E4" i="7"/>
  <c r="D4" i="7"/>
  <c r="C4" i="7"/>
  <c r="B4" i="7"/>
  <c r="F4" i="7" s="1"/>
  <c r="E3" i="7"/>
  <c r="D3" i="7"/>
  <c r="C3" i="7"/>
  <c r="B3" i="7"/>
  <c r="F3" i="7" s="1"/>
  <c r="E2" i="7"/>
  <c r="E10" i="7" s="1"/>
  <c r="D2" i="7"/>
  <c r="D10" i="7" s="1"/>
  <c r="C2" i="7"/>
  <c r="B2" i="7"/>
  <c r="B20" i="6"/>
  <c r="B19" i="6"/>
  <c r="B18" i="6"/>
  <c r="B17" i="6"/>
  <c r="B16" i="6"/>
  <c r="B12" i="6"/>
  <c r="C12" i="6" s="1"/>
  <c r="B11" i="6"/>
  <c r="C11" i="6" s="1"/>
  <c r="C10" i="6"/>
  <c r="B10" i="6"/>
  <c r="B4" i="6"/>
  <c r="B5" i="5"/>
  <c r="B4" i="5"/>
  <c r="B3" i="5"/>
  <c r="B2" i="5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G17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F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G6" i="4"/>
  <c r="F6" i="4"/>
  <c r="E6" i="4"/>
  <c r="D6" i="4"/>
  <c r="B6" i="4"/>
  <c r="G5" i="4"/>
  <c r="F5" i="4"/>
  <c r="E5" i="4"/>
  <c r="D5" i="4"/>
  <c r="B5" i="4"/>
  <c r="G4" i="4"/>
  <c r="F4" i="4"/>
  <c r="E4" i="4"/>
  <c r="D4" i="4"/>
  <c r="B4" i="4"/>
  <c r="G3" i="4"/>
  <c r="F3" i="4"/>
  <c r="E3" i="4"/>
  <c r="D3" i="4"/>
  <c r="B3" i="4"/>
  <c r="G2" i="4"/>
  <c r="F2" i="4"/>
  <c r="E2" i="4"/>
  <c r="D2" i="4"/>
  <c r="B2" i="4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G2" i="3"/>
  <c r="F2" i="3"/>
  <c r="E2" i="3"/>
  <c r="J9" i="2"/>
  <c r="I9" i="2"/>
  <c r="H9" i="2"/>
  <c r="G9" i="2"/>
  <c r="F9" i="2"/>
  <c r="D9" i="2"/>
  <c r="J8" i="2"/>
  <c r="I8" i="2"/>
  <c r="H8" i="2"/>
  <c r="G8" i="2"/>
  <c r="F8" i="2"/>
  <c r="D8" i="2"/>
  <c r="J7" i="2"/>
  <c r="I7" i="2"/>
  <c r="H7" i="2"/>
  <c r="G7" i="2"/>
  <c r="F7" i="2"/>
  <c r="D7" i="2"/>
  <c r="J6" i="2"/>
  <c r="I6" i="2"/>
  <c r="H6" i="2"/>
  <c r="G6" i="2"/>
  <c r="F6" i="2"/>
  <c r="D6" i="2"/>
  <c r="J5" i="2"/>
  <c r="I5" i="2"/>
  <c r="H5" i="2"/>
  <c r="G5" i="2"/>
  <c r="F5" i="2"/>
  <c r="D5" i="2"/>
  <c r="J4" i="2"/>
  <c r="I4" i="2"/>
  <c r="H4" i="2"/>
  <c r="G4" i="2"/>
  <c r="F4" i="2"/>
  <c r="D4" i="2"/>
  <c r="J3" i="2"/>
  <c r="I3" i="2"/>
  <c r="H3" i="2"/>
  <c r="G3" i="2"/>
  <c r="F3" i="2"/>
  <c r="D3" i="2"/>
  <c r="J2" i="2"/>
  <c r="I2" i="2"/>
  <c r="H2" i="2"/>
  <c r="G2" i="2"/>
  <c r="F2" i="2"/>
  <c r="D2" i="2"/>
  <c r="F9" i="7" l="1"/>
  <c r="C10" i="7"/>
  <c r="C3" i="5"/>
  <c r="C5" i="5"/>
  <c r="B10" i="7"/>
  <c r="C4" i="5"/>
  <c r="C2" i="5"/>
  <c r="B6" i="5"/>
  <c r="F2" i="7"/>
  <c r="F10" i="7" s="1"/>
</calcChain>
</file>

<file path=xl/sharedStrings.xml><?xml version="1.0" encoding="utf-8"?>
<sst xmlns="http://schemas.openxmlformats.org/spreadsheetml/2006/main" count="22437" uniqueCount="6294">
  <si>
    <t>Código</t>
  </si>
  <si>
    <t>Cliente</t>
  </si>
  <si>
    <t>Região</t>
  </si>
  <si>
    <t>UF</t>
  </si>
  <si>
    <t>Cidade</t>
  </si>
  <si>
    <t>Bairro</t>
  </si>
  <si>
    <t>CEP</t>
  </si>
  <si>
    <t>Supervisor</t>
  </si>
  <si>
    <t>Classificação</t>
  </si>
  <si>
    <t>Distância (km)</t>
  </si>
  <si>
    <t>Semana</t>
  </si>
  <si>
    <t>Prioridade</t>
  </si>
  <si>
    <t>Chave</t>
  </si>
  <si>
    <t>PAPELARIA E LIVRARIA FABIJODIV LTDA </t>
  </si>
  <si>
    <t>CENTRO-OESTE</t>
  </si>
  <si>
    <t>DF</t>
  </si>
  <si>
    <t>Brasília</t>
  </si>
  <si>
    <t>TAGUATINGA </t>
  </si>
  <si>
    <t>72130901</t>
  </si>
  <si>
    <t>Andressa</t>
  </si>
  <si>
    <t>Estratégico</t>
  </si>
  <si>
    <t>Semana 1</t>
  </si>
  <si>
    <t>Alta</t>
  </si>
  <si>
    <t>chave 1</t>
  </si>
  <si>
    <t>NOVA ALIANCA ATACADO LTDA </t>
  </si>
  <si>
    <t>72130075</t>
  </si>
  <si>
    <t>chave 2</t>
  </si>
  <si>
    <t>CENTRO BRASILEIRO DE PESQ. AVAL. E SEL. DE PROMOCAO DE EVENTOS-CEBRASPE </t>
  </si>
  <si>
    <t>BRASÍLIA</t>
  </si>
  <si>
    <t>ZONA INDUSTRIAL </t>
  </si>
  <si>
    <t>70632100</t>
  </si>
  <si>
    <t>chave 3</t>
  </si>
  <si>
    <t>PLANETA DO ESTUDANTE PAPELARIA E LIVRARIA LTDA </t>
  </si>
  <si>
    <t>SAMAMBAIA SUL </t>
  </si>
  <si>
    <t>72302537</t>
  </si>
  <si>
    <t>chave 4</t>
  </si>
  <si>
    <t>BENEPAPER COMERCIO DE PAPEIS EIRELI </t>
  </si>
  <si>
    <t>PLANALTINA </t>
  </si>
  <si>
    <t>73350305</t>
  </si>
  <si>
    <t>chave 5</t>
  </si>
  <si>
    <t>DF PAPELARIA LTDA </t>
  </si>
  <si>
    <t>SANTA MARIA </t>
  </si>
  <si>
    <t>72546616</t>
  </si>
  <si>
    <t>chave 6</t>
  </si>
  <si>
    <t>BRASIL PROTEC COMERCIO DE PRODUTOS PARA PROTECAO E SAUDE LTDA </t>
  </si>
  <si>
    <t>ASA NORTE </t>
  </si>
  <si>
    <t>70714900</t>
  </si>
  <si>
    <t>chave 7</t>
  </si>
  <si>
    <t>J L COMERCIO E DISTRIBUICAO DE UTILIDADES DOMESTICAS LTDA </t>
  </si>
  <si>
    <t>72135180</t>
  </si>
  <si>
    <t>chave 8</t>
  </si>
  <si>
    <t>ALR COMERCIO DE INFORMATICA E PAPELARIA LTDA </t>
  </si>
  <si>
    <t>TAGUATINGA NORTE </t>
  </si>
  <si>
    <t>72125535</t>
  </si>
  <si>
    <t>chave 9</t>
  </si>
  <si>
    <t>OMNI COMERCIO E SERVICOS LTDA </t>
  </si>
  <si>
    <t>70610460</t>
  </si>
  <si>
    <t>chave 10</t>
  </si>
  <si>
    <t>ALMEIDA MENDES COM E CURSOS DE ARTES LTDA </t>
  </si>
  <si>
    <t>70722530</t>
  </si>
  <si>
    <t>chave 11</t>
  </si>
  <si>
    <t>ESTILO LIVRARIA E PAPELARIA LTDA </t>
  </si>
  <si>
    <t>ST HAB NACIONAL VICENTE PIRES </t>
  </si>
  <si>
    <t>72001006</t>
  </si>
  <si>
    <t>chave 12</t>
  </si>
  <si>
    <t>LER LIVRARIA E PAPELARIA LTDA </t>
  </si>
  <si>
    <t>GAMA </t>
  </si>
  <si>
    <t>72460235</t>
  </si>
  <si>
    <t>chave 13</t>
  </si>
  <si>
    <t>MARIA SONIA DA SILVA PAPELARIA </t>
  </si>
  <si>
    <t>SAMAMBAIA </t>
  </si>
  <si>
    <t>72308703</t>
  </si>
  <si>
    <t>chave 14</t>
  </si>
  <si>
    <t>D.E. COMERCIO E SERVICOS LTDA </t>
  </si>
  <si>
    <t>SAMAMBAIA NORTE </t>
  </si>
  <si>
    <t>72341104</t>
  </si>
  <si>
    <t>chave 15</t>
  </si>
  <si>
    <t>BOOKSTORE COMERCIAL DE LIVROS LTDA </t>
  </si>
  <si>
    <t>GUARA II </t>
  </si>
  <si>
    <t>71065092</t>
  </si>
  <si>
    <t>chave 16</t>
  </si>
  <si>
    <t>WEB RASTRO TECNOLOGIA E SUPRIMENTOS LTDA </t>
  </si>
  <si>
    <t>ASA SUL </t>
  </si>
  <si>
    <t>70381525</t>
  </si>
  <si>
    <t>chave 17</t>
  </si>
  <si>
    <t>MAGAZINE DICASA ON-LINE LTDA </t>
  </si>
  <si>
    <t>GO</t>
  </si>
  <si>
    <t>Goiânia</t>
  </si>
  <si>
    <t>SETOR CENTRAL </t>
  </si>
  <si>
    <t>74023020</t>
  </si>
  <si>
    <t>chave 18</t>
  </si>
  <si>
    <t>IMPORTS SHOP - IMPORTADORA E DISTRIBUIDORA LTDA </t>
  </si>
  <si>
    <t>Valparaíso de Goiás</t>
  </si>
  <si>
    <t>PARQUE ESPLANADA III </t>
  </si>
  <si>
    <t>72876337</t>
  </si>
  <si>
    <t>Pontual</t>
  </si>
  <si>
    <t>Semana 4</t>
  </si>
  <si>
    <t>Normal</t>
  </si>
  <si>
    <t>chave 19</t>
  </si>
  <si>
    <t>OSVALDO ARAUJO COM VAR. DE ART. DE ARMARINHOS LTDA </t>
  </si>
  <si>
    <t>Aparecida de Goiânia</t>
  </si>
  <si>
    <t>VILA BRASILIA </t>
  </si>
  <si>
    <t>74905760</t>
  </si>
  <si>
    <t>chave 20</t>
  </si>
  <si>
    <t>JVC DISTRIBUIDORA LTDA </t>
  </si>
  <si>
    <t>SETOR CAMPINAS </t>
  </si>
  <si>
    <t>74515040</t>
  </si>
  <si>
    <t>chave 21</t>
  </si>
  <si>
    <t>LOJAS BANDEIRANTES LTDA </t>
  </si>
  <si>
    <t>RIO VERDE</t>
  </si>
  <si>
    <t>PARQUE BANDEIRANTES </t>
  </si>
  <si>
    <t>75905650</t>
  </si>
  <si>
    <t>chave 22</t>
  </si>
  <si>
    <t>PRIMAVERA UTILIDADES E PRESENTES LTDA </t>
  </si>
  <si>
    <t>74045080</t>
  </si>
  <si>
    <t>chave 23</t>
  </si>
  <si>
    <t>NOGUEIRA DISTRIBUIDORA ATACADISTA LTDA </t>
  </si>
  <si>
    <t>SET CIDADE JARDIM </t>
  </si>
  <si>
    <t>74425010</t>
  </si>
  <si>
    <t>chave 24</t>
  </si>
  <si>
    <t>GYN ATACADO LTDA </t>
  </si>
  <si>
    <t>GOIÂNIA</t>
  </si>
  <si>
    <t>BRO AEROVIARIO </t>
  </si>
  <si>
    <t>74435050</t>
  </si>
  <si>
    <t>chave 25</t>
  </si>
  <si>
    <t>PAPELARIA DINAMICA LTDA </t>
  </si>
  <si>
    <t>74055100</t>
  </si>
  <si>
    <t>chave 26</t>
  </si>
  <si>
    <t>BARROS ATACADO DISTRIBUICAO E IMPORTACAO LTDA </t>
  </si>
  <si>
    <t>PQ PRIMAVERA </t>
  </si>
  <si>
    <t>74913122</t>
  </si>
  <si>
    <t>chave 27</t>
  </si>
  <si>
    <t>LIVRARIA WR LTDA </t>
  </si>
  <si>
    <t>SETOR BUENO </t>
  </si>
  <si>
    <t>74215040</t>
  </si>
  <si>
    <t>chave 28</t>
  </si>
  <si>
    <t>BOTELHO DISTRIBUIDORA E IMPORTADORA DE PRODUTOS LTDA </t>
  </si>
  <si>
    <t>Itajá</t>
  </si>
  <si>
    <t>CENTRO </t>
  </si>
  <si>
    <t>75815000</t>
  </si>
  <si>
    <t>chave 29</t>
  </si>
  <si>
    <t>LOJAS DO ZINHO LTDA </t>
  </si>
  <si>
    <t>Itumbiara</t>
  </si>
  <si>
    <t>NOVO HORIZONTE </t>
  </si>
  <si>
    <t>75532220</t>
  </si>
  <si>
    <t>chave 30</t>
  </si>
  <si>
    <t>IRACI ROSA DA CUNHA LTDA </t>
  </si>
  <si>
    <t>Alexânia</t>
  </si>
  <si>
    <t>72930000</t>
  </si>
  <si>
    <t>chave 31</t>
  </si>
  <si>
    <t>DANIELLY PAPELARIA E AVIAMENTOS LTDA </t>
  </si>
  <si>
    <t>SETOR GARAVELO </t>
  </si>
  <si>
    <t>74930530</t>
  </si>
  <si>
    <t>chave 32</t>
  </si>
  <si>
    <t>COMERCIAL JRC EIRELI </t>
  </si>
  <si>
    <t>SET CENTRO OESTE </t>
  </si>
  <si>
    <t>74550015</t>
  </si>
  <si>
    <t>chave 33</t>
  </si>
  <si>
    <t>VAREJAO 1 99 RIO VERDE LTDA </t>
  </si>
  <si>
    <t>JARDIM GOIAS </t>
  </si>
  <si>
    <t>75903290</t>
  </si>
  <si>
    <t>chave 34</t>
  </si>
  <si>
    <t>PAPELARIA COLEGIAL LTDA </t>
  </si>
  <si>
    <t>INHUMAS</t>
  </si>
  <si>
    <t>75400000</t>
  </si>
  <si>
    <t>chave 35</t>
  </si>
  <si>
    <t>ATUAL PAPELARIA E INFORMATICA LTDA </t>
  </si>
  <si>
    <t>SETOR JARDIM LUZ </t>
  </si>
  <si>
    <t>74915015</t>
  </si>
  <si>
    <t>chave 36</t>
  </si>
  <si>
    <t>FERNANDES &amp; CASAGRANDE LTDA </t>
  </si>
  <si>
    <t>Luziânia</t>
  </si>
  <si>
    <t>72800200</t>
  </si>
  <si>
    <t>chave 37</t>
  </si>
  <si>
    <t>MODERNA PAPELARIA LTDA </t>
  </si>
  <si>
    <t>SET PERIM CONTINUACAO </t>
  </si>
  <si>
    <t>74580850</t>
  </si>
  <si>
    <t>chave 38</t>
  </si>
  <si>
    <t>HELBRAZ COMERCIO DE PAPELARIA LTDA </t>
  </si>
  <si>
    <t>PARQUE AMAZONIA </t>
  </si>
  <si>
    <t>74465539</t>
  </si>
  <si>
    <t>chave 39</t>
  </si>
  <si>
    <t>O MUNDO DO ESTUDANTE LIVRARIA, PAPELARIA E INFORMATICA LTDA </t>
  </si>
  <si>
    <t>AGUAS LINDAS DE GOIAS</t>
  </si>
  <si>
    <t>JARDIM BRASILIA </t>
  </si>
  <si>
    <t>72915111</t>
  </si>
  <si>
    <t>chave 40</t>
  </si>
  <si>
    <t>COMERCIAL NOVA ESPERANCA LTDA </t>
  </si>
  <si>
    <t>ITUMBIARA</t>
  </si>
  <si>
    <t>SOCIAL </t>
  </si>
  <si>
    <t>75510165</t>
  </si>
  <si>
    <t>chave 41</t>
  </si>
  <si>
    <t>GILDEAN A DA SILVA LTDA </t>
  </si>
  <si>
    <t>JARDIM LUZ </t>
  </si>
  <si>
    <t>chave 42</t>
  </si>
  <si>
    <t>JK PAPELARIA E DISTRIBUIDORA LTDA </t>
  </si>
  <si>
    <t>Anápolis</t>
  </si>
  <si>
    <t>JK NOVA CAPITAL </t>
  </si>
  <si>
    <t>75114323</t>
  </si>
  <si>
    <t>chave 43</t>
  </si>
  <si>
    <t>PAPELARIA &amp; LIVRARIA UNIVERSO LTDA </t>
  </si>
  <si>
    <t>SETOR SUL </t>
  </si>
  <si>
    <t>74093300</t>
  </si>
  <si>
    <t>chave 44</t>
  </si>
  <si>
    <t>VALTER NUNES DA SERRA &amp; CIA LTDA </t>
  </si>
  <si>
    <t>Itaberaí</t>
  </si>
  <si>
    <t>VILA PROGRESSO </t>
  </si>
  <si>
    <t>76630000</t>
  </si>
  <si>
    <t>chave 45</t>
  </si>
  <si>
    <t>PAPELARIA SANTOS E SILVA LTDA </t>
  </si>
  <si>
    <t>ITAPACI</t>
  </si>
  <si>
    <t>ST AEROPORTO </t>
  </si>
  <si>
    <t>76360000</t>
  </si>
  <si>
    <t>chave 46</t>
  </si>
  <si>
    <t>VIANNA E RODRIGUES PAPELARIA LTDA </t>
  </si>
  <si>
    <t>PARQUE RIO BRANCO </t>
  </si>
  <si>
    <t>72870004</t>
  </si>
  <si>
    <t>chave 47</t>
  </si>
  <si>
    <t>RYALCE DISTRIBUIDORA LTDA </t>
  </si>
  <si>
    <t>JARDIM AMERICA </t>
  </si>
  <si>
    <t>74265280</t>
  </si>
  <si>
    <t>chave 48</t>
  </si>
  <si>
    <t>CC VALPARAISO ALUGUEL DE EQUIP.E COM.DE MAQUINAS LTDA </t>
  </si>
  <si>
    <t>VALPARAISO DE GOIAS</t>
  </si>
  <si>
    <t>MORADA NOBRE </t>
  </si>
  <si>
    <t>72870339</t>
  </si>
  <si>
    <t>chave 49</t>
  </si>
  <si>
    <t>CAMPINAS COMERCIO DE UTILIDADES LTDA </t>
  </si>
  <si>
    <t>74505012</t>
  </si>
  <si>
    <t>chave 50</t>
  </si>
  <si>
    <t>PAULO ROBERTO FERNANDES &amp; CIA LTDA </t>
  </si>
  <si>
    <t>MS</t>
  </si>
  <si>
    <t>CAMPO GRANDE</t>
  </si>
  <si>
    <t>79002180</t>
  </si>
  <si>
    <t>Yan Aragão</t>
  </si>
  <si>
    <t>chave 51</t>
  </si>
  <si>
    <t>COMERCIAL DE UTIL.DOM.MATEPLAS LTDA </t>
  </si>
  <si>
    <t>VILA RICA </t>
  </si>
  <si>
    <t>79002391</t>
  </si>
  <si>
    <t>chave 52</t>
  </si>
  <si>
    <t>S M F PERDOMO LTDA </t>
  </si>
  <si>
    <t>Naviraí</t>
  </si>
  <si>
    <t>PORTO RESIDENCE </t>
  </si>
  <si>
    <t>79950000</t>
  </si>
  <si>
    <t>Semana 2</t>
  </si>
  <si>
    <t>chave 53</t>
  </si>
  <si>
    <t>SPORTS EMPORIO, PAPELARIA E INFORMATICA LTDA </t>
  </si>
  <si>
    <t>Corumbá</t>
  </si>
  <si>
    <t>79300006</t>
  </si>
  <si>
    <t>chave 54</t>
  </si>
  <si>
    <t>LMZ COMERCIO DE ARTIGOS PARA ESCRITORIO LTDA </t>
  </si>
  <si>
    <t>VILA ALBUQUERQUE </t>
  </si>
  <si>
    <t>79060120</t>
  </si>
  <si>
    <t>chave 55</t>
  </si>
  <si>
    <t>FABIO MARQUEZE VENTURIN </t>
  </si>
  <si>
    <t>JARDIM LEBLON </t>
  </si>
  <si>
    <t>79092012</t>
  </si>
  <si>
    <t>chave 56</t>
  </si>
  <si>
    <t>LAPISMANIA PAPELARIA CRIATIVA LTDA </t>
  </si>
  <si>
    <t>RESIDENCIAL DAMHA II </t>
  </si>
  <si>
    <t>79046052</t>
  </si>
  <si>
    <t>chave 57</t>
  </si>
  <si>
    <t>POESY AVIAMENTOS E PAPELARIA LTDA </t>
  </si>
  <si>
    <t>MT</t>
  </si>
  <si>
    <t>Cuiabá</t>
  </si>
  <si>
    <t>CENTRO SUL </t>
  </si>
  <si>
    <t>78020600</t>
  </si>
  <si>
    <t>chave 58</t>
  </si>
  <si>
    <t>V.CONCEICAO SILVA &amp; CIA LTDA </t>
  </si>
  <si>
    <t>PORTO </t>
  </si>
  <si>
    <t>78025032</t>
  </si>
  <si>
    <t>Semana 3</t>
  </si>
  <si>
    <t>chave 59</t>
  </si>
  <si>
    <t>HC COMERCIO DE PAPEIS LTDA </t>
  </si>
  <si>
    <t>ALTA FLORESTA</t>
  </si>
  <si>
    <t>SETOR C </t>
  </si>
  <si>
    <t>78580000</t>
  </si>
  <si>
    <t>chave 60</t>
  </si>
  <si>
    <t>GRAFFITE COM E SERV DE INFORMATICA LTDA </t>
  </si>
  <si>
    <t>Várzea Grande</t>
  </si>
  <si>
    <t>CENTRO NORTE </t>
  </si>
  <si>
    <t>78110400</t>
  </si>
  <si>
    <t>chave 61</t>
  </si>
  <si>
    <t>MASTERIT PAPELARIA LTDA </t>
  </si>
  <si>
    <t>CONFRESA</t>
  </si>
  <si>
    <t>78652000</t>
  </si>
  <si>
    <t>chave 62</t>
  </si>
  <si>
    <t>LIVRARIA E PAPELARIA PRIMAVERA LTDA </t>
  </si>
  <si>
    <t>PRIMAVERA DO LESTE</t>
  </si>
  <si>
    <t>78850000</t>
  </si>
  <si>
    <t>chave 63</t>
  </si>
  <si>
    <t>ESTUDANTE COMERCIO DE ARTIGOS DE PAPELARIA LTDA </t>
  </si>
  <si>
    <t>SINOP</t>
  </si>
  <si>
    <t>JARDIM BOTANICO </t>
  </si>
  <si>
    <t>78556076</t>
  </si>
  <si>
    <t>chave 64</t>
  </si>
  <si>
    <t>LIVRARIA E PAPELARIA E M LTDA </t>
  </si>
  <si>
    <t>Tangará da Serra</t>
  </si>
  <si>
    <t>78300095</t>
  </si>
  <si>
    <t>chave 65</t>
  </si>
  <si>
    <t>JP PAPELARIA MATERIAS DE INFORMATICA LTDA </t>
  </si>
  <si>
    <t>CRISTO REI </t>
  </si>
  <si>
    <t>78118048</t>
  </si>
  <si>
    <t>chave 66</t>
  </si>
  <si>
    <t>M. DA GUIA FERREIRA MENDES LTDA </t>
  </si>
  <si>
    <t>JARDIM HORIZONTE </t>
  </si>
  <si>
    <t>78302116</t>
  </si>
  <si>
    <t>chave 67</t>
  </si>
  <si>
    <t>PERINI FONSECA &amp; FONSECA LTDA </t>
  </si>
  <si>
    <t>Sapezal</t>
  </si>
  <si>
    <t>78365000</t>
  </si>
  <si>
    <t>chave 68</t>
  </si>
  <si>
    <t>BRASIL EMBALAGENS LTDA </t>
  </si>
  <si>
    <t>JARDIM DAS ITAUBAS </t>
  </si>
  <si>
    <t>78556732</t>
  </si>
  <si>
    <t>chave 69</t>
  </si>
  <si>
    <t>V M LIVRARIA E PAPELARIA LTDA </t>
  </si>
  <si>
    <t>JARDIM ACACIA </t>
  </si>
  <si>
    <t>78300011</t>
  </si>
  <si>
    <t>chave 70</t>
  </si>
  <si>
    <t>BATTUTA - COMERCIO DE PRODUTOS PROMOCIONAIS LTDA </t>
  </si>
  <si>
    <t>NOSSA SENHORA APARECIDA </t>
  </si>
  <si>
    <t>78090700</t>
  </si>
  <si>
    <t>chave 71</t>
  </si>
  <si>
    <t>M N DE OLIVEIRA FILHO EIRELI </t>
  </si>
  <si>
    <t>Rondonópolis</t>
  </si>
  <si>
    <t>78700050</t>
  </si>
  <si>
    <t>chave 72</t>
  </si>
  <si>
    <t>CARLOS ANTONIO FERREIRA LTDA </t>
  </si>
  <si>
    <t>Paranatinga</t>
  </si>
  <si>
    <t>78870000</t>
  </si>
  <si>
    <t>chave 73</t>
  </si>
  <si>
    <t>COMERCIAL DE EMBALAGENS DESCARTAVEIS E FESTAS LTDA </t>
  </si>
  <si>
    <t>NORDESTE</t>
  </si>
  <si>
    <t>AL</t>
  </si>
  <si>
    <t>Maceió</t>
  </si>
  <si>
    <t>JATIUCA </t>
  </si>
  <si>
    <t>57035420</t>
  </si>
  <si>
    <t>Rodrigo</t>
  </si>
  <si>
    <t>chave 74</t>
  </si>
  <si>
    <t>N J DOS SANTOS SILVA </t>
  </si>
  <si>
    <t>SANTANA DO IPANEMA</t>
  </si>
  <si>
    <t>57500000</t>
  </si>
  <si>
    <t>chave 75</t>
  </si>
  <si>
    <t>MACHADO ARMARINHOS LTDA </t>
  </si>
  <si>
    <t>Palmeira dos Índios</t>
  </si>
  <si>
    <t>GRACILIANO RAMOS </t>
  </si>
  <si>
    <t>57604595</t>
  </si>
  <si>
    <t>chave 76</t>
  </si>
  <si>
    <t>GENIVALDO DA COSTA QUINTINO </t>
  </si>
  <si>
    <t>ARAPIRACA</t>
  </si>
  <si>
    <t>57300005</t>
  </si>
  <si>
    <t>chave 77</t>
  </si>
  <si>
    <t>LIVRARIA E PAPELARIA CENTRAL LTDA </t>
  </si>
  <si>
    <t>57300310</t>
  </si>
  <si>
    <t>chave 78</t>
  </si>
  <si>
    <t>MERCADAO DAS MIUDEZAS E PAPELARIA LTDA </t>
  </si>
  <si>
    <t>57020220</t>
  </si>
  <si>
    <t>chave 79</t>
  </si>
  <si>
    <t>PAPEL CENTRAL LTDA </t>
  </si>
  <si>
    <t>57020110</t>
  </si>
  <si>
    <t>chave 80</t>
  </si>
  <si>
    <t>VASSOURAS ELO LTDA </t>
  </si>
  <si>
    <t>RIO LARGO</t>
  </si>
  <si>
    <t>PREF.ANTONIO LINS DE SOUZA </t>
  </si>
  <si>
    <t>57100000</t>
  </si>
  <si>
    <t>chave 81</t>
  </si>
  <si>
    <t>A Q ABREU &amp; CIA LTDA </t>
  </si>
  <si>
    <t>Olho d'Água das Flores</t>
  </si>
  <si>
    <t>57442000</t>
  </si>
  <si>
    <t>chave 82</t>
  </si>
  <si>
    <t>ALAN ALVES COSTA </t>
  </si>
  <si>
    <t>57300210</t>
  </si>
  <si>
    <t>chave 83</t>
  </si>
  <si>
    <t>T &amp; S INFORMATICA LTDA </t>
  </si>
  <si>
    <t>DELMIRO GOUVEIA</t>
  </si>
  <si>
    <t>57480000</t>
  </si>
  <si>
    <t>chave 84</t>
  </si>
  <si>
    <t>M DE MELLO SILVA LTDA </t>
  </si>
  <si>
    <t>57600330</t>
  </si>
  <si>
    <t>chave 85</t>
  </si>
  <si>
    <t>L MARQUES PORTELLA LTDA </t>
  </si>
  <si>
    <t>GRUTA DE LOURDES </t>
  </si>
  <si>
    <t>57052675</t>
  </si>
  <si>
    <t>chave 86</t>
  </si>
  <si>
    <t>OSVALDO J DOS SANTOS ARMARINHO </t>
  </si>
  <si>
    <t>Teotônio Vilela</t>
  </si>
  <si>
    <t>57265120</t>
  </si>
  <si>
    <t>chave 87</t>
  </si>
  <si>
    <t>ARNALDO ANDRADE DA SILVA </t>
  </si>
  <si>
    <t>São José da Tapera</t>
  </si>
  <si>
    <t>57445000</t>
  </si>
  <si>
    <t>chave 88</t>
  </si>
  <si>
    <t>SUPERMERCADO COMPRE BEM LTDA </t>
  </si>
  <si>
    <t>Viçosa</t>
  </si>
  <si>
    <t>57700000</t>
  </si>
  <si>
    <t>chave 89</t>
  </si>
  <si>
    <t>PAPELARIA CASA DA COPIA LTDA </t>
  </si>
  <si>
    <t>chave 90</t>
  </si>
  <si>
    <t>MARIA V L DE ARAUJO </t>
  </si>
  <si>
    <t>chave 91</t>
  </si>
  <si>
    <t>VERA LUCIA PEREIRA SOUZA </t>
  </si>
  <si>
    <t>57300620</t>
  </si>
  <si>
    <t>chave 92</t>
  </si>
  <si>
    <t>COMERCIAL DE FERRAGENS SAO LUIS LTDA </t>
  </si>
  <si>
    <t>BA</t>
  </si>
  <si>
    <t>Santo Antônio de Jesus</t>
  </si>
  <si>
    <t>44430116</t>
  </si>
  <si>
    <t>chave 93</t>
  </si>
  <si>
    <t>D.N. PAPELARIA E INFORMATICA LTDA </t>
  </si>
  <si>
    <t>BARRO VERMELHO </t>
  </si>
  <si>
    <t>44437068</t>
  </si>
  <si>
    <t>chave 94</t>
  </si>
  <si>
    <t>PAPELARIA E LIVRARIA MONALIZA LTDA </t>
  </si>
  <si>
    <t>Irecê</t>
  </si>
  <si>
    <t>44900000</t>
  </si>
  <si>
    <t>chave 95</t>
  </si>
  <si>
    <t>PAPELARIA EXTREMO SUL LTDA </t>
  </si>
  <si>
    <t>PORTO SEGURO</t>
  </si>
  <si>
    <t>45810000</t>
  </si>
  <si>
    <t>chave 96</t>
  </si>
  <si>
    <t>JSA MULTIMARCAS LTDA </t>
  </si>
  <si>
    <t>SALVADOR</t>
  </si>
  <si>
    <t>CABULA </t>
  </si>
  <si>
    <t>41150000</t>
  </si>
  <si>
    <t>chave 97</t>
  </si>
  <si>
    <t>LIVRARIA E PAPELARIA BRASILIA LTDA </t>
  </si>
  <si>
    <t>ITABUNA</t>
  </si>
  <si>
    <t>45600171</t>
  </si>
  <si>
    <t>chave 98</t>
  </si>
  <si>
    <t>DUBAI IMPORTADORA E DISTRIBUIDORA LTDA </t>
  </si>
  <si>
    <t>URUGUAI </t>
  </si>
  <si>
    <t>40454260</t>
  </si>
  <si>
    <t>chave 99</t>
  </si>
  <si>
    <t>JOANICE REIS RIOS LTDA </t>
  </si>
  <si>
    <t>Várzea da Roça</t>
  </si>
  <si>
    <t>44635000</t>
  </si>
  <si>
    <t>chave 100</t>
  </si>
  <si>
    <t>VALLE DISTRIBUIDORA LTDA </t>
  </si>
  <si>
    <t>JUAZEIRO</t>
  </si>
  <si>
    <t>ANTONIO CONSELHEIRO </t>
  </si>
  <si>
    <t>48917237</t>
  </si>
  <si>
    <t>chave 101</t>
  </si>
  <si>
    <t>MERCANTE COMERCIO E EMPREENDIMENTOS LTDA </t>
  </si>
  <si>
    <t>Eunápolis</t>
  </si>
  <si>
    <t>45820040</t>
  </si>
  <si>
    <t>chave 102</t>
  </si>
  <si>
    <t>PRIMUS PAPELARIA, MOVEIS E SUPRIMENTOS LTDA </t>
  </si>
  <si>
    <t>Jequié</t>
  </si>
  <si>
    <t>45200250</t>
  </si>
  <si>
    <t>chave 103</t>
  </si>
  <si>
    <t>ITAMAR CASTRO RIBEIRO &amp; CIA LTDA </t>
  </si>
  <si>
    <t>JACOBINA</t>
  </si>
  <si>
    <t>44700000</t>
  </si>
  <si>
    <t>chave 104</t>
  </si>
  <si>
    <t>PAPELARIA STAR LTDA </t>
  </si>
  <si>
    <t>chave 105</t>
  </si>
  <si>
    <t>C Q PASSOS </t>
  </si>
  <si>
    <t>CAMAMU</t>
  </si>
  <si>
    <t>CIDADE ALTA </t>
  </si>
  <si>
    <t>45445000</t>
  </si>
  <si>
    <t>chave 106</t>
  </si>
  <si>
    <t>MUNDO DAS OPCOES ITAMARAJU LTDA </t>
  </si>
  <si>
    <t>Itamaraju</t>
  </si>
  <si>
    <t>45836000</t>
  </si>
  <si>
    <t>chave 107</t>
  </si>
  <si>
    <t>L F A DA SILVA LTDA </t>
  </si>
  <si>
    <t>ALAGOINHAS</t>
  </si>
  <si>
    <t>48000129</t>
  </si>
  <si>
    <t>chave 108</t>
  </si>
  <si>
    <t>A. C. FREITAS </t>
  </si>
  <si>
    <t>CAMAÇARI</t>
  </si>
  <si>
    <t>42800031</t>
  </si>
  <si>
    <t>chave 109</t>
  </si>
  <si>
    <t>R L PARDINHO PAPELARIA </t>
  </si>
  <si>
    <t>FREI CALIXTO </t>
  </si>
  <si>
    <t>chave 110</t>
  </si>
  <si>
    <t>2002 DISTRIBUIDORA E COMERCIO LTDA </t>
  </si>
  <si>
    <t>Camaçari</t>
  </si>
  <si>
    <t>POLOPLAST </t>
  </si>
  <si>
    <t>42801589</t>
  </si>
  <si>
    <t>chave 111</t>
  </si>
  <si>
    <t>OLATY COMERCIO DE PRESENTES E PAPELARIA LTDA </t>
  </si>
  <si>
    <t>FEIRA DE SANTANA</t>
  </si>
  <si>
    <t>44002296</t>
  </si>
  <si>
    <t>chave 112</t>
  </si>
  <si>
    <t>FOX COMERCIO DE PAPEIS E LIVROS LTDA </t>
  </si>
  <si>
    <t>Ilhéus</t>
  </si>
  <si>
    <t>45653000</t>
  </si>
  <si>
    <t>chave 113</t>
  </si>
  <si>
    <t>CASA DAS LOUCAS COM.UTIL.DOMESTICAS LTDA </t>
  </si>
  <si>
    <t>SUSSUARANA </t>
  </si>
  <si>
    <t>41213000</t>
  </si>
  <si>
    <t>chave 114</t>
  </si>
  <si>
    <t>KRETTI &amp; KRETLI LTDA </t>
  </si>
  <si>
    <t>TEIXEIRA DE FREITAS</t>
  </si>
  <si>
    <t>45995152</t>
  </si>
  <si>
    <t>chave 115</t>
  </si>
  <si>
    <t>PAPEL MIX COMERCIO E SERVICOS DE IPIAU LTDA </t>
  </si>
  <si>
    <t>Ipiaú</t>
  </si>
  <si>
    <t>45570000</t>
  </si>
  <si>
    <t>chave 116</t>
  </si>
  <si>
    <t>SX PAPELARIA E COMERCIO LTDA </t>
  </si>
  <si>
    <t>PAULO AFONSO</t>
  </si>
  <si>
    <t>48602010</t>
  </si>
  <si>
    <t>chave 117</t>
  </si>
  <si>
    <t>V ALEXANDRE PINTO LTDA </t>
  </si>
  <si>
    <t>44002528</t>
  </si>
  <si>
    <t>chave 118</t>
  </si>
  <si>
    <t>MARCO ANTONIO SOUZA PASSOS &amp; CIA LTDA </t>
  </si>
  <si>
    <t>chave 119</t>
  </si>
  <si>
    <t>K.E REPRESENTACOES LTDA </t>
  </si>
  <si>
    <t>RIO REAL</t>
  </si>
  <si>
    <t>48330000</t>
  </si>
  <si>
    <t>chave 120</t>
  </si>
  <si>
    <t>DUCA E CATRINQUE LTDA </t>
  </si>
  <si>
    <t>45820050</t>
  </si>
  <si>
    <t>chave 121</t>
  </si>
  <si>
    <t>JOSE LOPES DA SILVA DE POCOS </t>
  </si>
  <si>
    <t>CAMPO FORMOSO</t>
  </si>
  <si>
    <t>44790000</t>
  </si>
  <si>
    <t>chave 122</t>
  </si>
  <si>
    <t>NM PAPELARIA LTDA </t>
  </si>
  <si>
    <t>JAGUAQUARA</t>
  </si>
  <si>
    <t>ENTRONCAMENTO </t>
  </si>
  <si>
    <t>45345000</t>
  </si>
  <si>
    <t>chave 123</t>
  </si>
  <si>
    <t>VANUZIA GERALDA LIMA DA PENHA </t>
  </si>
  <si>
    <t>ITABELA</t>
  </si>
  <si>
    <t>45848000</t>
  </si>
  <si>
    <t>chave 124</t>
  </si>
  <si>
    <t>MARKKO COMERCIO E DISTRIBUICAO LTDA </t>
  </si>
  <si>
    <t>44430088</t>
  </si>
  <si>
    <t>chave 125</t>
  </si>
  <si>
    <t>MAIS PAPEL &amp; CIA LTDA </t>
  </si>
  <si>
    <t>ITABERABA</t>
  </si>
  <si>
    <t>46880000</t>
  </si>
  <si>
    <t>chave 126</t>
  </si>
  <si>
    <t>COMERCIAL ASSIS NOVAIS LTDA </t>
  </si>
  <si>
    <t>SAO LOURENCO </t>
  </si>
  <si>
    <t>45992000</t>
  </si>
  <si>
    <t>chave 127</t>
  </si>
  <si>
    <t>SILVEIRA &amp; SILVEIRA LTDA </t>
  </si>
  <si>
    <t>Vitória da Conquista</t>
  </si>
  <si>
    <t>CRUZEIRO </t>
  </si>
  <si>
    <t>45000390</t>
  </si>
  <si>
    <t>chave 128</t>
  </si>
  <si>
    <t>CARIRI DISTRIBUIDORA E REPRESENTACOES LTDA </t>
  </si>
  <si>
    <t>CE</t>
  </si>
  <si>
    <t>JUAZEIRO DO NORTE</t>
  </si>
  <si>
    <t>LEANDRO BEZERRA DE MENEZES </t>
  </si>
  <si>
    <t>63035215</t>
  </si>
  <si>
    <t>chave 129</t>
  </si>
  <si>
    <t>M. L. MIRANDA GOMES LTDA </t>
  </si>
  <si>
    <t>Massapê</t>
  </si>
  <si>
    <t>62140000</t>
  </si>
  <si>
    <t>chave 130</t>
  </si>
  <si>
    <t>PONTO G DISTRIBUIDORA LTDA </t>
  </si>
  <si>
    <t>FORTALEZA</t>
  </si>
  <si>
    <t>60025000</t>
  </si>
  <si>
    <t>chave 131</t>
  </si>
  <si>
    <t>INFINITY DISTRIBUIDORA LTDA </t>
  </si>
  <si>
    <t>BOA VISTA CASTELAO </t>
  </si>
  <si>
    <t>60867650</t>
  </si>
  <si>
    <t>chave 132</t>
  </si>
  <si>
    <t>A E SILVA ALMEIDA </t>
  </si>
  <si>
    <t>MARACANAU</t>
  </si>
  <si>
    <t>JEREISSATI II </t>
  </si>
  <si>
    <t>61901050</t>
  </si>
  <si>
    <t>chave 133</t>
  </si>
  <si>
    <t>AMS COMERCIAL MULTIMARCAS LTDA </t>
  </si>
  <si>
    <t>63010000</t>
  </si>
  <si>
    <t>chave 134</t>
  </si>
  <si>
    <t>THE NEW CLASSIC LTDA </t>
  </si>
  <si>
    <t>ANTONIO BEZERRA </t>
  </si>
  <si>
    <t>60361130</t>
  </si>
  <si>
    <t>chave 135</t>
  </si>
  <si>
    <t>JR DISTRIBUICOES LTDA </t>
  </si>
  <si>
    <t>SANTA QUITÉRIA</t>
  </si>
  <si>
    <t>EDSON LOBO DE MESQUITA </t>
  </si>
  <si>
    <t>62280000</t>
  </si>
  <si>
    <t>chave 136</t>
  </si>
  <si>
    <t>COMERCIAL BX DE ALIMENTOS LTDA </t>
  </si>
  <si>
    <t>VILA UNIAO </t>
  </si>
  <si>
    <t>60410838</t>
  </si>
  <si>
    <t>chave 137</t>
  </si>
  <si>
    <t>CASA DO ESCRITORIO COMERCIO DE PAPELARIA E ARTIGOS DE PRESENTES LTDA </t>
  </si>
  <si>
    <t>PRAIA DE IRACEMA </t>
  </si>
  <si>
    <t>60060360</t>
  </si>
  <si>
    <t>chave 138</t>
  </si>
  <si>
    <t>MAX ELETRO E MAGAZINE LTDA </t>
  </si>
  <si>
    <t>SENADOR POMPEU</t>
  </si>
  <si>
    <t>CARACARA </t>
  </si>
  <si>
    <t>63600000</t>
  </si>
  <si>
    <t>chave 139</t>
  </si>
  <si>
    <t>LIVRARIA E PAPELARIA PAGUE MENOS LTDA </t>
  </si>
  <si>
    <t>60025130</t>
  </si>
  <si>
    <t>chave 140</t>
  </si>
  <si>
    <t>SANDRA A. RODRIGUES MESQUITA </t>
  </si>
  <si>
    <t>SOBRAL</t>
  </si>
  <si>
    <t>ALTO DO CRISTO </t>
  </si>
  <si>
    <t>62020615</t>
  </si>
  <si>
    <t>chave 141</t>
  </si>
  <si>
    <t>OSMAR P ALBUQUERQUE FILHO </t>
  </si>
  <si>
    <t>CAMOCIM</t>
  </si>
  <si>
    <t>62400000</t>
  </si>
  <si>
    <t>chave 142</t>
  </si>
  <si>
    <t>L S COMERCIAL DE BALAS LTDA </t>
  </si>
  <si>
    <t>Maracanaú</t>
  </si>
  <si>
    <t>DISTRITO INDUSTRIAL </t>
  </si>
  <si>
    <t>61939210</t>
  </si>
  <si>
    <t>chave 143</t>
  </si>
  <si>
    <t>CARVALHO DISTRIBUIDORA DE PROD DE HIGIENE LTDA </t>
  </si>
  <si>
    <t>SALINAS </t>
  </si>
  <si>
    <t>60834170</t>
  </si>
  <si>
    <t>chave 144</t>
  </si>
  <si>
    <t>FESTINFAN COMERCIO VAREJISTA LTDA </t>
  </si>
  <si>
    <t>CAUCAIA</t>
  </si>
  <si>
    <t>61600040</t>
  </si>
  <si>
    <t>chave 145</t>
  </si>
  <si>
    <t>MARQUES LIVRARIA E PAPELARIA LTDA </t>
  </si>
  <si>
    <t>AGUA FRIA </t>
  </si>
  <si>
    <t>60830641</t>
  </si>
  <si>
    <t>chave 146</t>
  </si>
  <si>
    <t>V.M.F.DUARTE </t>
  </si>
  <si>
    <t>61901000</t>
  </si>
  <si>
    <t>chave 147</t>
  </si>
  <si>
    <t>M DE JESUS MARANHAO RODRIGUES </t>
  </si>
  <si>
    <t>62010010</t>
  </si>
  <si>
    <t>chave 148</t>
  </si>
  <si>
    <t>COMERCIAL LOJA DOIS LTDA </t>
  </si>
  <si>
    <t>MA</t>
  </si>
  <si>
    <t>PEDREIRAS</t>
  </si>
  <si>
    <t>65725000</t>
  </si>
  <si>
    <t>chave 149</t>
  </si>
  <si>
    <t>MUNDO DO REAL LTDA </t>
  </si>
  <si>
    <t>Codó</t>
  </si>
  <si>
    <t>65400000</t>
  </si>
  <si>
    <t>chave 150</t>
  </si>
  <si>
    <t>BRASIL ESCOLAR LTDA </t>
  </si>
  <si>
    <t>PINHEIRO</t>
  </si>
  <si>
    <t>65200000</t>
  </si>
  <si>
    <t>chave 151</t>
  </si>
  <si>
    <t>A COLEGIAL LIVRARIA E PAPELARIA LTDA </t>
  </si>
  <si>
    <t>Santa Inês</t>
  </si>
  <si>
    <t>65300046</t>
  </si>
  <si>
    <t>chave 152</t>
  </si>
  <si>
    <t>L C VAZ DISTRIBUIDORA LTDA </t>
  </si>
  <si>
    <t>São Luís</t>
  </si>
  <si>
    <t>65025180</t>
  </si>
  <si>
    <t>chave 153</t>
  </si>
  <si>
    <t>H O CENTER LTDA </t>
  </si>
  <si>
    <t>JD SAO CRISTOVAO II </t>
  </si>
  <si>
    <t>65040120</t>
  </si>
  <si>
    <t>chave 154</t>
  </si>
  <si>
    <t>J C SOUSA PEREIRA LTDA </t>
  </si>
  <si>
    <t>Paço do Lumiar</t>
  </si>
  <si>
    <t>MAIOBAO </t>
  </si>
  <si>
    <t>65130000</t>
  </si>
  <si>
    <t>chave 155</t>
  </si>
  <si>
    <t>RECICLE INFO E PAPELARIA LTDA </t>
  </si>
  <si>
    <t>chave 156</t>
  </si>
  <si>
    <t>CASA VERDE LTDA </t>
  </si>
  <si>
    <t>65010120</t>
  </si>
  <si>
    <t>chave 157</t>
  </si>
  <si>
    <t>J. K. PAPELARIA LTDA </t>
  </si>
  <si>
    <t>CHAPADINHA</t>
  </si>
  <si>
    <t>65500000</t>
  </si>
  <si>
    <t>chave 158</t>
  </si>
  <si>
    <t>ANTONIA BARBOSA LIMA </t>
  </si>
  <si>
    <t>PRESIDENTE DUTRA</t>
  </si>
  <si>
    <t>65760000</t>
  </si>
  <si>
    <t>chave 159</t>
  </si>
  <si>
    <t>MERCATTO DA FESTA LTDA </t>
  </si>
  <si>
    <t>SÃO JOÃO DOS PATOS</t>
  </si>
  <si>
    <t>65665000</t>
  </si>
  <si>
    <t>chave 160</t>
  </si>
  <si>
    <t>PAPIROSSAUROS - LIVRARIA E PAPELARIA LTDA </t>
  </si>
  <si>
    <t>PB</t>
  </si>
  <si>
    <t>SOUSA</t>
  </si>
  <si>
    <t>58800160</t>
  </si>
  <si>
    <t>chave 161</t>
  </si>
  <si>
    <t>JOSE RODRIGUES DA SILVA PAPELARIA </t>
  </si>
  <si>
    <t>JOÃO PESSOA</t>
  </si>
  <si>
    <t>MANGABEIRA </t>
  </si>
  <si>
    <t>58055590</t>
  </si>
  <si>
    <t>chave 162</t>
  </si>
  <si>
    <t>FREITAS &amp; COSTA LTDA </t>
  </si>
  <si>
    <t>GUARABIRA</t>
  </si>
  <si>
    <t>58200000</t>
  </si>
  <si>
    <t>chave 163</t>
  </si>
  <si>
    <t>MARIA EUNICE TERTULINO TAVEIRA </t>
  </si>
  <si>
    <t>CAMPINA GRANDE</t>
  </si>
  <si>
    <t>58102279</t>
  </si>
  <si>
    <t>chave 164</t>
  </si>
  <si>
    <t>MAURILIO DE ALMEIDA MENDES </t>
  </si>
  <si>
    <t>chave 165</t>
  </si>
  <si>
    <t>LEIA COMERCIAL DE LIVROS E MAGAZINE LTDA </t>
  </si>
  <si>
    <t>CAJAZEIRAS</t>
  </si>
  <si>
    <t>58900000</t>
  </si>
  <si>
    <t>chave 166</t>
  </si>
  <si>
    <t>FRANCIVANIA RODRIGUES ALBUQUERQUE E MENEZES </t>
  </si>
  <si>
    <t>POMBAL</t>
  </si>
  <si>
    <t>58840000</t>
  </si>
  <si>
    <t>chave 167</t>
  </si>
  <si>
    <t>ARMARINHO OLIVEIRA COMERCIO LTDA </t>
  </si>
  <si>
    <t>ITABAIANA</t>
  </si>
  <si>
    <t>58360000</t>
  </si>
  <si>
    <t>chave 168</t>
  </si>
  <si>
    <t>SOLANGE AFONSO  DE CARVALHO PEREIRA LTDA </t>
  </si>
  <si>
    <t>PATOS</t>
  </si>
  <si>
    <t>58700410</t>
  </si>
  <si>
    <t>chave 169</t>
  </si>
  <si>
    <t>A CASA DO COLEGIAL MARIA AMELIA LTDA </t>
  </si>
  <si>
    <t>58400085</t>
  </si>
  <si>
    <t>chave 170</t>
  </si>
  <si>
    <t>NOVO LAR DISTRIBUIDORA LTDA </t>
  </si>
  <si>
    <t>58010100</t>
  </si>
  <si>
    <t>chave 171</t>
  </si>
  <si>
    <t>HOZANA MARIA TEIXEIRA MARQUES LIRA </t>
  </si>
  <si>
    <t>João Pessoa</t>
  </si>
  <si>
    <t>TORRE </t>
  </si>
  <si>
    <t>58040020</t>
  </si>
  <si>
    <t>chave 172</t>
  </si>
  <si>
    <t>E ZALMA SOUZA LTDA </t>
  </si>
  <si>
    <t>58400126</t>
  </si>
  <si>
    <t>chave 173</t>
  </si>
  <si>
    <t>VINICIUS MENDONCA SANTOS </t>
  </si>
  <si>
    <t>CRUZ DAS ALMAS </t>
  </si>
  <si>
    <t>58085000</t>
  </si>
  <si>
    <t>chave 174</t>
  </si>
  <si>
    <t>ALBUQUERQUE &amp; ALBUQUERQUE LTDA </t>
  </si>
  <si>
    <t>58400062</t>
  </si>
  <si>
    <t>chave 175</t>
  </si>
  <si>
    <t>IVONALDO DE SA CAVALCANTE </t>
  </si>
  <si>
    <t>Catolé do Rocha</t>
  </si>
  <si>
    <t>58884000</t>
  </si>
  <si>
    <t>chave 176</t>
  </si>
  <si>
    <t>VALDAMI DE MENESES PEREIRA </t>
  </si>
  <si>
    <t>Solânea</t>
  </si>
  <si>
    <t>58225000</t>
  </si>
  <si>
    <t>chave 177</t>
  </si>
  <si>
    <t>LICIA ROCHA DE MEDEIROS GUEDES </t>
  </si>
  <si>
    <t>58700070</t>
  </si>
  <si>
    <t>chave 178</t>
  </si>
  <si>
    <t>4J COMERCIO DE ARTIGOS DE PAP. E DESCARTAVEIS LTDA </t>
  </si>
  <si>
    <t>ERNESTO GEISEL </t>
  </si>
  <si>
    <t>58075390</t>
  </si>
  <si>
    <t>chave 179</t>
  </si>
  <si>
    <t>COSTA GONDIM &amp; CIA LTDA </t>
  </si>
  <si>
    <t>58013370</t>
  </si>
  <si>
    <t>chave 180</t>
  </si>
  <si>
    <t>FABIANA MENDES LINS MODA UTILIDADES </t>
  </si>
  <si>
    <t>chave 181</t>
  </si>
  <si>
    <t>JOSE HUMBERTO ROMAO DA SILVA </t>
  </si>
  <si>
    <t>SANTA RITA</t>
  </si>
  <si>
    <t>CONJ TIBIRI II </t>
  </si>
  <si>
    <t>58302000</t>
  </si>
  <si>
    <t>chave 182</t>
  </si>
  <si>
    <t>JOSE FLORENTINO DE MELO </t>
  </si>
  <si>
    <t>58701630</t>
  </si>
  <si>
    <t>chave 183</t>
  </si>
  <si>
    <t>DISTRIBUIDORA DADA BIJOUTERIAS LTDA </t>
  </si>
  <si>
    <t>chave 184</t>
  </si>
  <si>
    <t>ANTONIO DE OLIVEIRA LTDA </t>
  </si>
  <si>
    <t>MARI</t>
  </si>
  <si>
    <t>58345000</t>
  </si>
  <si>
    <t>chave 185</t>
  </si>
  <si>
    <t>COMERCIAL DE LINHAS E FIOS LTDA </t>
  </si>
  <si>
    <t>58400002</t>
  </si>
  <si>
    <t>chave 186</t>
  </si>
  <si>
    <t>HC DISTRIBUIDORA LTDA </t>
  </si>
  <si>
    <t>VARJAO </t>
  </si>
  <si>
    <t>58070000</t>
  </si>
  <si>
    <t>chave 187</t>
  </si>
  <si>
    <t>ANTONIO ALFERES PINHEIRO </t>
  </si>
  <si>
    <t>Uiraúna</t>
  </si>
  <si>
    <t>58915000</t>
  </si>
  <si>
    <t>chave 188</t>
  </si>
  <si>
    <t>DANNY MAGAZINE COMERCIO VAREJISTA LTDA </t>
  </si>
  <si>
    <t>58300010</t>
  </si>
  <si>
    <t>chave 189</t>
  </si>
  <si>
    <t>PARATY ATACADO E DISTRIBUIDORA LTDA </t>
  </si>
  <si>
    <t>PE</t>
  </si>
  <si>
    <t>FLORESTA</t>
  </si>
  <si>
    <t>56400000</t>
  </si>
  <si>
    <t>chave 190</t>
  </si>
  <si>
    <t>SEDE DAS MIUDEZAS ATACADO LTDA </t>
  </si>
  <si>
    <t>RECIFE</t>
  </si>
  <si>
    <t>IMBIRIBEIRA </t>
  </si>
  <si>
    <t>51160140</t>
  </si>
  <si>
    <t>chave 191</t>
  </si>
  <si>
    <t>JOAO DUQUE COMERCIAL LTDA </t>
  </si>
  <si>
    <t>SERRA TALHADA</t>
  </si>
  <si>
    <t>N.SENHORA DA PENHA </t>
  </si>
  <si>
    <t>56903510</t>
  </si>
  <si>
    <t>chave 192</t>
  </si>
  <si>
    <t>F MACIEL LTDA </t>
  </si>
  <si>
    <t>BELO JARDIM</t>
  </si>
  <si>
    <t>55150110</t>
  </si>
  <si>
    <t>chave 193</t>
  </si>
  <si>
    <t>FL DISTRIBUIDORA DE HIGIENE E LIMPEZA LTDA </t>
  </si>
  <si>
    <t>VARZEA </t>
  </si>
  <si>
    <t>50740120</t>
  </si>
  <si>
    <t>chave 194</t>
  </si>
  <si>
    <t>CLECIO DE N BARROS </t>
  </si>
  <si>
    <t>São José do Belmonte</t>
  </si>
  <si>
    <t>56950000</t>
  </si>
  <si>
    <t>chave 195</t>
  </si>
  <si>
    <t>LUZIMAR VIEIRA BRAINER PAPELARIA </t>
  </si>
  <si>
    <t>Jaboatão dos Guararapes</t>
  </si>
  <si>
    <t>CAVALEIRO </t>
  </si>
  <si>
    <t>54250370</t>
  </si>
  <si>
    <t>chave 196</t>
  </si>
  <si>
    <t>MARIA RITA DA SILVA BATISTA </t>
  </si>
  <si>
    <t>CARUARU</t>
  </si>
  <si>
    <t>NOSS SENHORA DAS DORES </t>
  </si>
  <si>
    <t>55004120</t>
  </si>
  <si>
    <t>chave 197</t>
  </si>
  <si>
    <t>ZL COMERCIO LTDA </t>
  </si>
  <si>
    <t>Garanhuns</t>
  </si>
  <si>
    <t>55293110</t>
  </si>
  <si>
    <t>chave 198</t>
  </si>
  <si>
    <t>R D G DA SILVA LTDA </t>
  </si>
  <si>
    <t>PETROPOLIS </t>
  </si>
  <si>
    <t>55030580</t>
  </si>
  <si>
    <t>chave 199</t>
  </si>
  <si>
    <t>AVELAR RAMOS DE BRITO </t>
  </si>
  <si>
    <t>PETROLINA</t>
  </si>
  <si>
    <t>56302320</t>
  </si>
  <si>
    <t>chave 200</t>
  </si>
  <si>
    <t>MARCOS AURELIO B MAGALHAES </t>
  </si>
  <si>
    <t>IBIMIRIM</t>
  </si>
  <si>
    <t>56580000</t>
  </si>
  <si>
    <t>chave 201</t>
  </si>
  <si>
    <t>MARCOS VARIEDADES LTDA </t>
  </si>
  <si>
    <t>CARPINA</t>
  </si>
  <si>
    <t>SAO SEBASTIAO </t>
  </si>
  <si>
    <t>55818595</t>
  </si>
  <si>
    <t>chave 202</t>
  </si>
  <si>
    <t>MULT COMERCIO DE PRODUTOS DE PAPELARIA LTDA </t>
  </si>
  <si>
    <t>CASA AMARELA </t>
  </si>
  <si>
    <t>52070060</t>
  </si>
  <si>
    <t>chave 203</t>
  </si>
  <si>
    <t>H RIO COM DE MAT DE ESCR E PAP LTDA </t>
  </si>
  <si>
    <t>JARDIM AMAZONAS </t>
  </si>
  <si>
    <t>56318410</t>
  </si>
  <si>
    <t>chave 204</t>
  </si>
  <si>
    <t>PAPELARIA DELGADO LTDA </t>
  </si>
  <si>
    <t>OURICURI</t>
  </si>
  <si>
    <t>56200000</t>
  </si>
  <si>
    <t>chave 205</t>
  </si>
  <si>
    <t>E. M. PAPELARIA, ELETRONICOS E INFORMATICA LTDA </t>
  </si>
  <si>
    <t>PALMARES</t>
  </si>
  <si>
    <t>55540000</t>
  </si>
  <si>
    <t>chave 206</t>
  </si>
  <si>
    <t>MUNDO DO REAL PETROLINA LTDA </t>
  </si>
  <si>
    <t>56304001</t>
  </si>
  <si>
    <t>chave 207</t>
  </si>
  <si>
    <t>MANOEL CORDEIRO &amp; CIA LTDA </t>
  </si>
  <si>
    <t>Timbaúba</t>
  </si>
  <si>
    <t>55870000</t>
  </si>
  <si>
    <t>chave 208</t>
  </si>
  <si>
    <t>ERLANIA VIEIRA DA SILVA </t>
  </si>
  <si>
    <t>GARANHUNS</t>
  </si>
  <si>
    <t>SANTO ANTONIO </t>
  </si>
  <si>
    <t>55293460</t>
  </si>
  <si>
    <t>chave 209</t>
  </si>
  <si>
    <t>LIVRARIA E PAPELARIA DOM AUGUSTO LTDA </t>
  </si>
  <si>
    <t>chave 210</t>
  </si>
  <si>
    <t>A M H AVELINO ARMARINHO </t>
  </si>
  <si>
    <t>PESQUEIRA</t>
  </si>
  <si>
    <t>55200000</t>
  </si>
  <si>
    <t>chave 211</t>
  </si>
  <si>
    <t>MS MAGAZINE LTDA </t>
  </si>
  <si>
    <t>CAMARAGIBE</t>
  </si>
  <si>
    <t>BAIRRO NOVO DO CARMELO </t>
  </si>
  <si>
    <t>54759000</t>
  </si>
  <si>
    <t>chave 212</t>
  </si>
  <si>
    <t>DS SUPRIMENTOS LTDA </t>
  </si>
  <si>
    <t>KM 2 </t>
  </si>
  <si>
    <t>56308340</t>
  </si>
  <si>
    <t>chave 213</t>
  </si>
  <si>
    <t>CASA ANDRADE LTDA </t>
  </si>
  <si>
    <t>GOIANA</t>
  </si>
  <si>
    <t>55900000</t>
  </si>
  <si>
    <t>chave 214</t>
  </si>
  <si>
    <t>J LOPES SIQUEIRA </t>
  </si>
  <si>
    <t>IGARASSU</t>
  </si>
  <si>
    <t>53610600</t>
  </si>
  <si>
    <t>chave 215</t>
  </si>
  <si>
    <t>JOAO BOSCO LEITE - LIVRARIA E PAPELARIA </t>
  </si>
  <si>
    <t>NOSSA SENHORA DAS DORES </t>
  </si>
  <si>
    <t>55002200</t>
  </si>
  <si>
    <t>chave 216</t>
  </si>
  <si>
    <t>LIVRARIA E PAPELARIA GLOBO LTDA </t>
  </si>
  <si>
    <t>Palmares</t>
  </si>
  <si>
    <t>SANTA ROSA </t>
  </si>
  <si>
    <t>chave 217</t>
  </si>
  <si>
    <t>SUPRA DISTRIBUIDORA DE MATERIAIS HOSPITALARES LTDA </t>
  </si>
  <si>
    <t>Recife</t>
  </si>
  <si>
    <t>AREIAS </t>
  </si>
  <si>
    <t>50781130</t>
  </si>
  <si>
    <t>chave 218</t>
  </si>
  <si>
    <t>PRESSAO TOTAL VARIEDADES LTDA </t>
  </si>
  <si>
    <t>Águas Belas</t>
  </si>
  <si>
    <t>55340000</t>
  </si>
  <si>
    <t>chave 219</t>
  </si>
  <si>
    <t>J.B. MACEDO COMERCIO DE VARIEDADES LTDA </t>
  </si>
  <si>
    <t>chave 220</t>
  </si>
  <si>
    <t>G D SANTOS CARVALHO </t>
  </si>
  <si>
    <t>BOM CONSELHO</t>
  </si>
  <si>
    <t>55330000</t>
  </si>
  <si>
    <t>chave 221</t>
  </si>
  <si>
    <t>S E D COM DE MIUDEZAS E ART P/ PRESENTES LTDA </t>
  </si>
  <si>
    <t>São Lourenço da Mata</t>
  </si>
  <si>
    <t>54735000</t>
  </si>
  <si>
    <t>chave 222</t>
  </si>
  <si>
    <t>K R D COMERCIO DE PAPELARIA LTDA </t>
  </si>
  <si>
    <t>Petrolândia</t>
  </si>
  <si>
    <t>56460000</t>
  </si>
  <si>
    <t>chave 223</t>
  </si>
  <si>
    <t>CLECIANO GOMES DAMASCENO PAPELARIA </t>
  </si>
  <si>
    <t>Afrânio</t>
  </si>
  <si>
    <t>56360000</t>
  </si>
  <si>
    <t>chave 224</t>
  </si>
  <si>
    <t>MUNDIAL COM DE ARM E PAP LTDA </t>
  </si>
  <si>
    <t>SAO JOSE </t>
  </si>
  <si>
    <t>50020000</t>
  </si>
  <si>
    <t>chave 225</t>
  </si>
  <si>
    <t>PAULO DIEGO DOS SANTOS RAMOS </t>
  </si>
  <si>
    <t>chave 226</t>
  </si>
  <si>
    <t>MARIA DA CONCEICAO CAVALCANTI CAMPELO </t>
  </si>
  <si>
    <t>BEZERROS</t>
  </si>
  <si>
    <t>55660000</t>
  </si>
  <si>
    <t>chave 227</t>
  </si>
  <si>
    <t>ROMERO JOSE DE PAIVA </t>
  </si>
  <si>
    <t>Vitória de Santo Antão</t>
  </si>
  <si>
    <t>MATRIZ </t>
  </si>
  <si>
    <t>55602010</t>
  </si>
  <si>
    <t>chave 228</t>
  </si>
  <si>
    <t>CICERA ELENA DE SOUZA SIQUEIRA </t>
  </si>
  <si>
    <t>IPUBI</t>
  </si>
  <si>
    <t>56260000</t>
  </si>
  <si>
    <t>chave 229</t>
  </si>
  <si>
    <t>A MIRLA BEZERRA DA SILVA </t>
  </si>
  <si>
    <t>Afogados da Ingazeira</t>
  </si>
  <si>
    <t>56800000</t>
  </si>
  <si>
    <t>chave 230</t>
  </si>
  <si>
    <t>LOJAS AREIA BRANCA GARANHUNS LTDA </t>
  </si>
  <si>
    <t>55293000</t>
  </si>
  <si>
    <t>chave 231</t>
  </si>
  <si>
    <t>DANIELE TENORIO DA COSTA LTDA </t>
  </si>
  <si>
    <t>55293025</t>
  </si>
  <si>
    <t>chave 232</t>
  </si>
  <si>
    <t>CILENE MARIA SANTOS DA SILVA OLIVEIRA </t>
  </si>
  <si>
    <t>Catende</t>
  </si>
  <si>
    <t>55400000</t>
  </si>
  <si>
    <t>chave 233</t>
  </si>
  <si>
    <t>JOAO ALVES DE LIMA BARROS </t>
  </si>
  <si>
    <t>AABB </t>
  </si>
  <si>
    <t>56903590</t>
  </si>
  <si>
    <t>chave 234</t>
  </si>
  <si>
    <t>UNICA SANEANTES LTDA </t>
  </si>
  <si>
    <t>PAULISTA</t>
  </si>
  <si>
    <t>ENGENHO MARANGUAPE </t>
  </si>
  <si>
    <t>53423623</t>
  </si>
  <si>
    <t>chave 235</t>
  </si>
  <si>
    <t>MARCIO DOS SANTOS MARCOS </t>
  </si>
  <si>
    <t>BREJO DA MADRE DE DEUS</t>
  </si>
  <si>
    <t>SAO DOMINGOS </t>
  </si>
  <si>
    <t>55178000</t>
  </si>
  <si>
    <t>chave 236</t>
  </si>
  <si>
    <t>W DA SILVA CARDOSO PRESENTES </t>
  </si>
  <si>
    <t>IPOJUCA</t>
  </si>
  <si>
    <t>NS DO O </t>
  </si>
  <si>
    <t>55590000</t>
  </si>
  <si>
    <t>chave 237</t>
  </si>
  <si>
    <t>DANIEL CEZAR LOPES DE MORAES </t>
  </si>
  <si>
    <t>BOA VISTA </t>
  </si>
  <si>
    <t>55293270</t>
  </si>
  <si>
    <t>chave 238</t>
  </si>
  <si>
    <t>AQUARELA PAPELARIA E PRESENTES LTDA </t>
  </si>
  <si>
    <t>LAGOA DOS GATOS</t>
  </si>
  <si>
    <t>55450000</t>
  </si>
  <si>
    <t>chave 239</t>
  </si>
  <si>
    <t>RUDIMAR VILELA MACHADO </t>
  </si>
  <si>
    <t>LAJEDO</t>
  </si>
  <si>
    <t>55385000</t>
  </si>
  <si>
    <t>chave 240</t>
  </si>
  <si>
    <t>REGINALDO DE BRITO GONCALVES </t>
  </si>
  <si>
    <t>AFOGADOS DA INGAZEIRA</t>
  </si>
  <si>
    <t>PADRE PEDRO PEREIRA </t>
  </si>
  <si>
    <t>chave 241</t>
  </si>
  <si>
    <t>MARIA JOSIANA DE LIMA </t>
  </si>
  <si>
    <t>LIMOEIRO</t>
  </si>
  <si>
    <t>55700000</t>
  </si>
  <si>
    <t>chave 242</t>
  </si>
  <si>
    <t>H G COMERCIAL LTDA </t>
  </si>
  <si>
    <t>N.SRA.PENHA </t>
  </si>
  <si>
    <t>56903520</t>
  </si>
  <si>
    <t>chave 243</t>
  </si>
  <si>
    <t>ANDRE FERREIRA DE ARRUDA </t>
  </si>
  <si>
    <t>Orobó</t>
  </si>
  <si>
    <t>55745000</t>
  </si>
  <si>
    <t>chave 244</t>
  </si>
  <si>
    <t>LUCIANA SOARES DA SILVA COMERCIO DE VARIEDADES </t>
  </si>
  <si>
    <t>COHAB </t>
  </si>
  <si>
    <t>51270570</t>
  </si>
  <si>
    <t>chave 245</t>
  </si>
  <si>
    <t>MJ COMERCIO DE MOVEIS LTDA </t>
  </si>
  <si>
    <t>NOSSA SENHORA DA CONCEICAO </t>
  </si>
  <si>
    <t>53425030</t>
  </si>
  <si>
    <t>chave 246</t>
  </si>
  <si>
    <t>ITAENGA COMERCIO VAREJISTA DE PAPELARIA LTDA </t>
  </si>
  <si>
    <t>LAGOA DO ITAENGA</t>
  </si>
  <si>
    <t>55840000</t>
  </si>
  <si>
    <t>chave 247</t>
  </si>
  <si>
    <t>PAPER BOX DISTRIBUIDORA E SERVICOS LTDA </t>
  </si>
  <si>
    <t>50020060</t>
  </si>
  <si>
    <t>chave 248</t>
  </si>
  <si>
    <t>JACINTO E CALADO COMERCIO DE LIVROS E PAPELARIA LTDA </t>
  </si>
  <si>
    <t>Santa Cruz do Capibaribe</t>
  </si>
  <si>
    <t>55192245</t>
  </si>
  <si>
    <t>chave 249</t>
  </si>
  <si>
    <t>BML COMERCIAL LTDA </t>
  </si>
  <si>
    <t>CASA FORTE </t>
  </si>
  <si>
    <t>52061430</t>
  </si>
  <si>
    <t>chave 250</t>
  </si>
  <si>
    <t>SEVERINO JERONIMO DE MELO </t>
  </si>
  <si>
    <t>ITAMBÉ</t>
  </si>
  <si>
    <t>55920000</t>
  </si>
  <si>
    <t>chave 251</t>
  </si>
  <si>
    <t>LIVRARIA E PAPELARIA BELEM LTDA </t>
  </si>
  <si>
    <t>Belém de São Francisco</t>
  </si>
  <si>
    <t>56440000</t>
  </si>
  <si>
    <t>chave 252</t>
  </si>
  <si>
    <t>RAQUEL LIMA SILVA LTDA </t>
  </si>
  <si>
    <t>chave 253</t>
  </si>
  <si>
    <t>BONBONNIERE CAVALCANTI LTDA </t>
  </si>
  <si>
    <t>DORMENTES</t>
  </si>
  <si>
    <t>56355000</t>
  </si>
  <si>
    <t>chave 254</t>
  </si>
  <si>
    <t>NOGUEIRA &amp; ALENCAR LTDA </t>
  </si>
  <si>
    <t>PI</t>
  </si>
  <si>
    <t>TERESINA</t>
  </si>
  <si>
    <t>SANTA ISABEL </t>
  </si>
  <si>
    <t>64053180</t>
  </si>
  <si>
    <t>chave 255</t>
  </si>
  <si>
    <t>ASA DISTRIBUIDORA LTDA </t>
  </si>
  <si>
    <t>PICARREIRA </t>
  </si>
  <si>
    <t>64055400</t>
  </si>
  <si>
    <t>chave 256</t>
  </si>
  <si>
    <t>FORNECE DISTRIBUIDORA LTDA </t>
  </si>
  <si>
    <t>64000130</t>
  </si>
  <si>
    <t>chave 257</t>
  </si>
  <si>
    <t>REAL PAPELARIA LTDA </t>
  </si>
  <si>
    <t>BOM JESUS</t>
  </si>
  <si>
    <t>64900000</t>
  </si>
  <si>
    <t>chave 258</t>
  </si>
  <si>
    <t>A C S MOURA </t>
  </si>
  <si>
    <t>Simplício Mendes</t>
  </si>
  <si>
    <t>64700000</t>
  </si>
  <si>
    <t>chave 259</t>
  </si>
  <si>
    <t>LOURENCO ALVES TEIXEIRA </t>
  </si>
  <si>
    <t>PIRIPIRI</t>
  </si>
  <si>
    <t>64260000</t>
  </si>
  <si>
    <t>chave 260</t>
  </si>
  <si>
    <t>ALMEIDA REPRESENTACOES E COM. DE MATERIAL ESCOLAR E ALIMENTOS LTDA </t>
  </si>
  <si>
    <t>chave 261</t>
  </si>
  <si>
    <t>INDEPENDENCIA COMERCIAL LTDA </t>
  </si>
  <si>
    <t>RN</t>
  </si>
  <si>
    <t>Mossoró</t>
  </si>
  <si>
    <t>59600520</t>
  </si>
  <si>
    <t>chave 262</t>
  </si>
  <si>
    <t>J P DA SILVA SOUZA ARMARINHO </t>
  </si>
  <si>
    <t>59600190</t>
  </si>
  <si>
    <t>chave 263</t>
  </si>
  <si>
    <t>ABRAHAO MELO MOREIRA PALHANO </t>
  </si>
  <si>
    <t>PAU DOS FERROS</t>
  </si>
  <si>
    <t>59900000</t>
  </si>
  <si>
    <t>chave 264</t>
  </si>
  <si>
    <t>LEDA DE OLIVEIRA DANTAS LTDA </t>
  </si>
  <si>
    <t>São José de Mipibu</t>
  </si>
  <si>
    <t>59162000</t>
  </si>
  <si>
    <t>chave 265</t>
  </si>
  <si>
    <t>SANTO ANTONIO LIVRARIA E PAPELARIA LTDA </t>
  </si>
  <si>
    <t>Caicó</t>
  </si>
  <si>
    <t>59300000</t>
  </si>
  <si>
    <t>chave 266</t>
  </si>
  <si>
    <t>ECONOMIX ATACADO LTDA </t>
  </si>
  <si>
    <t>NATAL</t>
  </si>
  <si>
    <t>ALECRIM </t>
  </si>
  <si>
    <t>59031150</t>
  </si>
  <si>
    <t>chave 267</t>
  </si>
  <si>
    <t>LIDER DISTRIBUIDORA LTDA </t>
  </si>
  <si>
    <t>ASSU</t>
  </si>
  <si>
    <t>59650000</t>
  </si>
  <si>
    <t>chave 268</t>
  </si>
  <si>
    <t>E H M DINIZ </t>
  </si>
  <si>
    <t>DIX SEPT ROSADO </t>
  </si>
  <si>
    <t>59054380</t>
  </si>
  <si>
    <t>chave 269</t>
  </si>
  <si>
    <t>JOSE AILTON PAULO </t>
  </si>
  <si>
    <t>SANTA CRUZ</t>
  </si>
  <si>
    <t>59200000</t>
  </si>
  <si>
    <t>chave 270</t>
  </si>
  <si>
    <t>TECNOVOS IMPORTADOS LTDA </t>
  </si>
  <si>
    <t>59031200</t>
  </si>
  <si>
    <t>chave 271</t>
  </si>
  <si>
    <t>COSTA AQUINO LIMITADA </t>
  </si>
  <si>
    <t>São Miguel</t>
  </si>
  <si>
    <t>59920000</t>
  </si>
  <si>
    <t>chave 272</t>
  </si>
  <si>
    <t>CAMARA CASCUDO COMERCIO DE ATACADO LTDA </t>
  </si>
  <si>
    <t>59025060</t>
  </si>
  <si>
    <t>chave 273</t>
  </si>
  <si>
    <t>MARIO SERGIO ALVES DE OLIVEIRA LTDA </t>
  </si>
  <si>
    <t>PAREDOES </t>
  </si>
  <si>
    <t>59618170</t>
  </si>
  <si>
    <t>chave 274</t>
  </si>
  <si>
    <t>D. M. PEREIRA - ARMARINHO </t>
  </si>
  <si>
    <t>PARNAMIRIM</t>
  </si>
  <si>
    <t>SANTOS REIS </t>
  </si>
  <si>
    <t>59141100</t>
  </si>
  <si>
    <t>chave 275</t>
  </si>
  <si>
    <t>ARTE &amp; SABER COMERCIAL LTDA </t>
  </si>
  <si>
    <t>ABOLICAO </t>
  </si>
  <si>
    <t>59612300</t>
  </si>
  <si>
    <t>chave 276</t>
  </si>
  <si>
    <t>AMORIM &amp; CIA LTDA </t>
  </si>
  <si>
    <t>SAO JOSE DE MIPIBU</t>
  </si>
  <si>
    <t>ZONA DE EXPANSAO </t>
  </si>
  <si>
    <t>chave 277</t>
  </si>
  <si>
    <t>JOSE ELIOMAR HOLANDA DIAS </t>
  </si>
  <si>
    <t>chave 278</t>
  </si>
  <si>
    <t>DADA IMPORTADORA E VARIEDADES LTDA </t>
  </si>
  <si>
    <t>chave 279</t>
  </si>
  <si>
    <t>PAPELARIA CRIATIVA LTDA </t>
  </si>
  <si>
    <t>CANGUARETAMA</t>
  </si>
  <si>
    <t>59190000</t>
  </si>
  <si>
    <t>chave 280</t>
  </si>
  <si>
    <t>ATACADAO DE VARIEDADES HL LTDA </t>
  </si>
  <si>
    <t>SE</t>
  </si>
  <si>
    <t>ARACAJU</t>
  </si>
  <si>
    <t>49010010</t>
  </si>
  <si>
    <t>chave 281</t>
  </si>
  <si>
    <t>A V S SOUTO - PAPELARIA E LIVRARIA </t>
  </si>
  <si>
    <t>ARACAJÚ</t>
  </si>
  <si>
    <t>49010040</t>
  </si>
  <si>
    <t>chave 282</t>
  </si>
  <si>
    <t>SAMIRES TRINDADE DE ALMEIDA </t>
  </si>
  <si>
    <t>ITABAIANINHA</t>
  </si>
  <si>
    <t>49290000</t>
  </si>
  <si>
    <t>chave 283</t>
  </si>
  <si>
    <t>ITA MULTIMARCAS COMERCIO &amp; SERVICOS LTDA </t>
  </si>
  <si>
    <t>Aracajú</t>
  </si>
  <si>
    <t>INDUSTRIAL </t>
  </si>
  <si>
    <t>49065450</t>
  </si>
  <si>
    <t>chave 284</t>
  </si>
  <si>
    <t>R &amp; F MAGAZINE LTDA </t>
  </si>
  <si>
    <t>Estância</t>
  </si>
  <si>
    <t>49200000</t>
  </si>
  <si>
    <t>chave 285</t>
  </si>
  <si>
    <t>CARDOSO &amp; CIA LTDA </t>
  </si>
  <si>
    <t>chave 286</t>
  </si>
  <si>
    <t>LIVRARIA DO ESTUDANTE LTDA </t>
  </si>
  <si>
    <t>LAGARTO</t>
  </si>
  <si>
    <t>49400000</t>
  </si>
  <si>
    <t>chave 287</t>
  </si>
  <si>
    <t>DISTRIBUIDORA GLOBO LTDA </t>
  </si>
  <si>
    <t>49010110</t>
  </si>
  <si>
    <t>chave 288</t>
  </si>
  <si>
    <t>I Z DO NASCIMENTO MATERIAIS ESCOLARES LTDA </t>
  </si>
  <si>
    <t>NORTE</t>
  </si>
  <si>
    <t>AC</t>
  </si>
  <si>
    <t>RIO BRANCO</t>
  </si>
  <si>
    <t>TRIANGULO VELHO </t>
  </si>
  <si>
    <t>69906216</t>
  </si>
  <si>
    <t>chave 289</t>
  </si>
  <si>
    <t>J S CORDEIRO LTDA </t>
  </si>
  <si>
    <t>ESTACAO EXPERIMENTAL </t>
  </si>
  <si>
    <t>69918172</t>
  </si>
  <si>
    <t>chave 290</t>
  </si>
  <si>
    <t>E N LIMA VERDE LTDA </t>
  </si>
  <si>
    <t>CRUZEIRO DO SUL</t>
  </si>
  <si>
    <t>69980000</t>
  </si>
  <si>
    <t>chave 291</t>
  </si>
  <si>
    <t>H &amp; S COMERCIO IMPORTACAO E EXPORTACAO LTDA </t>
  </si>
  <si>
    <t>69908420</t>
  </si>
  <si>
    <t>chave 292</t>
  </si>
  <si>
    <t>G I C CAMELI </t>
  </si>
  <si>
    <t>chave 293</t>
  </si>
  <si>
    <t>R. S. MIRANDA LTDA </t>
  </si>
  <si>
    <t>JARDIM NAZLE </t>
  </si>
  <si>
    <t>69918084</t>
  </si>
  <si>
    <t>chave 294</t>
  </si>
  <si>
    <t>CECIL CONCORDE COMERCIO INDUSTRIA IMP E EXPORTACAO LTDA </t>
  </si>
  <si>
    <t>AM</t>
  </si>
  <si>
    <t>MANAUS</t>
  </si>
  <si>
    <t>69010010</t>
  </si>
  <si>
    <t>chave 295</t>
  </si>
  <si>
    <t>A A LIMA ARTIGOS DE PAPELARIA LTDA </t>
  </si>
  <si>
    <t>CRESPO </t>
  </si>
  <si>
    <t>69073272</t>
  </si>
  <si>
    <t>chave 296</t>
  </si>
  <si>
    <t>R P V DA AMAZONIA LTDA </t>
  </si>
  <si>
    <t>PRACA 14 </t>
  </si>
  <si>
    <t>69020190</t>
  </si>
  <si>
    <t>chave 297</t>
  </si>
  <si>
    <t>JONIVAL COSTA RODRIGUES LTDA </t>
  </si>
  <si>
    <t>CIDADE DE DEUS </t>
  </si>
  <si>
    <t>69099145</t>
  </si>
  <si>
    <t>chave 298</t>
  </si>
  <si>
    <t>IMPORTADORA NOVA OLINDA LTDA </t>
  </si>
  <si>
    <t>69005090</t>
  </si>
  <si>
    <t>chave 299</t>
  </si>
  <si>
    <t>ALVES LIRA LTDA </t>
  </si>
  <si>
    <t>chave 300</t>
  </si>
  <si>
    <t>BIG TRADING E EMPREENDIMENTOS LTDA </t>
  </si>
  <si>
    <t>TARUMA-ACU </t>
  </si>
  <si>
    <t>69041010</t>
  </si>
  <si>
    <t>chave 301</t>
  </si>
  <si>
    <t>REAL COMERCIO DE ARTIGOS DE ARMARINHOS LTDA </t>
  </si>
  <si>
    <t>COLONIA TERRA NOVA </t>
  </si>
  <si>
    <t>69093415</t>
  </si>
  <si>
    <t>chave 302</t>
  </si>
  <si>
    <t>S M COMERCIO DE VARIEDADES LTDA </t>
  </si>
  <si>
    <t>chave 303</t>
  </si>
  <si>
    <t>FABIO SILVA AZEVEDO </t>
  </si>
  <si>
    <t>VILA DA PRATA </t>
  </si>
  <si>
    <t>69030610</t>
  </si>
  <si>
    <t>chave 304</t>
  </si>
  <si>
    <t>METRO IMP. DE ARTIGOS ELETRONICOS LTDA </t>
  </si>
  <si>
    <t>PRACA 14 DE JANEIRO </t>
  </si>
  <si>
    <t>69020040</t>
  </si>
  <si>
    <t>chave 305</t>
  </si>
  <si>
    <t>ILBERTO AFONSO HENTGES </t>
  </si>
  <si>
    <t>Humaitá</t>
  </si>
  <si>
    <t>SAO PEDRO </t>
  </si>
  <si>
    <t>69800000</t>
  </si>
  <si>
    <t>chave 306</t>
  </si>
  <si>
    <t>M C COMERCIO E REPRESENTACOES LTDA </t>
  </si>
  <si>
    <t>JAPIM </t>
  </si>
  <si>
    <t>69076800</t>
  </si>
  <si>
    <t>chave 307</t>
  </si>
  <si>
    <t>J L A HUANCA </t>
  </si>
  <si>
    <t>69005190</t>
  </si>
  <si>
    <t>chave 308</t>
  </si>
  <si>
    <t>F GALVAO COMERCIO IMPORTACAO LIMITDA </t>
  </si>
  <si>
    <t>69005040</t>
  </si>
  <si>
    <t>chave 309</t>
  </si>
  <si>
    <t>C DE F CORREIA LIMA </t>
  </si>
  <si>
    <t>chave 310</t>
  </si>
  <si>
    <t>R G XAVIER GUIMARAES LTDA </t>
  </si>
  <si>
    <t>TARUMA </t>
  </si>
  <si>
    <t>69041772</t>
  </si>
  <si>
    <t>chave 311</t>
  </si>
  <si>
    <t>J LIMA LOBATO LTDA </t>
  </si>
  <si>
    <t>ALVORADA </t>
  </si>
  <si>
    <t>69043670</t>
  </si>
  <si>
    <t>chave 312</t>
  </si>
  <si>
    <t>MALCHER COMERCIO DE ARTIGOS DE UTILIDADES LTDA </t>
  </si>
  <si>
    <t>69005180</t>
  </si>
  <si>
    <t>chave 313</t>
  </si>
  <si>
    <t>C. D. B. DO NASCIMENTO LTDA </t>
  </si>
  <si>
    <t>chave 314</t>
  </si>
  <si>
    <t>M. NOBRE RAMALHO LTDA </t>
  </si>
  <si>
    <t>JORGE TEIXEIRA </t>
  </si>
  <si>
    <t>69088340</t>
  </si>
  <si>
    <t>chave 315</t>
  </si>
  <si>
    <t>JOYCE GUERRA BATISTA MAGALHAES </t>
  </si>
  <si>
    <t>chave 316</t>
  </si>
  <si>
    <t>F N DE SOUSA ARMARINHO </t>
  </si>
  <si>
    <t>PARINTINS</t>
  </si>
  <si>
    <t>69151260</t>
  </si>
  <si>
    <t>chave 317</t>
  </si>
  <si>
    <t>MARCIO PINTO COSTA </t>
  </si>
  <si>
    <t>chave 318</t>
  </si>
  <si>
    <t>A PICANCO DO NASCIMENTO </t>
  </si>
  <si>
    <t>MORRO DA LIBERDADE </t>
  </si>
  <si>
    <t>69074805</t>
  </si>
  <si>
    <t>chave 319</t>
  </si>
  <si>
    <t>FRANK PAPELARIA LTDA </t>
  </si>
  <si>
    <t>69005070</t>
  </si>
  <si>
    <t>chave 320</t>
  </si>
  <si>
    <t>L. R. A. DA MATA LTDA </t>
  </si>
  <si>
    <t>69005080</t>
  </si>
  <si>
    <t>chave 321</t>
  </si>
  <si>
    <t>DARKLE R ARAUJO </t>
  </si>
  <si>
    <t>AP</t>
  </si>
  <si>
    <t>MACAPA</t>
  </si>
  <si>
    <t>CENTRAL </t>
  </si>
  <si>
    <t>68900060</t>
  </si>
  <si>
    <t>chave 322</t>
  </si>
  <si>
    <t>IMPORTADORA GT LTDA </t>
  </si>
  <si>
    <t>SANTANA</t>
  </si>
  <si>
    <t>68925180</t>
  </si>
  <si>
    <t>chave 323</t>
  </si>
  <si>
    <t>AMAFLAM COMERCIO E DISTRIBUICAO LTDA </t>
  </si>
  <si>
    <t>68900015</t>
  </si>
  <si>
    <t>chave 324</t>
  </si>
  <si>
    <t>IBIAPINA VARIEDADES LTDA </t>
  </si>
  <si>
    <t>BURITIZAL </t>
  </si>
  <si>
    <t>68902861</t>
  </si>
  <si>
    <t>chave 325</t>
  </si>
  <si>
    <t>R S IGLESIAS </t>
  </si>
  <si>
    <t>SANTA RITA </t>
  </si>
  <si>
    <t>68900073</t>
  </si>
  <si>
    <t>chave 326</t>
  </si>
  <si>
    <t>F. G. DE SOUSA LTDA </t>
  </si>
  <si>
    <t>68901259</t>
  </si>
  <si>
    <t>chave 327</t>
  </si>
  <si>
    <t>A SALOMAO DE ALMEIDA </t>
  </si>
  <si>
    <t>PACOVAL </t>
  </si>
  <si>
    <t>68908360</t>
  </si>
  <si>
    <t>chave 328</t>
  </si>
  <si>
    <t>A C G DE FARIAS LTDA </t>
  </si>
  <si>
    <t>68900100</t>
  </si>
  <si>
    <t>chave 329</t>
  </si>
  <si>
    <t>E.S.M. E DIAS LTDA </t>
  </si>
  <si>
    <t>BEIROL </t>
  </si>
  <si>
    <t>68902000</t>
  </si>
  <si>
    <t>chave 330</t>
  </si>
  <si>
    <t>PLASMAR - COMERCIO DE PRODUTOS DESCARTAVEIS LTDA </t>
  </si>
  <si>
    <t>COMERCIAL </t>
  </si>
  <si>
    <t>68925076</t>
  </si>
  <si>
    <t>chave 331</t>
  </si>
  <si>
    <t>IMPORTADORA MACAPA RURAL CASA E CONSTRUCAO LTDA </t>
  </si>
  <si>
    <t>PERPETUO SOCORRO </t>
  </si>
  <si>
    <t>68905627</t>
  </si>
  <si>
    <t>chave 332</t>
  </si>
  <si>
    <t>PAPER SHOP LTDA </t>
  </si>
  <si>
    <t>68900098</t>
  </si>
  <si>
    <t>chave 333</t>
  </si>
  <si>
    <t>M A M SOUZA FEITOSA </t>
  </si>
  <si>
    <t>68925001</t>
  </si>
  <si>
    <t>chave 334</t>
  </si>
  <si>
    <t>MAPEL CENTER LTDA </t>
  </si>
  <si>
    <t>68905160</t>
  </si>
  <si>
    <t>chave 335</t>
  </si>
  <si>
    <t>DANYLO M M MENDES </t>
  </si>
  <si>
    <t>chave 336</t>
  </si>
  <si>
    <t>M. A. DE OLIVEIRA COSTA LTDA </t>
  </si>
  <si>
    <t>PA</t>
  </si>
  <si>
    <t>CASTANHAL</t>
  </si>
  <si>
    <t>68743000</t>
  </si>
  <si>
    <t>chave 337</t>
  </si>
  <si>
    <t>A NERES &amp; CIA LTDA </t>
  </si>
  <si>
    <t>Canaã dos Carajás</t>
  </si>
  <si>
    <t>ESTANCIA FELIZ </t>
  </si>
  <si>
    <t>68537000</t>
  </si>
  <si>
    <t>chave 338</t>
  </si>
  <si>
    <t>P C DIAS LTDA </t>
  </si>
  <si>
    <t>BARCARENA</t>
  </si>
  <si>
    <t>68445000</t>
  </si>
  <si>
    <t>chave 339</t>
  </si>
  <si>
    <t>E J COSTA COMERCIO REPRESENTACAO LTDA </t>
  </si>
  <si>
    <t>Santarém</t>
  </si>
  <si>
    <t>PEROLA DO MAICA </t>
  </si>
  <si>
    <t>68046120</t>
  </si>
  <si>
    <t>chave 340</t>
  </si>
  <si>
    <t>A. A. DE SOUZA MELO LTDA </t>
  </si>
  <si>
    <t>URUARA</t>
  </si>
  <si>
    <t>68140000</t>
  </si>
  <si>
    <t>chave 341</t>
  </si>
  <si>
    <t>50.591.548 DOUGLAS MAX ABREU DE JESUS </t>
  </si>
  <si>
    <t>ESTRELA </t>
  </si>
  <si>
    <t>68742243</t>
  </si>
  <si>
    <t>chave 342</t>
  </si>
  <si>
    <t>OPCAO DISTRIBUIDORA EM GERAL LTDA </t>
  </si>
  <si>
    <t>REDENÇÃO</t>
  </si>
  <si>
    <t>SANTOS DUMONT </t>
  </si>
  <si>
    <t>68551060</t>
  </si>
  <si>
    <t>chave 343</t>
  </si>
  <si>
    <t>COMERCIAL CENTRAL LTDA </t>
  </si>
  <si>
    <t>68005000</t>
  </si>
  <si>
    <t>chave 344</t>
  </si>
  <si>
    <t>LUCIMARI ROCHA DOS SANTOS LTDA </t>
  </si>
  <si>
    <t>PARAUAPEBAS</t>
  </si>
  <si>
    <t>CIDADE NOVA </t>
  </si>
  <si>
    <t>68515000</t>
  </si>
  <si>
    <t>chave 345</t>
  </si>
  <si>
    <t>JURANDY F RAMOS LTDA </t>
  </si>
  <si>
    <t>São Miguel do Guamá</t>
  </si>
  <si>
    <t>68660000</t>
  </si>
  <si>
    <t>chave 346</t>
  </si>
  <si>
    <t>COMERCIAL VEREDAS LTDA </t>
  </si>
  <si>
    <t>Marabá</t>
  </si>
  <si>
    <t>SAO FELIX I </t>
  </si>
  <si>
    <t>68506000</t>
  </si>
  <si>
    <t>chave 347</t>
  </si>
  <si>
    <t>M. C. S. SILVA </t>
  </si>
  <si>
    <t>Bragança</t>
  </si>
  <si>
    <t>68600000</t>
  </si>
  <si>
    <t>chave 348</t>
  </si>
  <si>
    <t>NI COMERCIO DE UTILIDADES DOMESTICAS LTDA </t>
  </si>
  <si>
    <t>Ananindeua</t>
  </si>
  <si>
    <t>COQUEIRO </t>
  </si>
  <si>
    <t>67140550</t>
  </si>
  <si>
    <t>chave 349</t>
  </si>
  <si>
    <t>COLMEIA COMERCIO VAREJISTA DE ARTIGOS DE PAPELARIA &amp; VARIEDADES LTDA </t>
  </si>
  <si>
    <t>GUANABARA </t>
  </si>
  <si>
    <t>67010320</t>
  </si>
  <si>
    <t>chave 350</t>
  </si>
  <si>
    <t>R M P DA SILVA LTDA </t>
  </si>
  <si>
    <t>MONTE ALEGRE</t>
  </si>
  <si>
    <t>68220000</t>
  </si>
  <si>
    <t>chave 351</t>
  </si>
  <si>
    <t>MATRIX COMERCIO DE ARTIGOS ESCOLARES LTDA </t>
  </si>
  <si>
    <t>Belém</t>
  </si>
  <si>
    <t>CAMPINA </t>
  </si>
  <si>
    <t>66015020</t>
  </si>
  <si>
    <t>chave 352</t>
  </si>
  <si>
    <t>COMERCIAL MULT VARIEDADES LTDA </t>
  </si>
  <si>
    <t>SANTARÉM</t>
  </si>
  <si>
    <t>68005340</t>
  </si>
  <si>
    <t>chave 353</t>
  </si>
  <si>
    <t>MEL PAPELARIA E PRESENTES LTDA </t>
  </si>
  <si>
    <t>Parauapebas</t>
  </si>
  <si>
    <t>PRIMAVERA </t>
  </si>
  <si>
    <t>chave 354</t>
  </si>
  <si>
    <t>DESCARTAVEIS E ARMARINHO DA FEIRA LTDA </t>
  </si>
  <si>
    <t>Tomé-Açu</t>
  </si>
  <si>
    <t>QUATRO BOCAS </t>
  </si>
  <si>
    <t>68682000</t>
  </si>
  <si>
    <t>chave 355</t>
  </si>
  <si>
    <t>AMAZONIA COMERCIO DE ARTIGOS DE ARMARINHO LTDA </t>
  </si>
  <si>
    <t>68743060</t>
  </si>
  <si>
    <t>chave 356</t>
  </si>
  <si>
    <t>PAPELARIA COPYTEC LTDA </t>
  </si>
  <si>
    <t>CAPITÃO POÇO</t>
  </si>
  <si>
    <t>GOIABARANA </t>
  </si>
  <si>
    <t>68650000</t>
  </si>
  <si>
    <t>chave 357</t>
  </si>
  <si>
    <t>TOP COMERCIO DE UTILIDADES LTDA </t>
  </si>
  <si>
    <t>UNIAO </t>
  </si>
  <si>
    <t>chave 358</t>
  </si>
  <si>
    <t>M C COMERCIO E SERVICO LTDA </t>
  </si>
  <si>
    <t>IANETAMA </t>
  </si>
  <si>
    <t>68744580</t>
  </si>
  <si>
    <t>chave 359</t>
  </si>
  <si>
    <t>PAPELARIA PARA MINAS LTDA </t>
  </si>
  <si>
    <t>VILA DOS CABANOS </t>
  </si>
  <si>
    <t>68447000</t>
  </si>
  <si>
    <t>chave 360</t>
  </si>
  <si>
    <t>PIAU FORMULARIO LTDA </t>
  </si>
  <si>
    <t>ALDEIA </t>
  </si>
  <si>
    <t>68040040</t>
  </si>
  <si>
    <t>chave 361</t>
  </si>
  <si>
    <t>T S SOUZA DE SOUSA </t>
  </si>
  <si>
    <t>ANANINDEUA</t>
  </si>
  <si>
    <t>67013970</t>
  </si>
  <si>
    <t>chave 362</t>
  </si>
  <si>
    <t>V A BESSA LTDA </t>
  </si>
  <si>
    <t>MAGUARI </t>
  </si>
  <si>
    <t>67145290</t>
  </si>
  <si>
    <t>chave 363</t>
  </si>
  <si>
    <t>S &amp; J COMERCIO DE ALIMENTOS E CONFECCOES LTDA </t>
  </si>
  <si>
    <t>PIONEIRO </t>
  </si>
  <si>
    <t>chave 364</t>
  </si>
  <si>
    <t>A R COMERCIAL LTDA </t>
  </si>
  <si>
    <t>DIAMANTINO </t>
  </si>
  <si>
    <t>68010130</t>
  </si>
  <si>
    <t>chave 365</t>
  </si>
  <si>
    <t>APRENDIZ COMERCIO DE PAPELARIA LTDA </t>
  </si>
  <si>
    <t>ABAETETUBA</t>
  </si>
  <si>
    <t>68440000</t>
  </si>
  <si>
    <t>chave 366</t>
  </si>
  <si>
    <t>K LEAL DOS SANTOS COMERCIO E REPRESENTACOES </t>
  </si>
  <si>
    <t>LIBERDADE </t>
  </si>
  <si>
    <t>68040290</t>
  </si>
  <si>
    <t>chave 367</t>
  </si>
  <si>
    <t>BRINK PRESENTES LTDA </t>
  </si>
  <si>
    <t>chave 368</t>
  </si>
  <si>
    <t>L R COELHO CAVALCANTE LTDA </t>
  </si>
  <si>
    <t>chave 369</t>
  </si>
  <si>
    <t>A. R. DA SILVA COMERCIO E SERVICOS LTDA </t>
  </si>
  <si>
    <t>ITAITUBA</t>
  </si>
  <si>
    <t>DO BOM REMEDIO </t>
  </si>
  <si>
    <t>68180660</t>
  </si>
  <si>
    <t>chave 370</t>
  </si>
  <si>
    <t>A S LOPES COM. IND. GRAFICA LTDA </t>
  </si>
  <si>
    <t>Pacajá</t>
  </si>
  <si>
    <t>68485000</t>
  </si>
  <si>
    <t>chave 371</t>
  </si>
  <si>
    <t>JORGE HENRIQUE SANTOS DE SOUSA </t>
  </si>
  <si>
    <t>BRASIL NOVO</t>
  </si>
  <si>
    <t>68148000</t>
  </si>
  <si>
    <t>chave 372</t>
  </si>
  <si>
    <t>J. S. MENDES COMERCIO E SERVICOS LTDA </t>
  </si>
  <si>
    <t>Senador José Porfírio</t>
  </si>
  <si>
    <t>LINHARES </t>
  </si>
  <si>
    <t>68360000</t>
  </si>
  <si>
    <t>chave 373</t>
  </si>
  <si>
    <t>L C POZZER LTDA </t>
  </si>
  <si>
    <t>PARAGOMINAS</t>
  </si>
  <si>
    <t>CELIO MIRANDA / LOTAM. MOD. I </t>
  </si>
  <si>
    <t>68625130</t>
  </si>
  <si>
    <t>chave 374</t>
  </si>
  <si>
    <t>A C BARROS SERVICOS LTDA </t>
  </si>
  <si>
    <t>chave 375</t>
  </si>
  <si>
    <t>REDE SUPERMERCADO MAIS BARATO LTDA </t>
  </si>
  <si>
    <t>BELÉM</t>
  </si>
  <si>
    <t>TAPANA </t>
  </si>
  <si>
    <t>66825010</t>
  </si>
  <si>
    <t>chave 376</t>
  </si>
  <si>
    <t>D W LIMA AGUIAR LTDA </t>
  </si>
  <si>
    <t>68005290</t>
  </si>
  <si>
    <t>chave 377</t>
  </si>
  <si>
    <t>ANA VANELLI LIVRARIA E PAPELARIA LTDA </t>
  </si>
  <si>
    <t>68501580</t>
  </si>
  <si>
    <t>chave 378</t>
  </si>
  <si>
    <t>J D DE LACERDA COMERCIAL LTDA </t>
  </si>
  <si>
    <t>chave 379</t>
  </si>
  <si>
    <t>DIAMANTE COMERCIO DE UTILIDADES DOMESTICAS LTDA </t>
  </si>
  <si>
    <t>PQ VERDE </t>
  </si>
  <si>
    <t>66635110</t>
  </si>
  <si>
    <t>chave 380</t>
  </si>
  <si>
    <t>W R DO R OLIVEIRA LTDA </t>
  </si>
  <si>
    <t>Augusto Corrêa</t>
  </si>
  <si>
    <t>NAZARE </t>
  </si>
  <si>
    <t>68610000</t>
  </si>
  <si>
    <t>chave 381</t>
  </si>
  <si>
    <t>MORAES &amp; NOGUEIRA LTDA </t>
  </si>
  <si>
    <t>ALTAMIRA</t>
  </si>
  <si>
    <t>UIRAPURU </t>
  </si>
  <si>
    <t>68372100</t>
  </si>
  <si>
    <t>chave 382</t>
  </si>
  <si>
    <t>LPD COMERCIO E DISTRIBUIDORA LTDA </t>
  </si>
  <si>
    <t>CURRALINHO</t>
  </si>
  <si>
    <t>MARAMBAIA </t>
  </si>
  <si>
    <t>68815000</t>
  </si>
  <si>
    <t>chave 383</t>
  </si>
  <si>
    <t>PAPELARIA PIRES CANTINHO DAS FESTAS LTDA </t>
  </si>
  <si>
    <t>XINGUARA</t>
  </si>
  <si>
    <t>68555101</t>
  </si>
  <si>
    <t>chave 384</t>
  </si>
  <si>
    <t>ADRIANA SOUSA LIMA LTDA </t>
  </si>
  <si>
    <t>68005040</t>
  </si>
  <si>
    <t>chave 385</t>
  </si>
  <si>
    <t>P T DE MORAIS </t>
  </si>
  <si>
    <t>Redenção</t>
  </si>
  <si>
    <t>JARDIM UMURAMA </t>
  </si>
  <si>
    <t>68552220</t>
  </si>
  <si>
    <t>chave 386</t>
  </si>
  <si>
    <t>S. RODRIGUES DA SILVA LTDA </t>
  </si>
  <si>
    <t>68371060</t>
  </si>
  <si>
    <t>chave 387</t>
  </si>
  <si>
    <t>REP PAPELARIA LTDA </t>
  </si>
  <si>
    <t>CIDADE JARDIM </t>
  </si>
  <si>
    <t>chave 388</t>
  </si>
  <si>
    <t>V N CUNHA COMERCIAL LTDA </t>
  </si>
  <si>
    <t>68743050</t>
  </si>
  <si>
    <t>chave 389</t>
  </si>
  <si>
    <t>SARRAFF UTILIDADES LTDA </t>
  </si>
  <si>
    <t>ALENQUER</t>
  </si>
  <si>
    <t>ANINGAL </t>
  </si>
  <si>
    <t>68200000</t>
  </si>
  <si>
    <t>chave 390</t>
  </si>
  <si>
    <t>J. DE P.RODRIGUES </t>
  </si>
  <si>
    <t>Igarapé-Miri</t>
  </si>
  <si>
    <t>68430000</t>
  </si>
  <si>
    <t>chave 391</t>
  </si>
  <si>
    <t>D C M ROCHA SANTOS LTDA </t>
  </si>
  <si>
    <t>CAPANEMA</t>
  </si>
  <si>
    <t>68700105</t>
  </si>
  <si>
    <t>chave 392</t>
  </si>
  <si>
    <t>MARTINS LOJA DE BRINQUEDOS LTDA </t>
  </si>
  <si>
    <t>66010095</t>
  </si>
  <si>
    <t>chave 393</t>
  </si>
  <si>
    <t>ELETRO MIX COMERCIO DE MATERIAIS PARA CONSTRUCAO LTDA </t>
  </si>
  <si>
    <t>TUCURUÍ</t>
  </si>
  <si>
    <t>68464000</t>
  </si>
  <si>
    <t>chave 394</t>
  </si>
  <si>
    <t>SILVA COMERCIO DE ARTIGOS DE FESTA LTDA </t>
  </si>
  <si>
    <t>BREVES</t>
  </si>
  <si>
    <t>68800000</t>
  </si>
  <si>
    <t>chave 395</t>
  </si>
  <si>
    <t>J F GOMES </t>
  </si>
  <si>
    <t>Oriximiná</t>
  </si>
  <si>
    <t>AREA PASTORAL </t>
  </si>
  <si>
    <t>68270000</t>
  </si>
  <si>
    <t>chave 396</t>
  </si>
  <si>
    <t>C E LIMA SOLUCOES E SERVICOS LTDA </t>
  </si>
  <si>
    <t>ITUPIRANGA</t>
  </si>
  <si>
    <t>VITORIA </t>
  </si>
  <si>
    <t>68580000</t>
  </si>
  <si>
    <t>chave 397</t>
  </si>
  <si>
    <t>M E F MAGALHAES &amp; CIA LTDA </t>
  </si>
  <si>
    <t>GARRAFÃO DO NORTE</t>
  </si>
  <si>
    <t>68665000</t>
  </si>
  <si>
    <t>chave 398</t>
  </si>
  <si>
    <t>VS DELGADO COM. DE ART. DE ESCRITORIO LTDA </t>
  </si>
  <si>
    <t>67010270</t>
  </si>
  <si>
    <t>chave 399</t>
  </si>
  <si>
    <t>FLOR COMERCIO DE UTILIDADES DOMESTICAS LTDA </t>
  </si>
  <si>
    <t>PEDREIRA </t>
  </si>
  <si>
    <t>66080650</t>
  </si>
  <si>
    <t>chave 400</t>
  </si>
  <si>
    <t>ATACADO MULTIPLOX LTDA </t>
  </si>
  <si>
    <t>RO</t>
  </si>
  <si>
    <t>VILHENA</t>
  </si>
  <si>
    <t>CENTRO(S-01) </t>
  </si>
  <si>
    <t>76980002</t>
  </si>
  <si>
    <t>chave 401</t>
  </si>
  <si>
    <t>A R FARONI LTDA </t>
  </si>
  <si>
    <t>Guajará-Mirim</t>
  </si>
  <si>
    <t>76850000</t>
  </si>
  <si>
    <t>chave 402</t>
  </si>
  <si>
    <t>DINAMICA COMERCIO DE ARTIGOS DE PAPELARIA LTDA </t>
  </si>
  <si>
    <t>PORTO VELHO</t>
  </si>
  <si>
    <t>NOVA FLORESTA </t>
  </si>
  <si>
    <t>76807441</t>
  </si>
  <si>
    <t>chave 403</t>
  </si>
  <si>
    <t>R T B COMERCIO E REPRESENTACOES LTDA </t>
  </si>
  <si>
    <t>CACOAL</t>
  </si>
  <si>
    <t>76963893</t>
  </si>
  <si>
    <t>chave 404</t>
  </si>
  <si>
    <t>LIVRARIA TEIXEIRA LTDA </t>
  </si>
  <si>
    <t>ARIQUEMES</t>
  </si>
  <si>
    <t>SETOR 1 </t>
  </si>
  <si>
    <t>76870050</t>
  </si>
  <si>
    <t>chave 405</t>
  </si>
  <si>
    <t>J R MACHADO IMP. E EXP. LTDA </t>
  </si>
  <si>
    <t>SANTA LUZIA </t>
  </si>
  <si>
    <t>chave 406</t>
  </si>
  <si>
    <t>PAPELARIA CAPITAL COMERCIO DE PAPEIS E SERV LTDA </t>
  </si>
  <si>
    <t>76803870</t>
  </si>
  <si>
    <t>chave 407</t>
  </si>
  <si>
    <t>PAPELARIA LIBERDADE LTDA </t>
  </si>
  <si>
    <t>76801036</t>
  </si>
  <si>
    <t>chave 408</t>
  </si>
  <si>
    <t>VALTER DIAS DE OLIVEIRA LTDA </t>
  </si>
  <si>
    <t>MIRANTE DA SERRA</t>
  </si>
  <si>
    <t>78949000</t>
  </si>
  <si>
    <t>chave 409</t>
  </si>
  <si>
    <t>A C DE ALBUQUERQUE IMPORTACAO E EXPORTACAO LTDA </t>
  </si>
  <si>
    <t>SERRARIA </t>
  </si>
  <si>
    <t>chave 410</t>
  </si>
  <si>
    <t>DE PAULA E DE PAULA PAPELARIA LTDA </t>
  </si>
  <si>
    <t>RR</t>
  </si>
  <si>
    <t>BOA VISTA</t>
  </si>
  <si>
    <t>NOVA CANAA </t>
  </si>
  <si>
    <t>69314382</t>
  </si>
  <si>
    <t>chave 411</t>
  </si>
  <si>
    <t>M L P COSTA </t>
  </si>
  <si>
    <t>PRICUMA </t>
  </si>
  <si>
    <t>69309393</t>
  </si>
  <si>
    <t>chave 412</t>
  </si>
  <si>
    <t>QUASE TUDO COMERCIO IMP EXP LTDA </t>
  </si>
  <si>
    <t>PINTOLANDIA </t>
  </si>
  <si>
    <t>69316738</t>
  </si>
  <si>
    <t>chave 413</t>
  </si>
  <si>
    <t>O DE MOURA ALMEIDA </t>
  </si>
  <si>
    <t>SENADOR HELIO CAMPOS </t>
  </si>
  <si>
    <t>69316516</t>
  </si>
  <si>
    <t>chave 414</t>
  </si>
  <si>
    <t>PAPEL JORNAL PAPELARIA LTDA </t>
  </si>
  <si>
    <t>SAO FRANCISCO </t>
  </si>
  <si>
    <t>69305105</t>
  </si>
  <si>
    <t>chave 415</t>
  </si>
  <si>
    <t>PRAPEL COMERCIO DE PAPEL LTDA </t>
  </si>
  <si>
    <t>TO</t>
  </si>
  <si>
    <t>PALMAS</t>
  </si>
  <si>
    <t>PLANALTO DIRETOR SUL </t>
  </si>
  <si>
    <t>77024452</t>
  </si>
  <si>
    <t>chave 416</t>
  </si>
  <si>
    <t>M. DA C. RIBEIRO </t>
  </si>
  <si>
    <t>Augustinópolis</t>
  </si>
  <si>
    <t>77960000</t>
  </si>
  <si>
    <t>chave 417</t>
  </si>
  <si>
    <t>AL DISTRIBUIDORA LTDA </t>
  </si>
  <si>
    <t>PALNO DIRETO SUL </t>
  </si>
  <si>
    <t>77020022</t>
  </si>
  <si>
    <t>chave 418</t>
  </si>
  <si>
    <t>58.974.263 JAQUELINE TAVARES DA CRUZ </t>
  </si>
  <si>
    <t>Xambioá</t>
  </si>
  <si>
    <t>77880000</t>
  </si>
  <si>
    <t>chave 419</t>
  </si>
  <si>
    <t>SOUSA E SILVA ARTIGOS DE PAPELARIA LTDA </t>
  </si>
  <si>
    <t>Araguaína</t>
  </si>
  <si>
    <t>SAO JOAO </t>
  </si>
  <si>
    <t>77807160</t>
  </si>
  <si>
    <t>chave 420</t>
  </si>
  <si>
    <t>ARMARINHOS E PAPELARIA GLORIA LTDA </t>
  </si>
  <si>
    <t>77804010</t>
  </si>
  <si>
    <t>chave 421</t>
  </si>
  <si>
    <t>BEZERRA E LOPES LTDA </t>
  </si>
  <si>
    <t>PLANO DIRETOR SUL </t>
  </si>
  <si>
    <t>77022368</t>
  </si>
  <si>
    <t>chave 422</t>
  </si>
  <si>
    <t>F A DOS SANTOS </t>
  </si>
  <si>
    <t>JARDIM AURENY III </t>
  </si>
  <si>
    <t>77062020</t>
  </si>
  <si>
    <t>chave 423</t>
  </si>
  <si>
    <t>DISTRIBUIDORA LAVOR DE UTIL DOMESTICA LTDA </t>
  </si>
  <si>
    <t>COLINAS DO TOCANTINS</t>
  </si>
  <si>
    <t>CAMPINAS </t>
  </si>
  <si>
    <t>77760000</t>
  </si>
  <si>
    <t>chave 424</t>
  </si>
  <si>
    <t>COPIADORA COPYSERVICE LTDA </t>
  </si>
  <si>
    <t>77804110</t>
  </si>
  <si>
    <t>chave 425</t>
  </si>
  <si>
    <t>R C DA SILVA AGUIAR </t>
  </si>
  <si>
    <t>Guaraí</t>
  </si>
  <si>
    <t>77700000</t>
  </si>
  <si>
    <t>chave 426</t>
  </si>
  <si>
    <t>TOCANTINS COM VAR DE ART DE PAPELARIA LTDA </t>
  </si>
  <si>
    <t>77804970</t>
  </si>
  <si>
    <t>chave 427</t>
  </si>
  <si>
    <t>A B C COMERCIAL DE PAPEIS LTDA </t>
  </si>
  <si>
    <t>chave 428</t>
  </si>
  <si>
    <t>PAPELARIA E LIVRARIA AVENIDA LTDA </t>
  </si>
  <si>
    <t>GURUPI</t>
  </si>
  <si>
    <t>77410010</t>
  </si>
  <si>
    <t>chave 429</t>
  </si>
  <si>
    <t>CASTORINO SANTANA E FILHOS LTDA. </t>
  </si>
  <si>
    <t>SUDESTE</t>
  </si>
  <si>
    <t>ES</t>
  </si>
  <si>
    <t>Vitória</t>
  </si>
  <si>
    <t>SANTA LUCIA </t>
  </si>
  <si>
    <t>29056184</t>
  </si>
  <si>
    <t>Bernard</t>
  </si>
  <si>
    <t>chave 430</t>
  </si>
  <si>
    <t>PETROFLOW OFFSHORE COMERCIO E SERVICO LTDA </t>
  </si>
  <si>
    <t>VILA VELHA</t>
  </si>
  <si>
    <t>GLORIA </t>
  </si>
  <si>
    <t>29122030</t>
  </si>
  <si>
    <t>chave 431</t>
  </si>
  <si>
    <t>AGNES COMERCIAL LTDA </t>
  </si>
  <si>
    <t>JUCUTUQUARA </t>
  </si>
  <si>
    <t>29040715</t>
  </si>
  <si>
    <t>chave 432</t>
  </si>
  <si>
    <t>SUPERMERCADOS CASAGRANDE LTDA </t>
  </si>
  <si>
    <t>CACHOEIRO DE ITAPEMIRIM</t>
  </si>
  <si>
    <t>GUANDU </t>
  </si>
  <si>
    <t>29300795</t>
  </si>
  <si>
    <t>chave 433</t>
  </si>
  <si>
    <t>N NUNES COMERCIO E DISTRIBUIDOR LTDA </t>
  </si>
  <si>
    <t>LINHARES</t>
  </si>
  <si>
    <t>29900505</t>
  </si>
  <si>
    <t>chave 434</t>
  </si>
  <si>
    <t>PAPELARIA E LIV. CARTAM LTDA </t>
  </si>
  <si>
    <t>COLATINA</t>
  </si>
  <si>
    <t>SAO SILVANO </t>
  </si>
  <si>
    <t>29703132</t>
  </si>
  <si>
    <t>chave 435</t>
  </si>
  <si>
    <t>ARGUS ATACADISTA LTDA </t>
  </si>
  <si>
    <t>NSA DA CONCEICAO </t>
  </si>
  <si>
    <t>29900471</t>
  </si>
  <si>
    <t>chave 436</t>
  </si>
  <si>
    <t>57.620.311 CARLOS MAGNO DRESCH </t>
  </si>
  <si>
    <t>SERRA</t>
  </si>
  <si>
    <t>MORADA DE LARANJEIRAS </t>
  </si>
  <si>
    <t>29166736</t>
  </si>
  <si>
    <t>chave 437</t>
  </si>
  <si>
    <t>LOJAS JAJA COMERCIO DE MOVEIS LTDA </t>
  </si>
  <si>
    <t>Bom Jesus do Norte</t>
  </si>
  <si>
    <t>29460000</t>
  </si>
  <si>
    <t>chave 438</t>
  </si>
  <si>
    <t>PAPER KIDS PAPELARIA LTDA </t>
  </si>
  <si>
    <t>29900158</t>
  </si>
  <si>
    <t>chave 439</t>
  </si>
  <si>
    <t>AQUI TEM COMERCIO DE BAZAR LTDA </t>
  </si>
  <si>
    <t>ITAPEMIRIM</t>
  </si>
  <si>
    <t>ITAOCA </t>
  </si>
  <si>
    <t>29338000</t>
  </si>
  <si>
    <t>chave 440</t>
  </si>
  <si>
    <t>V B MACABU ONLINE LTDA </t>
  </si>
  <si>
    <t>MIMOSO DO SUL</t>
  </si>
  <si>
    <t>29400000</t>
  </si>
  <si>
    <t>chave 441</t>
  </si>
  <si>
    <t>N T N CARRANI </t>
  </si>
  <si>
    <t>Guarapari</t>
  </si>
  <si>
    <t>AEROPORTO </t>
  </si>
  <si>
    <t>29216705</t>
  </si>
  <si>
    <t>chave 442</t>
  </si>
  <si>
    <t>PAPELARIA FELICIDADE SMJ LTDA </t>
  </si>
  <si>
    <t>Santa Maria de Jetibá</t>
  </si>
  <si>
    <t>29645000</t>
  </si>
  <si>
    <t>chave 443</t>
  </si>
  <si>
    <t>COMERCIAL TODALINHA LTDA </t>
  </si>
  <si>
    <t>NOVO MEXICO </t>
  </si>
  <si>
    <t>29104070</t>
  </si>
  <si>
    <t>chave 444</t>
  </si>
  <si>
    <t>MELO DISTRIBUIDORA DE MATERIAIS LTDA </t>
  </si>
  <si>
    <t>Iúna</t>
  </si>
  <si>
    <t>PEQUIA </t>
  </si>
  <si>
    <t>29390000</t>
  </si>
  <si>
    <t>chave 445</t>
  </si>
  <si>
    <t>61.432.912 FERNANDA CORREA BATISTA </t>
  </si>
  <si>
    <t>VITÓRIA</t>
  </si>
  <si>
    <t>PARQUE MOSCOSO </t>
  </si>
  <si>
    <t>29018200</t>
  </si>
  <si>
    <t>chave 446</t>
  </si>
  <si>
    <t>SANTA FE PAPELARIA LTDA </t>
  </si>
  <si>
    <t>Barra de São Francisco</t>
  </si>
  <si>
    <t>29800000</t>
  </si>
  <si>
    <t>chave 447</t>
  </si>
  <si>
    <t>COMERCIAL LUF LTDA </t>
  </si>
  <si>
    <t>PARQUE RESIDENCIAL LARANJEIRAS </t>
  </si>
  <si>
    <t>29165130</t>
  </si>
  <si>
    <t>chave 448</t>
  </si>
  <si>
    <t>DATA MIX INFORMATICA E PAPELARIA LTDA </t>
  </si>
  <si>
    <t>JARDIM  CAMBURI </t>
  </si>
  <si>
    <t>29090120</t>
  </si>
  <si>
    <t>chave 449</t>
  </si>
  <si>
    <t>GV PAPELARIA LTDA </t>
  </si>
  <si>
    <t>Piúma</t>
  </si>
  <si>
    <t>29285000</t>
  </si>
  <si>
    <t>chave 450</t>
  </si>
  <si>
    <t>BENAYR BOZZI LTDA </t>
  </si>
  <si>
    <t>PINHEIROS</t>
  </si>
  <si>
    <t>29980000</t>
  </si>
  <si>
    <t>chave 451</t>
  </si>
  <si>
    <t>DIGITAL DISTRIBUIDORA OFFICE SCHOLL LTDA </t>
  </si>
  <si>
    <t>TRES BARRAS </t>
  </si>
  <si>
    <t>29907050</t>
  </si>
  <si>
    <t>chave 452</t>
  </si>
  <si>
    <t>JET DISTRIBUIDORA LTDA </t>
  </si>
  <si>
    <t>ANDRE CARLONI </t>
  </si>
  <si>
    <t>29161813</t>
  </si>
  <si>
    <t>chave 453</t>
  </si>
  <si>
    <t>GECORE COMERCIAL DISTRIBUIDORA LTDA </t>
  </si>
  <si>
    <t>29056190</t>
  </si>
  <si>
    <t>chave 454</t>
  </si>
  <si>
    <t>D &amp; L PAPELARIA E XEROX LTDA </t>
  </si>
  <si>
    <t>OTTON MARINS </t>
  </si>
  <si>
    <t>29301809</t>
  </si>
  <si>
    <t>chave 455</t>
  </si>
  <si>
    <t>MAGAZINE MIX COMERCIO LTDA </t>
  </si>
  <si>
    <t>29900320</t>
  </si>
  <si>
    <t>chave 456</t>
  </si>
  <si>
    <t>SOLUCAO EM NEGOCIOS LTDA </t>
  </si>
  <si>
    <t>chave 457</t>
  </si>
  <si>
    <t>G MAIS EMPREENDIMENTOS LTDA </t>
  </si>
  <si>
    <t>chave 458</t>
  </si>
  <si>
    <t>J L DE ANDRADE MOSCHEN </t>
  </si>
  <si>
    <t>São Gabriel da Palha</t>
  </si>
  <si>
    <t>29780000</t>
  </si>
  <si>
    <t>chave 459</t>
  </si>
  <si>
    <t>JGS COMERCIO DE ATACADO E VAREJO LTDA </t>
  </si>
  <si>
    <t>SANTA LUIZA </t>
  </si>
  <si>
    <t>29045403</t>
  </si>
  <si>
    <t>chave 460</t>
  </si>
  <si>
    <t>COMERCIAL BELLO LTDA </t>
  </si>
  <si>
    <t>CARIACICA</t>
  </si>
  <si>
    <t>VILA PALESTINA </t>
  </si>
  <si>
    <t>29145790</t>
  </si>
  <si>
    <t>chave 461</t>
  </si>
  <si>
    <t>ROMEDAL COMERCIO E IMPORTACAO LTDA </t>
  </si>
  <si>
    <t>PADRE MATHIAS </t>
  </si>
  <si>
    <t>29157100</t>
  </si>
  <si>
    <t>chave 462</t>
  </si>
  <si>
    <t>ATLAS PAPELARIA LTDA </t>
  </si>
  <si>
    <t>29700040</t>
  </si>
  <si>
    <t>chave 463</t>
  </si>
  <si>
    <t>ARCO IRIS DE PAPEL LTDA </t>
  </si>
  <si>
    <t>chave 464</t>
  </si>
  <si>
    <t>SE7E ATACADO DISTRIBUIDOR E LOGISTICA LTDA </t>
  </si>
  <si>
    <t>IÚNA</t>
  </si>
  <si>
    <t>VILA NOVA </t>
  </si>
  <si>
    <t>chave 465</t>
  </si>
  <si>
    <t>JOCINEIA GRIFO MOTA GERHARDT </t>
  </si>
  <si>
    <t>29902280</t>
  </si>
  <si>
    <t>chave 466</t>
  </si>
  <si>
    <t>PROJEHAB PROJETOS E SERVICOS LTDA </t>
  </si>
  <si>
    <t>BAIXO GUANDU</t>
  </si>
  <si>
    <t>29730000</t>
  </si>
  <si>
    <t>chave 467</t>
  </si>
  <si>
    <t>VERDINS PAPELARIA E VARIEDADES LTDA </t>
  </si>
  <si>
    <t>HONORIO FRAGA </t>
  </si>
  <si>
    <t>29704670</t>
  </si>
  <si>
    <t>chave 468</t>
  </si>
  <si>
    <t>OSTILIO JOSE DA ROCHA </t>
  </si>
  <si>
    <t>PANCAS</t>
  </si>
  <si>
    <t>29750000</t>
  </si>
  <si>
    <t>chave 469</t>
  </si>
  <si>
    <t>LOJAS JULIANA COMERCIO DE ARTIGOS DE PAPELARIA LTDA </t>
  </si>
  <si>
    <t>Marataízes</t>
  </si>
  <si>
    <t>BARRA DO ITAPEMIRIM </t>
  </si>
  <si>
    <t>29345000</t>
  </si>
  <si>
    <t>chave 470</t>
  </si>
  <si>
    <t>BEE STORE PAPELARIA E PRESENTES LTDA </t>
  </si>
  <si>
    <t>29900043</t>
  </si>
  <si>
    <t>chave 471</t>
  </si>
  <si>
    <t>NEW LIFE COMERCIO DE UTILIDADES E SOLUCOES LTDA </t>
  </si>
  <si>
    <t>JARDIM CAMBURI </t>
  </si>
  <si>
    <t>29090060</t>
  </si>
  <si>
    <t>chave 472</t>
  </si>
  <si>
    <t>PAPELARIA ITABAPOANA 795 LTDA </t>
  </si>
  <si>
    <t>BOM JESUS DO NORTE</t>
  </si>
  <si>
    <t>chave 473</t>
  </si>
  <si>
    <t>IRMAOS GOBBO LTDA </t>
  </si>
  <si>
    <t>chave 474</t>
  </si>
  <si>
    <t>REBONATOS PAPELARIA CAPRICHO LTDA </t>
  </si>
  <si>
    <t>chave 475</t>
  </si>
  <si>
    <t>PAPELARIA E PERFUMARIA KIKA-PEL LTDA </t>
  </si>
  <si>
    <t>Jaguaré</t>
  </si>
  <si>
    <t>29950000</t>
  </si>
  <si>
    <t>chave 476</t>
  </si>
  <si>
    <t>CB BICALHO COMERCIO ATACADISTA E EMPREENDIMENTOS LTDA </t>
  </si>
  <si>
    <t>PRESIDENTE KENNEDY</t>
  </si>
  <si>
    <t>29350000</t>
  </si>
  <si>
    <t>chave 477</t>
  </si>
  <si>
    <t>SUPER ATACADO UTILIDADES DO LAR LTDA </t>
  </si>
  <si>
    <t>CAMPO GRANDE </t>
  </si>
  <si>
    <t>29146201</t>
  </si>
  <si>
    <t>chave 478</t>
  </si>
  <si>
    <t>SR COMERCIO E SERVICOS LTDA </t>
  </si>
  <si>
    <t>São Roque do Canaã</t>
  </si>
  <si>
    <t>SAO ROQUINHO </t>
  </si>
  <si>
    <t>29665000</t>
  </si>
  <si>
    <t>chave 479</t>
  </si>
  <si>
    <t>MIL FOLHAS INFORM. ESCR. LTDA </t>
  </si>
  <si>
    <t>GUARAPARI</t>
  </si>
  <si>
    <t>MUQUICABA </t>
  </si>
  <si>
    <t>29215440</t>
  </si>
  <si>
    <t>chave 480</t>
  </si>
  <si>
    <t>DS DISTRIBUIDORA COMERCIAL LTDA </t>
  </si>
  <si>
    <t>DARLU SANTOS </t>
  </si>
  <si>
    <t>29103311</t>
  </si>
  <si>
    <t>chave 481</t>
  </si>
  <si>
    <t>MAGAZINE MIL PAPEIS LTDA </t>
  </si>
  <si>
    <t>Conceição da Barra</t>
  </si>
  <si>
    <t>SANTO AMARO </t>
  </si>
  <si>
    <t>29960000</t>
  </si>
  <si>
    <t>chave 482</t>
  </si>
  <si>
    <t>GROUP PONTO CERTO COM &amp; DISTRIB.DE PAPEIS E UTILIDADES LTDA </t>
  </si>
  <si>
    <t>MONTANHA</t>
  </si>
  <si>
    <t>BRASILIA </t>
  </si>
  <si>
    <t>29890000</t>
  </si>
  <si>
    <t>chave 483</t>
  </si>
  <si>
    <t>BERGER PAPELARIA LTDA </t>
  </si>
  <si>
    <t>VIANA</t>
  </si>
  <si>
    <t>MARCILIO DE NORONHA </t>
  </si>
  <si>
    <t>29135368</t>
  </si>
  <si>
    <t>chave 484</t>
  </si>
  <si>
    <t>D &amp; C PAPELARIA E LIVRARIA LTDA </t>
  </si>
  <si>
    <t>29200420</t>
  </si>
  <si>
    <t>chave 485</t>
  </si>
  <si>
    <t>CACHOEIRO COMERCIO DE UTILIDADES LTDA </t>
  </si>
  <si>
    <t>GUANDÚ </t>
  </si>
  <si>
    <t>29300797</t>
  </si>
  <si>
    <t>chave 486</t>
  </si>
  <si>
    <t>WALDIR TIETZ </t>
  </si>
  <si>
    <t>Itaguaçu</t>
  </si>
  <si>
    <t>29690000</t>
  </si>
  <si>
    <t>chave 487</t>
  </si>
  <si>
    <t>ATACADO NOSSA LTDA </t>
  </si>
  <si>
    <t>LINHARES V </t>
  </si>
  <si>
    <t>29905190</t>
  </si>
  <si>
    <t>chave 488</t>
  </si>
  <si>
    <t>LUIZA M. RIZ DE OLIVERA </t>
  </si>
  <si>
    <t>IRUPI</t>
  </si>
  <si>
    <t>29398000</t>
  </si>
  <si>
    <t>chave 489</t>
  </si>
  <si>
    <t>GR PAPELARIA LTDA </t>
  </si>
  <si>
    <t>chave 490</t>
  </si>
  <si>
    <t>ATACADAO MULTIMARCAS LTDA </t>
  </si>
  <si>
    <t>MG</t>
  </si>
  <si>
    <t>BELO HORIZONTE</t>
  </si>
  <si>
    <t>BONFIM </t>
  </si>
  <si>
    <t>31210160</t>
  </si>
  <si>
    <t>chave 491</t>
  </si>
  <si>
    <t>PAPELARIA CANDIDES LTDA </t>
  </si>
  <si>
    <t>Divinópolis</t>
  </si>
  <si>
    <t>35500002</t>
  </si>
  <si>
    <t>Médio</t>
  </si>
  <si>
    <t>chave 492</t>
  </si>
  <si>
    <t>ZACHEU &amp; ZACHEU EMBALAGENS LTDA </t>
  </si>
  <si>
    <t>POUSO ALEGRE</t>
  </si>
  <si>
    <t>37550000</t>
  </si>
  <si>
    <t>chave 493</t>
  </si>
  <si>
    <t>FOCO COMERCIO DE UTILIDADES DOMESTICAS LTDA </t>
  </si>
  <si>
    <t>CAMARGOS </t>
  </si>
  <si>
    <t>30520380</t>
  </si>
  <si>
    <t>chave 494</t>
  </si>
  <si>
    <t>FORTIL LIMITADA </t>
  </si>
  <si>
    <t>35500007</t>
  </si>
  <si>
    <t>chave 495</t>
  </si>
  <si>
    <t>MECPEL PAPELARIA E LIVRARIA LTDA </t>
  </si>
  <si>
    <t>JUIZ DE FORA</t>
  </si>
  <si>
    <t>36013010</t>
  </si>
  <si>
    <t>Forte</t>
  </si>
  <si>
    <t>Média</t>
  </si>
  <si>
    <t>chave 496</t>
  </si>
  <si>
    <t>ARMARINHO MARINHO LTDA </t>
  </si>
  <si>
    <t>Pará de Minas</t>
  </si>
  <si>
    <t>N.S.DAS GRACAS </t>
  </si>
  <si>
    <t>35660970</t>
  </si>
  <si>
    <t>chave 497</t>
  </si>
  <si>
    <t>ALIANCA COMERCIO E DISTRIBUICAO DE PAPELARIA LTDA </t>
  </si>
  <si>
    <t>DA PROVIDENCIA </t>
  </si>
  <si>
    <t>chave 498</t>
  </si>
  <si>
    <t>CENTRAL SERVICOS E PAPELARIA LTDA </t>
  </si>
  <si>
    <t>Araçuaí</t>
  </si>
  <si>
    <t>39600000</t>
  </si>
  <si>
    <t>chave 499</t>
  </si>
  <si>
    <t>PAPELARIA FAZZA LTDA </t>
  </si>
  <si>
    <t>36013000</t>
  </si>
  <si>
    <t>chave 500</t>
  </si>
  <si>
    <t>ZILIX DISTRIBUIDORA DE PAPEIS LTDA </t>
  </si>
  <si>
    <t>35660149</t>
  </si>
  <si>
    <t>chave 501</t>
  </si>
  <si>
    <t>POINT - COMERCIO DE PRESENTES E UTILIDADES DOMESTICAS LTDA </t>
  </si>
  <si>
    <t>VENDA NOVA </t>
  </si>
  <si>
    <t>31615310</t>
  </si>
  <si>
    <t>chave 502</t>
  </si>
  <si>
    <t>LFC DOMITH LTDA </t>
  </si>
  <si>
    <t>36013080</t>
  </si>
  <si>
    <t>chave 503</t>
  </si>
  <si>
    <t>BETIM VARIEDADES DOMESTICAS LTDA </t>
  </si>
  <si>
    <t>BETIM</t>
  </si>
  <si>
    <t>32600056</t>
  </si>
  <si>
    <t>chave 504</t>
  </si>
  <si>
    <t>LOGOS PAPELARIA LTDA </t>
  </si>
  <si>
    <t>Três Corações</t>
  </si>
  <si>
    <t>37410000</t>
  </si>
  <si>
    <t>chave 505</t>
  </si>
  <si>
    <t>BAZAR FARIA LTDA </t>
  </si>
  <si>
    <t>OURO PRETO</t>
  </si>
  <si>
    <t>PILAR </t>
  </si>
  <si>
    <t>35400000</t>
  </si>
  <si>
    <t>chave 506</t>
  </si>
  <si>
    <t>LAJIPEL COMERCIO DE PAPELARIA LTDA </t>
  </si>
  <si>
    <t>IPATINGA</t>
  </si>
  <si>
    <t>IGUACU </t>
  </si>
  <si>
    <t>35162036</t>
  </si>
  <si>
    <t>chave 507</t>
  </si>
  <si>
    <t>EDITORA SAO PAULO LTDA </t>
  </si>
  <si>
    <t>CARATINGA</t>
  </si>
  <si>
    <t>35300035</t>
  </si>
  <si>
    <t>chave 508</t>
  </si>
  <si>
    <t>LABE INDUSTRIA COMERCIO E SERVICOS LTDA </t>
  </si>
  <si>
    <t>SANTA CRUZ DE MINAS</t>
  </si>
  <si>
    <t>VILA PORTO REAL </t>
  </si>
  <si>
    <t>36328000</t>
  </si>
  <si>
    <t>chave 509</t>
  </si>
  <si>
    <t>B &amp; B PRESENTES E BRINQUEDOS LTDA </t>
  </si>
  <si>
    <t>BARREIRO </t>
  </si>
  <si>
    <t>30640000</t>
  </si>
  <si>
    <t>chave 510</t>
  </si>
  <si>
    <t>ASTRAL ATACADO LTDA </t>
  </si>
  <si>
    <t>30111040</t>
  </si>
  <si>
    <t>chave 511</t>
  </si>
  <si>
    <t>PAPELARIA BETIM LTDA </t>
  </si>
  <si>
    <t>32670005</t>
  </si>
  <si>
    <t>chave 512</t>
  </si>
  <si>
    <t>LOJA VIVA COMERCIO LTDA </t>
  </si>
  <si>
    <t>CONSELHEIRO LAFAIETE</t>
  </si>
  <si>
    <t>36400000</t>
  </si>
  <si>
    <t>chave 513</t>
  </si>
  <si>
    <t>E &amp; T PAPELARIA LTDA </t>
  </si>
  <si>
    <t>BOM DESPACHO</t>
  </si>
  <si>
    <t>35600000</t>
  </si>
  <si>
    <t>chave 514</t>
  </si>
  <si>
    <t>SANTOS E SA LTDA </t>
  </si>
  <si>
    <t>Januária</t>
  </si>
  <si>
    <t>39480000</t>
  </si>
  <si>
    <t>chave 515</t>
  </si>
  <si>
    <t>AQUARELA PAP E ARTIGOS EM GERAL LTDA </t>
  </si>
  <si>
    <t>MARIANA</t>
  </si>
  <si>
    <t>35420000</t>
  </si>
  <si>
    <t>chave 516</t>
  </si>
  <si>
    <t>KARLOS PAPELARIA LTDA </t>
  </si>
  <si>
    <t>Muriaé</t>
  </si>
  <si>
    <t>BARRA </t>
  </si>
  <si>
    <t>36880000</t>
  </si>
  <si>
    <t>chave 517</t>
  </si>
  <si>
    <t>LV ATACADISTA DE PAPELARIA LTDA </t>
  </si>
  <si>
    <t>FORMIGA</t>
  </si>
  <si>
    <t>N.S.DE LOURDES </t>
  </si>
  <si>
    <t>35572128</t>
  </si>
  <si>
    <t>chave 518</t>
  </si>
  <si>
    <t>FORMIGA COM DE UTIL DOMESTICAS LTDA </t>
  </si>
  <si>
    <t>35570024</t>
  </si>
  <si>
    <t>chave 519</t>
  </si>
  <si>
    <t>DISTRIBUIDORA DE LIVROS BANDEIRANTE LTDA </t>
  </si>
  <si>
    <t>Ubá</t>
  </si>
  <si>
    <t>36500000</t>
  </si>
  <si>
    <t>chave 520</t>
  </si>
  <si>
    <t>SOEL COMERCIO DE ARTIGOS PARA PRESENTES LTDA </t>
  </si>
  <si>
    <t>30120020</t>
  </si>
  <si>
    <t>chave 521</t>
  </si>
  <si>
    <t>COLORS COMERCIO LTDA </t>
  </si>
  <si>
    <t>35162111</t>
  </si>
  <si>
    <t>chave 522</t>
  </si>
  <si>
    <t>MIDIAPEL PAPELARIA E INFORMATICA LTDA </t>
  </si>
  <si>
    <t>Uberlândia</t>
  </si>
  <si>
    <t>SANTA MONICA </t>
  </si>
  <si>
    <t>38408170</t>
  </si>
  <si>
    <t>chave 523</t>
  </si>
  <si>
    <t>NOVA PAPELARIA E COMERCIO LTDA </t>
  </si>
  <si>
    <t>MONTES CLAROS</t>
  </si>
  <si>
    <t>39400215</t>
  </si>
  <si>
    <t>chave 524</t>
  </si>
  <si>
    <t>F G F COMERCIO, EXPORTACAO E IMPORTACAO LTDA </t>
  </si>
  <si>
    <t>38401374</t>
  </si>
  <si>
    <t>chave 525</t>
  </si>
  <si>
    <t>PONTO MAGICO DISTRIBUIDORA LTDA </t>
  </si>
  <si>
    <t>31255200</t>
  </si>
  <si>
    <t>chave 526</t>
  </si>
  <si>
    <t>LOGDA COMERCIO DIGITAL BH LTDA </t>
  </si>
  <si>
    <t>JARAGUA </t>
  </si>
  <si>
    <t>31270350</t>
  </si>
  <si>
    <t>chave 527</t>
  </si>
  <si>
    <t>CAETES COMERCIO DE PRESENTES E UTILIDADES DOMESTICAS LTDA </t>
  </si>
  <si>
    <t>30120080</t>
  </si>
  <si>
    <t>chave 528</t>
  </si>
  <si>
    <t>JOSINO NEIVA BATISTA </t>
  </si>
  <si>
    <t>PARACATU</t>
  </si>
  <si>
    <t>38600000</t>
  </si>
  <si>
    <t>chave 529</t>
  </si>
  <si>
    <t>PAPELARIA MODELO LTDA </t>
  </si>
  <si>
    <t>NOVA SERRANA</t>
  </si>
  <si>
    <t>35519000</t>
  </si>
  <si>
    <t>chave 530</t>
  </si>
  <si>
    <t>PAPELARIA E COPIADORA MAXIMA I LTDA </t>
  </si>
  <si>
    <t>chave 531</t>
  </si>
  <si>
    <t>RH PAPELARIA LTDA </t>
  </si>
  <si>
    <t>30160040</t>
  </si>
  <si>
    <t>chave 532</t>
  </si>
  <si>
    <t>LUNA COMERCIAL LTDA </t>
  </si>
  <si>
    <t>VILA IPANEMA </t>
  </si>
  <si>
    <t>35160064</t>
  </si>
  <si>
    <t>chave 533</t>
  </si>
  <si>
    <t>CASTRO NAVES COMERCIO E SERVICOS DE DISTRIBUICAO S.A. </t>
  </si>
  <si>
    <t>MARTA HELENA </t>
  </si>
  <si>
    <t>38402322</t>
  </si>
  <si>
    <t>chave 534</t>
  </si>
  <si>
    <t>MONIA COMERCIO DE PAPEIS E VAREJO LTDA </t>
  </si>
  <si>
    <t>Unaí</t>
  </si>
  <si>
    <t>38610041</t>
  </si>
  <si>
    <t>chave 535</t>
  </si>
  <si>
    <t>PAPELARIA SULAMERICANA LTDA </t>
  </si>
  <si>
    <t>MARIA HELENA </t>
  </si>
  <si>
    <t>31660000</t>
  </si>
  <si>
    <t>chave 536</t>
  </si>
  <si>
    <t>DURVALINA ALVES GONCALVES </t>
  </si>
  <si>
    <t>PORTEIRINHA</t>
  </si>
  <si>
    <t>BEIRA RIO </t>
  </si>
  <si>
    <t>39520000</t>
  </si>
  <si>
    <t>chave 537</t>
  </si>
  <si>
    <t>COMERCIAL FREDSON LTDA </t>
  </si>
  <si>
    <t>SAO JUDAS TADEU </t>
  </si>
  <si>
    <t>39402374</t>
  </si>
  <si>
    <t>chave 538</t>
  </si>
  <si>
    <t>COMERCIAL CIOFFI LTDA </t>
  </si>
  <si>
    <t>Poços de Caldas</t>
  </si>
  <si>
    <t>37701000</t>
  </si>
  <si>
    <t>chave 539</t>
  </si>
  <si>
    <t>IRMAOS MATTAR &amp; CIA LTDA </t>
  </si>
  <si>
    <t>Teófilo Otoni</t>
  </si>
  <si>
    <t>JARDIM SERRA VERDE </t>
  </si>
  <si>
    <t>39801457</t>
  </si>
  <si>
    <t>chave 540</t>
  </si>
  <si>
    <t>G ANDRADE &amp; CIA LIMITADA </t>
  </si>
  <si>
    <t>37701014</t>
  </si>
  <si>
    <t>chave 541</t>
  </si>
  <si>
    <t>PANAMERICANA DISTRIBUIDORA LTDA </t>
  </si>
  <si>
    <t>MONSENHOR MESSIAS </t>
  </si>
  <si>
    <t>30720460</t>
  </si>
  <si>
    <t>chave 542</t>
  </si>
  <si>
    <t>SOMA BH DISTRIBUIDORA DE MATERIAIS LTDA </t>
  </si>
  <si>
    <t>CONTAGEM</t>
  </si>
  <si>
    <t>RESSACA </t>
  </si>
  <si>
    <t>32110005</t>
  </si>
  <si>
    <t>chave 543</t>
  </si>
  <si>
    <t>KATIUSCIA COMERCIO LTDA </t>
  </si>
  <si>
    <t>CORONEL FABRICIANO</t>
  </si>
  <si>
    <t>GIOVANINI </t>
  </si>
  <si>
    <t>35170097</t>
  </si>
  <si>
    <t>chave 544</t>
  </si>
  <si>
    <t>DISTRIBUIDORA DE PAPEIS RAFAEL LTDA </t>
  </si>
  <si>
    <t>SETE LAGOAS</t>
  </si>
  <si>
    <t>35700002</t>
  </si>
  <si>
    <t>chave 545</t>
  </si>
  <si>
    <t>CASA DO ESTUDANTE PAPELARIA E LIVRARIA LTDA </t>
  </si>
  <si>
    <t>COROMANDEL</t>
  </si>
  <si>
    <t>38550000</t>
  </si>
  <si>
    <t>chave 546</t>
  </si>
  <si>
    <t>PAPELARIA FERREIRA LTDA </t>
  </si>
  <si>
    <t>Três Pontas</t>
  </si>
  <si>
    <t>37190000</t>
  </si>
  <si>
    <t>chave 547</t>
  </si>
  <si>
    <t>TC DO CARMO INFORMATICA E PAPELARIA </t>
  </si>
  <si>
    <t>chave 548</t>
  </si>
  <si>
    <t>UBERPEL COMERCIO DE PAPEIS LTDA </t>
  </si>
  <si>
    <t>CUSTODIO PEREIRA </t>
  </si>
  <si>
    <t>38405238</t>
  </si>
  <si>
    <t>chave 549</t>
  </si>
  <si>
    <t>LIVRARIA E PAPELARIA CENTRAL DE LEOPOLDINA LTDA </t>
  </si>
  <si>
    <t>LEOPOLDINA</t>
  </si>
  <si>
    <t>36700000</t>
  </si>
  <si>
    <t>chave 550</t>
  </si>
  <si>
    <t>IMPRIMA BR PRODUTOS DE INFORMATICA LTDA </t>
  </si>
  <si>
    <t>39800118</t>
  </si>
  <si>
    <t>chave 551</t>
  </si>
  <si>
    <t>MUNDO DAS OPCOES JUIZ DE FORA LTDA </t>
  </si>
  <si>
    <t>36010000</t>
  </si>
  <si>
    <t>chave 552</t>
  </si>
  <si>
    <t>PAULA SAPI FERREIRA MAIA LTDA </t>
  </si>
  <si>
    <t>VARGINHA</t>
  </si>
  <si>
    <t>JARDIM ANDERE </t>
  </si>
  <si>
    <t>37006510</t>
  </si>
  <si>
    <t>chave 553</t>
  </si>
  <si>
    <t>PAPELARIA KAFKA LTDA </t>
  </si>
  <si>
    <t>CATAGUASES</t>
  </si>
  <si>
    <t>36770028</t>
  </si>
  <si>
    <t>chave 554</t>
  </si>
  <si>
    <t>COMERCIAL MONTEVERDE LTDA </t>
  </si>
  <si>
    <t>POCO RICO </t>
  </si>
  <si>
    <t>36020020</t>
  </si>
  <si>
    <t>chave 555</t>
  </si>
  <si>
    <t>EMPORIO PAPELARIA PRESENTES LTDA </t>
  </si>
  <si>
    <t>Aimorés</t>
  </si>
  <si>
    <t>35200000</t>
  </si>
  <si>
    <t>chave 556</t>
  </si>
  <si>
    <t>CENTER MANIA PAPELARIA LTDA </t>
  </si>
  <si>
    <t>chave 557</t>
  </si>
  <si>
    <t>PAPELARIA PRINCIPAL LTDA </t>
  </si>
  <si>
    <t>PATOS DE MINAS</t>
  </si>
  <si>
    <t>38700122</t>
  </si>
  <si>
    <t>chave 558</t>
  </si>
  <si>
    <t>HAMA PRESENTES E PAPELARIA II LTDA </t>
  </si>
  <si>
    <t>JARDIM CIDADE NOVA </t>
  </si>
  <si>
    <t>37044130</t>
  </si>
  <si>
    <t>chave 559</t>
  </si>
  <si>
    <t>RAFFAELLY PAPELARIA LTDA </t>
  </si>
  <si>
    <t>chave 560</t>
  </si>
  <si>
    <t>PAPELARIA E COPIADORA COPYSUL LTDA </t>
  </si>
  <si>
    <t>37010000</t>
  </si>
  <si>
    <t>chave 561</t>
  </si>
  <si>
    <t>LPC  LIVRARIA E PAPELARIA CALACA LTDA </t>
  </si>
  <si>
    <t>chave 562</t>
  </si>
  <si>
    <t>DUARTE &amp; FILHOS LTDA </t>
  </si>
  <si>
    <t>CURVELO</t>
  </si>
  <si>
    <t>35790123</t>
  </si>
  <si>
    <t>chave 563</t>
  </si>
  <si>
    <t>ARTEBRILHO MULTSERVICOS LTDA </t>
  </si>
  <si>
    <t>CACHOEIRINHA </t>
  </si>
  <si>
    <t>31130130</t>
  </si>
  <si>
    <t>chave 564</t>
  </si>
  <si>
    <t>LINKMED FARMACEUTICA LTDA </t>
  </si>
  <si>
    <t>PIRAPORA</t>
  </si>
  <si>
    <t>39270000</t>
  </si>
  <si>
    <t>chave 565</t>
  </si>
  <si>
    <t>MILCOPY DISTRIBUIDORA LTDA </t>
  </si>
  <si>
    <t>ELDORADO </t>
  </si>
  <si>
    <t>32310000</t>
  </si>
  <si>
    <t>chave 566</t>
  </si>
  <si>
    <t>COMERCIAL TERRA LTDA </t>
  </si>
  <si>
    <t>Japaraíba</t>
  </si>
  <si>
    <t>35580000</t>
  </si>
  <si>
    <t>chave 567</t>
  </si>
  <si>
    <t>PAPELARIA AMARELINHO GRAFICA RAPIDA E COPIADORA LTDA </t>
  </si>
  <si>
    <t>ALFENAS</t>
  </si>
  <si>
    <t>CRUZ PRETA </t>
  </si>
  <si>
    <t>37130000</t>
  </si>
  <si>
    <t>chave 568</t>
  </si>
  <si>
    <t>PAPELARIA LEBLON LTDA </t>
  </si>
  <si>
    <t>São João del Rei</t>
  </si>
  <si>
    <t>36307330</t>
  </si>
  <si>
    <t>chave 569</t>
  </si>
  <si>
    <t>MARLUVAS EQUIPAMENTOS DE SEGURANCA LTDA </t>
  </si>
  <si>
    <t>DORES DE CAMPOS</t>
  </si>
  <si>
    <t>ZONA RURAL </t>
  </si>
  <si>
    <t>36213000</t>
  </si>
  <si>
    <t>chave 570</t>
  </si>
  <si>
    <t>S GUTIERREZ COM E REPRESENTACOES LTDA </t>
  </si>
  <si>
    <t>chave 571</t>
  </si>
  <si>
    <t>COMERCIAL TEXEIRA &amp; PAPELARIA LTDA </t>
  </si>
  <si>
    <t>39800087</t>
  </si>
  <si>
    <t>chave 572</t>
  </si>
  <si>
    <t>LL RABISCO LTDA </t>
  </si>
  <si>
    <t>Alvinópolis</t>
  </si>
  <si>
    <t>35950000</t>
  </si>
  <si>
    <t>chave 573</t>
  </si>
  <si>
    <t>RJ PAPELARIA E SUPRIMENTOS LTDA </t>
  </si>
  <si>
    <t>36570087</t>
  </si>
  <si>
    <t>chave 574</t>
  </si>
  <si>
    <t>DIMECOL DISTRIBUIDORA DE MATERIAIS PARA ESCRITORIO COLINA LTDA </t>
  </si>
  <si>
    <t>RANCHO ALEGRE </t>
  </si>
  <si>
    <t>35502456</t>
  </si>
  <si>
    <t>chave 575</t>
  </si>
  <si>
    <t>D'MAIS PRESENTES E PAPELARIA LTDA </t>
  </si>
  <si>
    <t>chave 576</t>
  </si>
  <si>
    <t>MARTIPEL COMERCIAL LTDA </t>
  </si>
  <si>
    <t>35300036</t>
  </si>
  <si>
    <t>chave 577</t>
  </si>
  <si>
    <t>COPRESS LTDA </t>
  </si>
  <si>
    <t>PONTE NOVA</t>
  </si>
  <si>
    <t>PALMEIRAS </t>
  </si>
  <si>
    <t>35430225</t>
  </si>
  <si>
    <t>chave 578</t>
  </si>
  <si>
    <t>PAPELARIA COUTO LTDA </t>
  </si>
  <si>
    <t>João Pinheiro</t>
  </si>
  <si>
    <t>38770000</t>
  </si>
  <si>
    <t>chave 579</t>
  </si>
  <si>
    <t>GLOBO COMERCIO E SERVICOS LTDA </t>
  </si>
  <si>
    <t>TUPACIGUARA</t>
  </si>
  <si>
    <t>38480000</t>
  </si>
  <si>
    <t>chave 580</t>
  </si>
  <si>
    <t>BOCAO ATACADO ARM E BIJOTERIA LTDA </t>
  </si>
  <si>
    <t>32145480</t>
  </si>
  <si>
    <t>chave 581</t>
  </si>
  <si>
    <t>COPYMAIS ATACADO E VAREJO PAPELARIA LTDA </t>
  </si>
  <si>
    <t>Alfenas</t>
  </si>
  <si>
    <t>37130093</t>
  </si>
  <si>
    <t>chave 582</t>
  </si>
  <si>
    <t>PAPELARIA SANTA RITA LTDA </t>
  </si>
  <si>
    <t>36013090</t>
  </si>
  <si>
    <t>chave 583</t>
  </si>
  <si>
    <t>SPACE NET INFORMATICA DE PV E SERVICOS LTDA </t>
  </si>
  <si>
    <t>PONTO DOS VOLANTES</t>
  </si>
  <si>
    <t>39615000</t>
  </si>
  <si>
    <t>chave 584</t>
  </si>
  <si>
    <t>COOP.DE CONS.DOS EMPREG.DA USIMINAS LTDA </t>
  </si>
  <si>
    <t>35160290</t>
  </si>
  <si>
    <t>chave 585</t>
  </si>
  <si>
    <t>LR DISTRIBUIDORA DE SUPRIMENTOS PARA ESCRITORIO LTDA </t>
  </si>
  <si>
    <t>AGUA BRANCA </t>
  </si>
  <si>
    <t>32371130</t>
  </si>
  <si>
    <t>chave 586</t>
  </si>
  <si>
    <t>SUPERMERCADO BERNARDAO LTDA </t>
  </si>
  <si>
    <t>Patrocínio</t>
  </si>
  <si>
    <t>MORADA NOVA </t>
  </si>
  <si>
    <t>38748600</t>
  </si>
  <si>
    <t>chave 587</t>
  </si>
  <si>
    <t>MARCO EMILIO COSTA LTDA </t>
  </si>
  <si>
    <t>ESPERA FELIZ</t>
  </si>
  <si>
    <t>36830000</t>
  </si>
  <si>
    <t>chave 588</t>
  </si>
  <si>
    <t>FENIX DISTRIBUIDORA COMERCIO E SERVICO LTDA </t>
  </si>
  <si>
    <t>39400077</t>
  </si>
  <si>
    <t>chave 589</t>
  </si>
  <si>
    <t>PRIMA LETTERA PAPELARIA LTDA </t>
  </si>
  <si>
    <t>LAVRAS</t>
  </si>
  <si>
    <t>37200194</t>
  </si>
  <si>
    <t>chave 590</t>
  </si>
  <si>
    <t>PINHEIRO PRODUTOS DE PAPELARIA LTDA </t>
  </si>
  <si>
    <t>38705184</t>
  </si>
  <si>
    <t>chave 591</t>
  </si>
  <si>
    <t>PAPELARIA PAPEL DE OURO LTDA </t>
  </si>
  <si>
    <t>35500026</t>
  </si>
  <si>
    <t>chave 592</t>
  </si>
  <si>
    <t>ARLINDO FERREIRA MENDES PAPELARIA E PRESENTES LTDA </t>
  </si>
  <si>
    <t>SALINAS</t>
  </si>
  <si>
    <t>39560000</t>
  </si>
  <si>
    <t>chave 593</t>
  </si>
  <si>
    <t>MULTI COPY DO BRASIL LTDA </t>
  </si>
  <si>
    <t>GOVERNADOR VALADARES</t>
  </si>
  <si>
    <t>LOURDES </t>
  </si>
  <si>
    <t>35032300</t>
  </si>
  <si>
    <t>chave 594</t>
  </si>
  <si>
    <t>PAPELARIA CENTRAL DE MURIAE LTDA </t>
  </si>
  <si>
    <t>chave 595</t>
  </si>
  <si>
    <t>LFA E CIA LTDA </t>
  </si>
  <si>
    <t>chave 596</t>
  </si>
  <si>
    <t>PEREIRA &amp; COSTA LTDA </t>
  </si>
  <si>
    <t>Perdões</t>
  </si>
  <si>
    <t>37260000</t>
  </si>
  <si>
    <t>chave 597</t>
  </si>
  <si>
    <t>MAXPEL PAPELARIA E PRESENTES LTDA </t>
  </si>
  <si>
    <t>Santa Rita do Sapucaí</t>
  </si>
  <si>
    <t>37540000</t>
  </si>
  <si>
    <t>chave 598</t>
  </si>
  <si>
    <t>CARBONO LTDA </t>
  </si>
  <si>
    <t>Timóteo</t>
  </si>
  <si>
    <t>35180016</t>
  </si>
  <si>
    <t>chave 599</t>
  </si>
  <si>
    <t>NOBELESS COMERCIO VAREJISTA 2020 LTDA </t>
  </si>
  <si>
    <t>RJ</t>
  </si>
  <si>
    <t>RIO DE JANEIRO</t>
  </si>
  <si>
    <t>BONSUCESSO </t>
  </si>
  <si>
    <t>21032150</t>
  </si>
  <si>
    <t>Andre Pacheco</t>
  </si>
  <si>
    <t>chave 600</t>
  </si>
  <si>
    <t>PAPELARIA E LIVRARIA SEMIANA LTDA </t>
  </si>
  <si>
    <t>ITAOCARA</t>
  </si>
  <si>
    <t>28570000</t>
  </si>
  <si>
    <t>chave 601</t>
  </si>
  <si>
    <t>PAPELARIA JARDIM LARGO DO MACHADO LTDA </t>
  </si>
  <si>
    <t>CATETE </t>
  </si>
  <si>
    <t>22221020</t>
  </si>
  <si>
    <t>chave 602</t>
  </si>
  <si>
    <t>L F CLARO BAZAR </t>
  </si>
  <si>
    <t>São João de Meriti</t>
  </si>
  <si>
    <t>25520001</t>
  </si>
  <si>
    <t>chave 603</t>
  </si>
  <si>
    <t>INOVAR PAPELARIA E FESTAS LTDA </t>
  </si>
  <si>
    <t>CAMPOS DOS GOYTACAZES</t>
  </si>
  <si>
    <t>TURF CLUB </t>
  </si>
  <si>
    <t>28030002</t>
  </si>
  <si>
    <t>chave 604</t>
  </si>
  <si>
    <t>PAPELARIA AMARAL PEIXOTO LTDA </t>
  </si>
  <si>
    <t>VOLTA REDONDA</t>
  </si>
  <si>
    <t>27253222</t>
  </si>
  <si>
    <t>chave 605</t>
  </si>
  <si>
    <t>LUMYLI COMERCIO VAREJISTA DE PAPELARIA E AVIAMENTOS LTDA </t>
  </si>
  <si>
    <t>23070270</t>
  </si>
  <si>
    <t>chave 606</t>
  </si>
  <si>
    <t>PAPELARIA BOOZ LTDA </t>
  </si>
  <si>
    <t>Três Rios</t>
  </si>
  <si>
    <t>25802180</t>
  </si>
  <si>
    <t>chave 607</t>
  </si>
  <si>
    <t>ARMARINHO DELMAR LTDA </t>
  </si>
  <si>
    <t>20061015</t>
  </si>
  <si>
    <t>chave 608</t>
  </si>
  <si>
    <t>COISA E TAL DE MADUREIRA PAPELARIA E BAZAR LTDA </t>
  </si>
  <si>
    <t>MADUREIRA </t>
  </si>
  <si>
    <t>21360201</t>
  </si>
  <si>
    <t>chave 609</t>
  </si>
  <si>
    <t>CRISCLAU BAZAR LTDA </t>
  </si>
  <si>
    <t>ARARUAMA</t>
  </si>
  <si>
    <t>28970000</t>
  </si>
  <si>
    <t>chave 610</t>
  </si>
  <si>
    <t>MODERNA PAPELARIA E LIVRARIA LTDA </t>
  </si>
  <si>
    <t>Barra do Piraí</t>
  </si>
  <si>
    <t>27123000</t>
  </si>
  <si>
    <t>chave 611</t>
  </si>
  <si>
    <t>MINAS GERAL COMERCIAL LTDA </t>
  </si>
  <si>
    <t>BARRA MANSA</t>
  </si>
  <si>
    <t>VISTA ALEGRE </t>
  </si>
  <si>
    <t>27345310</t>
  </si>
  <si>
    <t>chave 612</t>
  </si>
  <si>
    <t>CASA &amp; VIDEO BRASIL S.A </t>
  </si>
  <si>
    <t>QUEIMADOS</t>
  </si>
  <si>
    <t>MEU RANCHINHO </t>
  </si>
  <si>
    <t>26379160</t>
  </si>
  <si>
    <t>chave 613</t>
  </si>
  <si>
    <t>ATUAL MACAENSE COM.MAT.ESCR.LTDA </t>
  </si>
  <si>
    <t>Macaé</t>
  </si>
  <si>
    <t>VISCONDE DE ARAUJO </t>
  </si>
  <si>
    <t>27943031</t>
  </si>
  <si>
    <t>chave 614</t>
  </si>
  <si>
    <t>SAQUA PAP BAZAR 01 LTDA </t>
  </si>
  <si>
    <t>SAQUAREMA</t>
  </si>
  <si>
    <t>BACAXA </t>
  </si>
  <si>
    <t>28994750</t>
  </si>
  <si>
    <t>chave 615</t>
  </si>
  <si>
    <t>B F C DE OLIVEIRA COMERCIO E SERVICOS </t>
  </si>
  <si>
    <t>São Pedro da Aldeia</t>
  </si>
  <si>
    <t>FLUMINENSE </t>
  </si>
  <si>
    <t>28941348</t>
  </si>
  <si>
    <t>chave 616</t>
  </si>
  <si>
    <t>PAPELARIA BAZAR 1 DE MARCO LTDA </t>
  </si>
  <si>
    <t>TIJUCA </t>
  </si>
  <si>
    <t>20520054</t>
  </si>
  <si>
    <t>chave 617</t>
  </si>
  <si>
    <t>TORRE DE BELEM ART.P/ESCR E PAPELARIA LTDA </t>
  </si>
  <si>
    <t>TAQUARA </t>
  </si>
  <si>
    <t>22725530</t>
  </si>
  <si>
    <t>chave 618</t>
  </si>
  <si>
    <t>A &amp; I UTILIDADES DO LAR LTDA </t>
  </si>
  <si>
    <t>PARQUE AEROPORTO </t>
  </si>
  <si>
    <t>27937300</t>
  </si>
  <si>
    <t>chave 619</t>
  </si>
  <si>
    <t>SAKURA PRESENTES LTDA </t>
  </si>
  <si>
    <t>Itaguaí</t>
  </si>
  <si>
    <t>23815460</t>
  </si>
  <si>
    <t>chave 620</t>
  </si>
  <si>
    <t>ARMAZEM A FAVORITA LTDA </t>
  </si>
  <si>
    <t>COCOTA </t>
  </si>
  <si>
    <t>21921040</t>
  </si>
  <si>
    <t>chave 621</t>
  </si>
  <si>
    <t>PAPELARIA SEMADRI LTDA </t>
  </si>
  <si>
    <t>Petrópolis</t>
  </si>
  <si>
    <t>25620002</t>
  </si>
  <si>
    <t>chave 622</t>
  </si>
  <si>
    <t>ANDRI SOLUCOES COMERCIO DE SUPRIMENTOS LTDA </t>
  </si>
  <si>
    <t>PARACAMBI</t>
  </si>
  <si>
    <t>26600000</t>
  </si>
  <si>
    <t>chave 623</t>
  </si>
  <si>
    <t>PRINTLAGOS COMERCIO ATACADISTA E VAREJISTA LTDA </t>
  </si>
  <si>
    <t>28979129</t>
  </si>
  <si>
    <t>chave 624</t>
  </si>
  <si>
    <t>FERNANDO MAIA PINHEIRO </t>
  </si>
  <si>
    <t>Teresópolis</t>
  </si>
  <si>
    <t>25953232</t>
  </si>
  <si>
    <t>chave 625</t>
  </si>
  <si>
    <t>PAPELARIA ANCHIETA LTDA </t>
  </si>
  <si>
    <t>Magé</t>
  </si>
  <si>
    <t>25900106</t>
  </si>
  <si>
    <t>chave 626</t>
  </si>
  <si>
    <t>R &amp; R NEGOCIOS E SOLUCOES EMPRESARIAS LTDA </t>
  </si>
  <si>
    <t>VALENÇA</t>
  </si>
  <si>
    <t>27600000</t>
  </si>
  <si>
    <t>chave 627</t>
  </si>
  <si>
    <t>CRISTIL COMERCIO E BAZAR LTDA </t>
  </si>
  <si>
    <t>MACAÉ</t>
  </si>
  <si>
    <t>BARRA DE MACAE </t>
  </si>
  <si>
    <t>27961076</t>
  </si>
  <si>
    <t>chave 628</t>
  </si>
  <si>
    <t>A C PEREIRA PAPELARIA LTDA </t>
  </si>
  <si>
    <t>27910060</t>
  </si>
  <si>
    <t>chave 629</t>
  </si>
  <si>
    <t>SUPER UTIL LOJA DE VARIEDADES LTDA </t>
  </si>
  <si>
    <t>Porciúncula</t>
  </si>
  <si>
    <t>28390000</t>
  </si>
  <si>
    <t>chave 630</t>
  </si>
  <si>
    <t>TT BRASIL COMERCIO INTERNACIONAL LTDA </t>
  </si>
  <si>
    <t>DUQUE DE CAXIAS</t>
  </si>
  <si>
    <t>PARQUE BOA VISTA II </t>
  </si>
  <si>
    <t>25085009</t>
  </si>
  <si>
    <t>chave 631</t>
  </si>
  <si>
    <t>SILVIA MODAS - COMERCIO DE ROUPAS E ACESSORIOS LTDA </t>
  </si>
  <si>
    <t>SÃO GONÇALO</t>
  </si>
  <si>
    <t>24445360</t>
  </si>
  <si>
    <t>chave 632</t>
  </si>
  <si>
    <t>GERALDO D LOPES GOMES </t>
  </si>
  <si>
    <t>VILA SANTA CECILIA </t>
  </si>
  <si>
    <t>27260110</t>
  </si>
  <si>
    <t>chave 633</t>
  </si>
  <si>
    <t>BAZAR BRINQUELANDIA LTDA </t>
  </si>
  <si>
    <t>LEBLON </t>
  </si>
  <si>
    <t>22440035</t>
  </si>
  <si>
    <t>chave 634</t>
  </si>
  <si>
    <t>SEPOL COMERCIO CABO FRIO LTDA </t>
  </si>
  <si>
    <t>CABO FRIO</t>
  </si>
  <si>
    <t>28905220</t>
  </si>
  <si>
    <t>chave 635</t>
  </si>
  <si>
    <t>LAXMY PAPELARIA COMERCIO E DISTRIBUIDORA LTDA </t>
  </si>
  <si>
    <t>RIO DAS OSTRAS</t>
  </si>
  <si>
    <t>JARDIM MARILEA </t>
  </si>
  <si>
    <t>28896070</t>
  </si>
  <si>
    <t>chave 636</t>
  </si>
  <si>
    <t>CONNECTION QUISSA COM. E SERV. LTDA </t>
  </si>
  <si>
    <t>Quissamã</t>
  </si>
  <si>
    <t>28735000</t>
  </si>
  <si>
    <t>chave 637</t>
  </si>
  <si>
    <t>S.P.S PRESENTES LTDA </t>
  </si>
  <si>
    <t>ILHA DO GOVERNADOR </t>
  </si>
  <si>
    <t>21921001</t>
  </si>
  <si>
    <t>chave 638</t>
  </si>
  <si>
    <t>DC ATACADO LTDA </t>
  </si>
  <si>
    <t>SUMIDOURO</t>
  </si>
  <si>
    <t>28637000</t>
  </si>
  <si>
    <t>chave 639</t>
  </si>
  <si>
    <t>F. B. A. EMBALAGENS, DESCARTAVEIS E PAPELARIA LTDA </t>
  </si>
  <si>
    <t>PQ JARDIM CARIOCA </t>
  </si>
  <si>
    <t>28080425</t>
  </si>
  <si>
    <t>chave 640</t>
  </si>
  <si>
    <t>MJS DUARTE LTDA </t>
  </si>
  <si>
    <t>20081000</t>
  </si>
  <si>
    <t>chave 641</t>
  </si>
  <si>
    <t>GESSE CAITANO DE OLIVEIRA PAPELARIA </t>
  </si>
  <si>
    <t>BELFORD ROXO</t>
  </si>
  <si>
    <t>PIAM </t>
  </si>
  <si>
    <t>26112180</t>
  </si>
  <si>
    <t>chave 642</t>
  </si>
  <si>
    <t>RAINHA DOS DOCES LTDA </t>
  </si>
  <si>
    <t>28010802</t>
  </si>
  <si>
    <t>chave 643</t>
  </si>
  <si>
    <t>P W DE SOUZA LTDA </t>
  </si>
  <si>
    <t>São Fidélis</t>
  </si>
  <si>
    <t>28400000</t>
  </si>
  <si>
    <t>chave 644</t>
  </si>
  <si>
    <t>HHR JW RIO DE JANEIRO INVESTIMENTOS HOTELEIROS LTDA </t>
  </si>
  <si>
    <t>COPACABANA </t>
  </si>
  <si>
    <t>22041001</t>
  </si>
  <si>
    <t>chave 645</t>
  </si>
  <si>
    <t>POLO DISTRIBUIDORA E PRESTADORA DE SERVICOS LTDA </t>
  </si>
  <si>
    <t>Rio de Janeiro</t>
  </si>
  <si>
    <t>MAGALHAES BASTOS </t>
  </si>
  <si>
    <t>21750320</t>
  </si>
  <si>
    <t>chave 646</t>
  </si>
  <si>
    <t>COMERCIAL KING DE MADUREIRA LTDA </t>
  </si>
  <si>
    <t>21360000</t>
  </si>
  <si>
    <t>chave 647</t>
  </si>
  <si>
    <t>IDEAL PAPEIS E CIA LTDA </t>
  </si>
  <si>
    <t>JARDIM ESPERANCA </t>
  </si>
  <si>
    <t>28920000</t>
  </si>
  <si>
    <t>chave 648</t>
  </si>
  <si>
    <t>LUBAVAS FRIBURGO PAPELARIA LTDA </t>
  </si>
  <si>
    <t>NOVA FRIBURGO</t>
  </si>
  <si>
    <t>28610005</t>
  </si>
  <si>
    <t>chave 649</t>
  </si>
  <si>
    <t>NEW PAPER PAPELARIA E UTILIDADES LTDA </t>
  </si>
  <si>
    <t>Nova Friburgo</t>
  </si>
  <si>
    <t>28610050</t>
  </si>
  <si>
    <t>chave 650</t>
  </si>
  <si>
    <t>NOVA RIO CARGAS TRANSPORTE E LOGISTICA LTDA </t>
  </si>
  <si>
    <t>PAVUNA </t>
  </si>
  <si>
    <t>21535490</t>
  </si>
  <si>
    <t>chave 651</t>
  </si>
  <si>
    <t>STANFORD NORTE LIVRARIA E PAPELARIA LTDA EPP </t>
  </si>
  <si>
    <t>CACHAMBI </t>
  </si>
  <si>
    <t>20751003</t>
  </si>
  <si>
    <t>chave 652</t>
  </si>
  <si>
    <t>PAPELARIA ESCOLAR LTDA </t>
  </si>
  <si>
    <t>STA CECILIA </t>
  </si>
  <si>
    <t>27211130</t>
  </si>
  <si>
    <t>chave 653</t>
  </si>
  <si>
    <t>S A B RAMOS COMERCIO DE UTILIDADES PARA O LAR LTDA </t>
  </si>
  <si>
    <t>27910110</t>
  </si>
  <si>
    <t>chave 654</t>
  </si>
  <si>
    <t>BAZAR BEVERLY LTDA </t>
  </si>
  <si>
    <t>MIRACEMA</t>
  </si>
  <si>
    <t>SANTA TERESA </t>
  </si>
  <si>
    <t>28460000</t>
  </si>
  <si>
    <t>chave 655</t>
  </si>
  <si>
    <t>OFFICE PAPER COMERCIO DE PAPEIS LTDA </t>
  </si>
  <si>
    <t>chave 656</t>
  </si>
  <si>
    <t>AGM ATACADO DIGITAL LTDA </t>
  </si>
  <si>
    <t>24416010</t>
  </si>
  <si>
    <t>chave 657</t>
  </si>
  <si>
    <t>PLASTIMARCOS COMERCIO DE EMBALAGENS LTDA </t>
  </si>
  <si>
    <t>PARQUE CALABOUCO </t>
  </si>
  <si>
    <t>28083102</t>
  </si>
  <si>
    <t>chave 658</t>
  </si>
  <si>
    <t>HZINE VARIEDADES LTDA </t>
  </si>
  <si>
    <t>28613210</t>
  </si>
  <si>
    <t>chave 659</t>
  </si>
  <si>
    <t>HORIZONTE E-COMMERCE LTDA </t>
  </si>
  <si>
    <t>JD VINTE E CINCO DE AGOSTO </t>
  </si>
  <si>
    <t>25071112</t>
  </si>
  <si>
    <t>chave 660</t>
  </si>
  <si>
    <t>PRIMUS RIO COMERCIO DE UTILIDADES DO LAR LTDA </t>
  </si>
  <si>
    <t>VIGARIO GERAL </t>
  </si>
  <si>
    <t>21241180</t>
  </si>
  <si>
    <t>chave 661</t>
  </si>
  <si>
    <t>CATE PAPELARIA E PRESENTES LTDA </t>
  </si>
  <si>
    <t>chave 662</t>
  </si>
  <si>
    <t>ALEGRIA E FESTA LTDA </t>
  </si>
  <si>
    <t>NOVO RIO DAS OSTRAS </t>
  </si>
  <si>
    <t>28893473</t>
  </si>
  <si>
    <t>chave 663</t>
  </si>
  <si>
    <t>MARIA JOSE DISTRIBUIDORA DE ARTIGOS EVANGELICOS </t>
  </si>
  <si>
    <t>ANGRA DOS REIS</t>
  </si>
  <si>
    <t>23934005</t>
  </si>
  <si>
    <t>chave 664</t>
  </si>
  <si>
    <t>GLOBAL ATACADAO COMERCIO LTDA </t>
  </si>
  <si>
    <t>PARQUE ELDORADO </t>
  </si>
  <si>
    <t>25240005</t>
  </si>
  <si>
    <t>chave 665</t>
  </si>
  <si>
    <t>LIDER COPY LTDA </t>
  </si>
  <si>
    <t>PINHEIRAL</t>
  </si>
  <si>
    <t>27197000</t>
  </si>
  <si>
    <t>chave 666</t>
  </si>
  <si>
    <t>PAPELARIA SU-ROSSETO LTDA </t>
  </si>
  <si>
    <t>26130050</t>
  </si>
  <si>
    <t>chave 667</t>
  </si>
  <si>
    <t>ENCANTERIA PAPELARIA E PRESENTES LTDA </t>
  </si>
  <si>
    <t>MARICÁ</t>
  </si>
  <si>
    <t>CHACARAS DE INOA </t>
  </si>
  <si>
    <t>24940653</t>
  </si>
  <si>
    <t>chave 668</t>
  </si>
  <si>
    <t>SILVIO DE CARVALHO AFONSO BAZAR E PAPELARIA </t>
  </si>
  <si>
    <t>21360901</t>
  </si>
  <si>
    <t>chave 669</t>
  </si>
  <si>
    <t>PAPER PAPELARIA E PRESENTE LTDA </t>
  </si>
  <si>
    <t>20040901</t>
  </si>
  <si>
    <t>chave 670</t>
  </si>
  <si>
    <t>PAPELARIA GRADIM 2093 LTDA </t>
  </si>
  <si>
    <t>São Gonçalo</t>
  </si>
  <si>
    <t>PARAISO </t>
  </si>
  <si>
    <t>24431005</t>
  </si>
  <si>
    <t>chave 671</t>
  </si>
  <si>
    <t>POLIGRAFICA BAZAR LTDA </t>
  </si>
  <si>
    <t>BARRA DA TIJUCA </t>
  </si>
  <si>
    <t>22631003</t>
  </si>
  <si>
    <t>chave 672</t>
  </si>
  <si>
    <t>DANNEMANN,SIEMSEN,BIGLER E IPANEMA MOREIRA PROPRIEDADE INDUSTRIAL LTDA </t>
  </si>
  <si>
    <t>22620350</t>
  </si>
  <si>
    <t>chave 673</t>
  </si>
  <si>
    <t>FS BUSATO PAPELARIA LTDA </t>
  </si>
  <si>
    <t>ITAIPAVA </t>
  </si>
  <si>
    <t>25750225</t>
  </si>
  <si>
    <t>chave 674</t>
  </si>
  <si>
    <t>BAZAR LELIVIA LTDA </t>
  </si>
  <si>
    <t>CONSELHEIRO PAULINO </t>
  </si>
  <si>
    <t>28635460</t>
  </si>
  <si>
    <t>chave 675</t>
  </si>
  <si>
    <t>JB BETA  BAZAR E PAPELARIA LTDA </t>
  </si>
  <si>
    <t>28979102</t>
  </si>
  <si>
    <t>chave 676</t>
  </si>
  <si>
    <t>PAPELARIA E BAZAR POLGRYMAS LTDA </t>
  </si>
  <si>
    <t>SP</t>
  </si>
  <si>
    <t>São Paulo</t>
  </si>
  <si>
    <t>VILA ZELINA </t>
  </si>
  <si>
    <t>03141080</t>
  </si>
  <si>
    <t>Fernanda</t>
  </si>
  <si>
    <t>chave 677</t>
  </si>
  <si>
    <t>T RODRIGUES DA SILVA COMERCIO </t>
  </si>
  <si>
    <t>SANTO ANDRÉ</t>
  </si>
  <si>
    <t>PARQUE ORATORIO </t>
  </si>
  <si>
    <t>09251110</t>
  </si>
  <si>
    <t>Denilson</t>
  </si>
  <si>
    <t>chave 678</t>
  </si>
  <si>
    <t>SUPRICORP SUPRIMENTOS LTDA </t>
  </si>
  <si>
    <t>BARUERI</t>
  </si>
  <si>
    <t>JD. BELVAL </t>
  </si>
  <si>
    <t>06422122</t>
  </si>
  <si>
    <t>chave 679</t>
  </si>
  <si>
    <t>NAZIH TAHA GHUNEIM LTDA </t>
  </si>
  <si>
    <t>01023001</t>
  </si>
  <si>
    <t>chave 680</t>
  </si>
  <si>
    <t>LOJA TENDTUDO UTILIDADES LTDA </t>
  </si>
  <si>
    <t>PARQUE SAO DOMINGOS </t>
  </si>
  <si>
    <t>05122070</t>
  </si>
  <si>
    <t>chave 681</t>
  </si>
  <si>
    <t>SUPRI PERDIZES PAPELARIA E INFORMATICA LTDA </t>
  </si>
  <si>
    <t>PERDIZES </t>
  </si>
  <si>
    <t>05013000</t>
  </si>
  <si>
    <t>chave 682</t>
  </si>
  <si>
    <t>ADRSTORE COMERCIO EM GERAL LTDA </t>
  </si>
  <si>
    <t>SÃO PAULO</t>
  </si>
  <si>
    <t>VILA PAULO SILAS </t>
  </si>
  <si>
    <t>03264000</t>
  </si>
  <si>
    <t>chave 683</t>
  </si>
  <si>
    <t>MONIMAQ CONFECCOES E COMERCIO LTDA </t>
  </si>
  <si>
    <t>chave 684</t>
  </si>
  <si>
    <t>FONTES CRISOSTOMO COM SERV E TRANSP.LTDA </t>
  </si>
  <si>
    <t>GUARULHOS</t>
  </si>
  <si>
    <t>JARDIM OTTAWA </t>
  </si>
  <si>
    <t>07230270</t>
  </si>
  <si>
    <t>chave 685</t>
  </si>
  <si>
    <t>ENCANTADA PAPELARIA E PRESENTES LTDA </t>
  </si>
  <si>
    <t>JARDIM PLANALTO </t>
  </si>
  <si>
    <t>03988000</t>
  </si>
  <si>
    <t>chave 686</t>
  </si>
  <si>
    <t>PARIZOTTO COMERCIO DE PAPEIS LTDA </t>
  </si>
  <si>
    <t>OSASCO</t>
  </si>
  <si>
    <t>JD. CIPAVA </t>
  </si>
  <si>
    <t>06053000</t>
  </si>
  <si>
    <t>chave 687</t>
  </si>
  <si>
    <t>TANBY COMERCIO DE PAPEIS LIMITADA </t>
  </si>
  <si>
    <t>São José dos Campos</t>
  </si>
  <si>
    <t>JD VALE PARAISO </t>
  </si>
  <si>
    <t>12245031</t>
  </si>
  <si>
    <t>chave 688</t>
  </si>
  <si>
    <t>BRASILFIJ DISTRIBUIDORA LTDA </t>
  </si>
  <si>
    <t>Igaratá</t>
  </si>
  <si>
    <t>12350000</t>
  </si>
  <si>
    <t>chave 689</t>
  </si>
  <si>
    <t>PIPASAN COMERCIAL LTDA </t>
  </si>
  <si>
    <t>PARQUE EDU CHAVES </t>
  </si>
  <si>
    <t>02229000</t>
  </si>
  <si>
    <t>chave 690</t>
  </si>
  <si>
    <t>MPH SILVA </t>
  </si>
  <si>
    <t>SÃO JOSÉ DOS CAMPOS</t>
  </si>
  <si>
    <t>VILA TATETUBA </t>
  </si>
  <si>
    <t>12220230</t>
  </si>
  <si>
    <t>chave 691</t>
  </si>
  <si>
    <t>FUNDACAO JOAO PAULO II </t>
  </si>
  <si>
    <t>CACHOEIRA PAULISTA</t>
  </si>
  <si>
    <t>ALTO BELA VISTA </t>
  </si>
  <si>
    <t>12630000</t>
  </si>
  <si>
    <t>chave 692</t>
  </si>
  <si>
    <t>A. F. ACIOLI &amp; COMPANHIA LTDA. </t>
  </si>
  <si>
    <t>São Sebastião</t>
  </si>
  <si>
    <t>MORRO DO ABRIGO </t>
  </si>
  <si>
    <t>11600200</t>
  </si>
  <si>
    <t>chave 693</t>
  </si>
  <si>
    <t>FRONT ARQUITETURA E CONSTRUCAO LTDA </t>
  </si>
  <si>
    <t>VILA ROMANA </t>
  </si>
  <si>
    <t>05043020</t>
  </si>
  <si>
    <t>chave 694</t>
  </si>
  <si>
    <t>M8 DISTRIBUIDORA DE PRODUTOS LTDA </t>
  </si>
  <si>
    <t>SÃO CAETANO DO SUL</t>
  </si>
  <si>
    <t>09521005</t>
  </si>
  <si>
    <t>chave 695</t>
  </si>
  <si>
    <t>REYNAL COMERCIO DE PAPEIS LTDA </t>
  </si>
  <si>
    <t>VL N CACHOEIRINHA </t>
  </si>
  <si>
    <t>02721200</t>
  </si>
  <si>
    <t>chave 696</t>
  </si>
  <si>
    <t>PROJETA PUBLICIDADE E COMUNICACAO LTDA </t>
  </si>
  <si>
    <t>JD PARAISO </t>
  </si>
  <si>
    <t>02417180</t>
  </si>
  <si>
    <t>chave 697</t>
  </si>
  <si>
    <t>DIGITRON DISTRIBUIDORA TECNOLOGICAS LTDA </t>
  </si>
  <si>
    <t>JD ARPOADOR </t>
  </si>
  <si>
    <t>05565180</t>
  </si>
  <si>
    <t>chave 698</t>
  </si>
  <si>
    <t>TOK E LEVE PAP.E SUPRIM. P/INFORMATICA LTDA </t>
  </si>
  <si>
    <t>DIADEMA</t>
  </si>
  <si>
    <t>09981420</t>
  </si>
  <si>
    <t>chave 699</t>
  </si>
  <si>
    <t>J S YOU PRESENTES </t>
  </si>
  <si>
    <t>PARELHEIROS </t>
  </si>
  <si>
    <t>04892000</t>
  </si>
  <si>
    <t>chave 700</t>
  </si>
  <si>
    <t>DAMARIS RODRIGUES INDUSTRIA, COMERCIO E IMPORTACAO LTDA </t>
  </si>
  <si>
    <t>Ribeirão Preto</t>
  </si>
  <si>
    <t>RESIDENCIAL PRQ DOS SERVIDORES </t>
  </si>
  <si>
    <t>14094234</t>
  </si>
  <si>
    <t>chave 701</t>
  </si>
  <si>
    <t>MIMO BOM DISTRIBUIDORA LTDA </t>
  </si>
  <si>
    <t>ITAPECERICA DA SERRA</t>
  </si>
  <si>
    <t>JARDIM VALO VELHO </t>
  </si>
  <si>
    <t>06856700</t>
  </si>
  <si>
    <t>chave 702</t>
  </si>
  <si>
    <t>FATIMA APARECIDA CALLEGARI PICCININ </t>
  </si>
  <si>
    <t>Sumaré</t>
  </si>
  <si>
    <t>NOVA VENEZA </t>
  </si>
  <si>
    <t>13177050</t>
  </si>
  <si>
    <t>chave 703</t>
  </si>
  <si>
    <t>LOJA LUCKY LTDA </t>
  </si>
  <si>
    <t>JARDIM REGINA </t>
  </si>
  <si>
    <t>05174000</t>
  </si>
  <si>
    <t>chave 704</t>
  </si>
  <si>
    <t>BAZAR XERETA LTDA </t>
  </si>
  <si>
    <t>ITAQUAQUECETUBA</t>
  </si>
  <si>
    <t>VILA VIRGINIA </t>
  </si>
  <si>
    <t>08573000</t>
  </si>
  <si>
    <t>chave 705</t>
  </si>
  <si>
    <t>SHOPP CLICK ECOMMERCE LTDA </t>
  </si>
  <si>
    <t>JUNDIAI</t>
  </si>
  <si>
    <t>JARDIM FLORIDA </t>
  </si>
  <si>
    <t>13208703</t>
  </si>
  <si>
    <t>chave 706</t>
  </si>
  <si>
    <t>DUARTECH COMERCIAL LTDA </t>
  </si>
  <si>
    <t>Sorocaba</t>
  </si>
  <si>
    <t>JARDIM LEOCADIA </t>
  </si>
  <si>
    <t>18085450</t>
  </si>
  <si>
    <t>chave 707</t>
  </si>
  <si>
    <t>BIG NUNES COMERCIAL LTDA </t>
  </si>
  <si>
    <t>01025001</t>
  </si>
  <si>
    <t>chave 708</t>
  </si>
  <si>
    <t>MATRIZ COMERCIO DE PAPEIS LTDA </t>
  </si>
  <si>
    <t>04746000</t>
  </si>
  <si>
    <t>chave 709</t>
  </si>
  <si>
    <t>STARCAD BRASIL IND E COM DE CONFECCOES LTDA </t>
  </si>
  <si>
    <t>Santo André</t>
  </si>
  <si>
    <t>09251100</t>
  </si>
  <si>
    <t>chave 710</t>
  </si>
  <si>
    <t>STEFFANY BIJUTERIAS, PRES E UTILIDADES LTDA </t>
  </si>
  <si>
    <t>Marília</t>
  </si>
  <si>
    <t>17500120</t>
  </si>
  <si>
    <t>chave 711</t>
  </si>
  <si>
    <t>LOURDES P S MARTINS PAPELARIA LTDA </t>
  </si>
  <si>
    <t>MOGI DAS CRUZES</t>
  </si>
  <si>
    <t>BRAZ CUBAS </t>
  </si>
  <si>
    <t>08740010</t>
  </si>
  <si>
    <t>chave 712</t>
  </si>
  <si>
    <t>ALAN DE SOUZA ARAUJO JORNALEIRO </t>
  </si>
  <si>
    <t>JARDIM MYRNA </t>
  </si>
  <si>
    <t>04856070</t>
  </si>
  <si>
    <t>chave 713</t>
  </si>
  <si>
    <t>MERAKI PORCELANAS E MATERIAIS ARTISTICOS LTDA </t>
  </si>
  <si>
    <t>AMERICANA</t>
  </si>
  <si>
    <t>JARDIM IPIRANGA </t>
  </si>
  <si>
    <t>13468560</t>
  </si>
  <si>
    <t>chave 714</t>
  </si>
  <si>
    <t>ARMARINHO JORGE LTDA </t>
  </si>
  <si>
    <t>01025000</t>
  </si>
  <si>
    <t>chave 715</t>
  </si>
  <si>
    <t>SUPPORT EDITORA E PAPELARIA LTDA </t>
  </si>
  <si>
    <t>VILA MARIANA </t>
  </si>
  <si>
    <t>04112002</t>
  </si>
  <si>
    <t>chave 716</t>
  </si>
  <si>
    <t>LAPAPEL COMERCIO DE PAPEIS LTDA </t>
  </si>
  <si>
    <t>LAPA </t>
  </si>
  <si>
    <t>05050020</t>
  </si>
  <si>
    <t>chave 717</t>
  </si>
  <si>
    <t>RENEI - COMERCIAL PAPELARIA, INFORMATICA E DOCERIA LTDA </t>
  </si>
  <si>
    <t>VILA ISA </t>
  </si>
  <si>
    <t>04686001</t>
  </si>
  <si>
    <t>chave 718</t>
  </si>
  <si>
    <t>Cajamar</t>
  </si>
  <si>
    <t>EMPRESARIAL ANHANGUERA </t>
  </si>
  <si>
    <t>07753580</t>
  </si>
  <si>
    <t>chave 719</t>
  </si>
  <si>
    <t>VINICIUS VASQUES MORAES </t>
  </si>
  <si>
    <t>BARRETOS</t>
  </si>
  <si>
    <t>JOCKEY CLUB </t>
  </si>
  <si>
    <t>14787270</t>
  </si>
  <si>
    <t>chave 720</t>
  </si>
  <si>
    <t>ILUMINARE ESCOLA INTERNACIONAL LTDA </t>
  </si>
  <si>
    <t>PINHEIROS </t>
  </si>
  <si>
    <t>05422011</t>
  </si>
  <si>
    <t>chave 721</t>
  </si>
  <si>
    <t>PAPELARIA NOSSA SENHORA DA LAPA LTDA </t>
  </si>
  <si>
    <t>05074020</t>
  </si>
  <si>
    <t>chave 722</t>
  </si>
  <si>
    <t>BAZAR TUCANO LTDA </t>
  </si>
  <si>
    <t>CIDADE ADEMAR </t>
  </si>
  <si>
    <t>04366000</t>
  </si>
  <si>
    <t>chave 723</t>
  </si>
  <si>
    <t>REAL MIX COM DE UTILIDADE  DOMESTICA LTDA </t>
  </si>
  <si>
    <t>PIRAJUSSARA </t>
  </si>
  <si>
    <t>05789001</t>
  </si>
  <si>
    <t>chave 724</t>
  </si>
  <si>
    <t>49.940.084 MATHEUS KAUAN GONCALVES LEITE </t>
  </si>
  <si>
    <t>Hortolândia</t>
  </si>
  <si>
    <t>JARDIM DAS FIGUEIRAS II </t>
  </si>
  <si>
    <t>13187249</t>
  </si>
  <si>
    <t>chave 725</t>
  </si>
  <si>
    <t>NIVALMIX LOJA DE DEPARTAMENTOS LTDA </t>
  </si>
  <si>
    <t>São Bernardo do Campo</t>
  </si>
  <si>
    <t>09710001</t>
  </si>
  <si>
    <t>chave 726</t>
  </si>
  <si>
    <t>COMERCIAL PAPELARY CAPIVARI LTDA </t>
  </si>
  <si>
    <t>CAPIVARI</t>
  </si>
  <si>
    <t>13360000</t>
  </si>
  <si>
    <t>chave 727</t>
  </si>
  <si>
    <t>AKAI KB MAGAZINE E COSMETICOS LTDA </t>
  </si>
  <si>
    <t>SÃO VICENTE</t>
  </si>
  <si>
    <t>11310000</t>
  </si>
  <si>
    <t>chave 728</t>
  </si>
  <si>
    <t>GAZOLLI E CIA LTDA </t>
  </si>
  <si>
    <t>JD AIMORE </t>
  </si>
  <si>
    <t>08110430</t>
  </si>
  <si>
    <t>chave 729</t>
  </si>
  <si>
    <t>NEW HIGIPEL COMERCIAL LTDA </t>
  </si>
  <si>
    <t>PQ RES.CANDIDO PORTINARI </t>
  </si>
  <si>
    <t>14093526</t>
  </si>
  <si>
    <t>chave 730</t>
  </si>
  <si>
    <t>COMERCIO DE PAPELARIA ZONA LESTE LTDA </t>
  </si>
  <si>
    <t>VILA RE </t>
  </si>
  <si>
    <t>03658001</t>
  </si>
  <si>
    <t>chave 731</t>
  </si>
  <si>
    <t>COMERCIAL BRAZ RAIMUNDO LTDA </t>
  </si>
  <si>
    <t>PRAIA GRANDE</t>
  </si>
  <si>
    <t>VILA SONIA </t>
  </si>
  <si>
    <t>11722000</t>
  </si>
  <si>
    <t>chave 732</t>
  </si>
  <si>
    <t>MAURICIO WAGNER DE OLIVEIRA RODRIGUES </t>
  </si>
  <si>
    <t>LEME</t>
  </si>
  <si>
    <t>13610030</t>
  </si>
  <si>
    <t>chave 733</t>
  </si>
  <si>
    <t>ATACADO LILIKA UTILIDADES E PRESENTES LTDA </t>
  </si>
  <si>
    <t>SÃO JOSÉ DO RIO PRETO</t>
  </si>
  <si>
    <t>15046619</t>
  </si>
  <si>
    <t>chave 734</t>
  </si>
  <si>
    <t>ECOL COLEGIO E PRE VESTIBULAR LTDA </t>
  </si>
  <si>
    <t>CAMPINAS</t>
  </si>
  <si>
    <t>PQ RURAL FAZ SANTA CANDIDA </t>
  </si>
  <si>
    <t>13087560</t>
  </si>
  <si>
    <t>chave 735</t>
  </si>
  <si>
    <t>J. P. DA CRUZ GONCALVES MANUTENCAO E CONSERVACAO DE IMOVEIS </t>
  </si>
  <si>
    <t>VILA HELENA </t>
  </si>
  <si>
    <t>08081250</t>
  </si>
  <si>
    <t>chave 736</t>
  </si>
  <si>
    <t>RAMOS ACIOLI COMERCIO DE ARTIGOS DE PAPELARIA LTDA </t>
  </si>
  <si>
    <t>Peruíbe</t>
  </si>
  <si>
    <t>CIDADE BALNEARIA PERUIBE </t>
  </si>
  <si>
    <t>11770266</t>
  </si>
  <si>
    <t>chave 737</t>
  </si>
  <si>
    <t>YAOYAO WANG LTDA </t>
  </si>
  <si>
    <t>PORTO FERREIRA</t>
  </si>
  <si>
    <t>13660039</t>
  </si>
  <si>
    <t>chave 738</t>
  </si>
  <si>
    <t>LILISSA PRESENTES LTDA </t>
  </si>
  <si>
    <t>São José do Rio Preto</t>
  </si>
  <si>
    <t>15010010</t>
  </si>
  <si>
    <t>chave 739</t>
  </si>
  <si>
    <t>KM BIJUTERIAS MODA E ACESSORIOS LTDA </t>
  </si>
  <si>
    <t>ARARAS</t>
  </si>
  <si>
    <t>13600070</t>
  </si>
  <si>
    <t>chave 740</t>
  </si>
  <si>
    <t>J LI COMERCIO DE UTILIDADES E PRESENTES LTDA </t>
  </si>
  <si>
    <t>Paulínia</t>
  </si>
  <si>
    <t>JARDIM DOS CALEGARIS </t>
  </si>
  <si>
    <t>13140080</t>
  </si>
  <si>
    <t>chave 741</t>
  </si>
  <si>
    <t>UM MUNDO DE VARIEDADES LTDA </t>
  </si>
  <si>
    <t>CAMPO BELO </t>
  </si>
  <si>
    <t>04617006</t>
  </si>
  <si>
    <t>chave 742</t>
  </si>
  <si>
    <t>NATALIA OCHOA DA COSTA </t>
  </si>
  <si>
    <t>Embu</t>
  </si>
  <si>
    <t>JARDIM DOM JOSE </t>
  </si>
  <si>
    <t>06823301</t>
  </si>
  <si>
    <t>chave 743</t>
  </si>
  <si>
    <t>COMERCIAL MARTINS &amp; MARTINS LTDA </t>
  </si>
  <si>
    <t>São Vicente</t>
  </si>
  <si>
    <t>CONJ RES HUMAITA </t>
  </si>
  <si>
    <t>11349000</t>
  </si>
  <si>
    <t>chave 744</t>
  </si>
  <si>
    <t>AIRTON AMARO PAPELARIA LTDA </t>
  </si>
  <si>
    <t>Jundiaí</t>
  </si>
  <si>
    <t>VILA HORTOLANDIA </t>
  </si>
  <si>
    <t>13214101</t>
  </si>
  <si>
    <t>chave 745</t>
  </si>
  <si>
    <t>JANETE TANZI PEREIRA DOS SANTOS 07289255836 </t>
  </si>
  <si>
    <t>JD NOVA MICHIGAN II </t>
  </si>
  <si>
    <t>12225423</t>
  </si>
  <si>
    <t>chave 746</t>
  </si>
  <si>
    <t>MEC TOCA COMERCIAL DISTRIBUIDORA LTDA </t>
  </si>
  <si>
    <t>14015060</t>
  </si>
  <si>
    <t>chave 747</t>
  </si>
  <si>
    <t>BAZAR E PAPELARIA TAKAHASHI LTDA </t>
  </si>
  <si>
    <t>06850040</t>
  </si>
  <si>
    <t>chave 748</t>
  </si>
  <si>
    <t>MARK PAPELARIA E PRESENTES LTDA </t>
  </si>
  <si>
    <t>MIRASSOL</t>
  </si>
  <si>
    <t>15130000</t>
  </si>
  <si>
    <t>chave 749</t>
  </si>
  <si>
    <t>IFF ESSENCIAS E FRAGRANCIAS LTDA </t>
  </si>
  <si>
    <t>Santana de Parnaíba</t>
  </si>
  <si>
    <t>TAMBORE </t>
  </si>
  <si>
    <t>06543320</t>
  </si>
  <si>
    <t>chave 750</t>
  </si>
  <si>
    <t>S91 LOJAS UEHARA COSMETICOS LTDA </t>
  </si>
  <si>
    <t>03658011</t>
  </si>
  <si>
    <t>chave 751</t>
  </si>
  <si>
    <t>ITALIVROS LIVRARIA E PAPELARIA LTDA </t>
  </si>
  <si>
    <t>JARDIM MARTINICA </t>
  </si>
  <si>
    <t>05787000</t>
  </si>
  <si>
    <t>chave 752</t>
  </si>
  <si>
    <t>JOAO HENRIQUE RAMALHO </t>
  </si>
  <si>
    <t>Lindóia</t>
  </si>
  <si>
    <t>13950000</t>
  </si>
  <si>
    <t>chave 753</t>
  </si>
  <si>
    <t>WU CHUNMEI &amp; CIA LTDA </t>
  </si>
  <si>
    <t>Tupã</t>
  </si>
  <si>
    <t>17601000</t>
  </si>
  <si>
    <t>chave 754</t>
  </si>
  <si>
    <t>CRIS MODAS BIJUTERIAS E PRESENTES LTDA </t>
  </si>
  <si>
    <t>Araçatuba</t>
  </si>
  <si>
    <t>16010300</t>
  </si>
  <si>
    <t>chave 755</t>
  </si>
  <si>
    <t>COMERCIAL SRG MAGAZINE LTDA </t>
  </si>
  <si>
    <t>São Roque</t>
  </si>
  <si>
    <t>18130500</t>
  </si>
  <si>
    <t>chave 756</t>
  </si>
  <si>
    <t>ARMARINHOS DOIS MIL COM.ATAC.DEART.DE PAPELARIA LTDA </t>
  </si>
  <si>
    <t>PQ. TAQUARAL </t>
  </si>
  <si>
    <t>13088130</t>
  </si>
  <si>
    <t>chave 757</t>
  </si>
  <si>
    <t>JFKAS MATERIAS DE ESCRIT. EQUIP. E SUPRIMENTOS DE INFORMATICA LTDA </t>
  </si>
  <si>
    <t>05171000</t>
  </si>
  <si>
    <t>chave 758</t>
  </si>
  <si>
    <t>PROCOMP PROD E SERVICOS DE INFORMATICA LTDA </t>
  </si>
  <si>
    <t>BELA VISTA </t>
  </si>
  <si>
    <t>13207684</t>
  </si>
  <si>
    <t>chave 759</t>
  </si>
  <si>
    <t>D A N FERNANDES LTDA </t>
  </si>
  <si>
    <t>PINDAMONHANGABA</t>
  </si>
  <si>
    <t>PARQUE SAO BENEDITO </t>
  </si>
  <si>
    <t>12410030</t>
  </si>
  <si>
    <t>chave 760</t>
  </si>
  <si>
    <t>DIVAI UTILIDADES LTDA </t>
  </si>
  <si>
    <t>14010000</t>
  </si>
  <si>
    <t>chave 761</t>
  </si>
  <si>
    <t>D&amp;N PAPELARIA PRESENTES UTILIDADES LTDA </t>
  </si>
  <si>
    <t>04864001</t>
  </si>
  <si>
    <t>chave 762</t>
  </si>
  <si>
    <t>49.655.356 ELAINE CHRISTINA MENDES DE JESUS DE LACERDA </t>
  </si>
  <si>
    <t>EMBU DAS ARTES</t>
  </si>
  <si>
    <t>JARDIM SANTO EDUARDO </t>
  </si>
  <si>
    <t>06823550</t>
  </si>
  <si>
    <t>chave 763</t>
  </si>
  <si>
    <t>K S MODAS BIJUTERIAS E VARIEDADES LTDA </t>
  </si>
  <si>
    <t>MATÃO</t>
  </si>
  <si>
    <t>15990020</t>
  </si>
  <si>
    <t>chave 764</t>
  </si>
  <si>
    <t>DENUNCIO MOVEIS E CONFECCOES LTDA </t>
  </si>
  <si>
    <t>JUNDIAÍ</t>
  </si>
  <si>
    <t>13214360</t>
  </si>
  <si>
    <t>chave 765</t>
  </si>
  <si>
    <t>THOMAZ DE ARAUJO &amp; CIA LTDA </t>
  </si>
  <si>
    <t>JARDIM MOTORAMA </t>
  </si>
  <si>
    <t>12224280</t>
  </si>
  <si>
    <t>chave 766</t>
  </si>
  <si>
    <t>UTILIDADES PIRACICABA LTDA </t>
  </si>
  <si>
    <t>PIRACICABA</t>
  </si>
  <si>
    <t>13400385</t>
  </si>
  <si>
    <t>chave 767</t>
  </si>
  <si>
    <t>LIVRARIA E PAPELARIA MENDONCA DE FRANCA LTDA </t>
  </si>
  <si>
    <t>FRANCA</t>
  </si>
  <si>
    <t>14400540</t>
  </si>
  <si>
    <t>chave 768</t>
  </si>
  <si>
    <t>RN DISTRIBUIDORA DE UTENSILIOS DOMESTICOS LTDA </t>
  </si>
  <si>
    <t>FERRAZ DE VASCONCELOS</t>
  </si>
  <si>
    <t>NUCLEO ITAIM </t>
  </si>
  <si>
    <t>08538200</t>
  </si>
  <si>
    <t>chave 769</t>
  </si>
  <si>
    <t>LETRAS EM FESTA COMERCIAL LTDA </t>
  </si>
  <si>
    <t>Bertioga</t>
  </si>
  <si>
    <t>JD. ALBATROZ </t>
  </si>
  <si>
    <t>11250734</t>
  </si>
  <si>
    <t>chave 770</t>
  </si>
  <si>
    <t>RICARDO SUYAMA ARTIGOS DE PAPELARIA LTDA </t>
  </si>
  <si>
    <t>CIDADE DUTRA </t>
  </si>
  <si>
    <t>04801010</t>
  </si>
  <si>
    <t>chave 771</t>
  </si>
  <si>
    <t>DARCI XAVIER DE JESUS </t>
  </si>
  <si>
    <t>PARADA DE TAIPAS </t>
  </si>
  <si>
    <t>02860001</t>
  </si>
  <si>
    <t>chave 772</t>
  </si>
  <si>
    <t>BOARINI &amp; BOARINI LTDA </t>
  </si>
  <si>
    <t>VILA ADYANNA </t>
  </si>
  <si>
    <t>12243630</t>
  </si>
  <si>
    <t>chave 773</t>
  </si>
  <si>
    <t>TIFFANY COMERCIAL BIRIGUI LTDA </t>
  </si>
  <si>
    <t>BIRIGUI</t>
  </si>
  <si>
    <t>16200001</t>
  </si>
  <si>
    <t>chave 774</t>
  </si>
  <si>
    <t>LUIZ FERNANDO DA CRUZ BOARINI </t>
  </si>
  <si>
    <t>JARDIM SATELITE </t>
  </si>
  <si>
    <t>12230000</t>
  </si>
  <si>
    <t>chave 775</t>
  </si>
  <si>
    <t>OLIDIA ROSA DE SOUSA ALVES ARMARINHO </t>
  </si>
  <si>
    <t>CIDADE IPAVA </t>
  </si>
  <si>
    <t>04950000</t>
  </si>
  <si>
    <t>chave 776</t>
  </si>
  <si>
    <t>CASSIA LUCIANE JANTIN OTSUBO </t>
  </si>
  <si>
    <t>PAULISTA </t>
  </si>
  <si>
    <t>13424010</t>
  </si>
  <si>
    <t>chave 777</t>
  </si>
  <si>
    <t>JOSE PAULO SILVA CESAR JUNIOR INFORMATICA </t>
  </si>
  <si>
    <t>SOROCABA</t>
  </si>
  <si>
    <t>IPANEMA DO MEIO </t>
  </si>
  <si>
    <t>18052599</t>
  </si>
  <si>
    <t>chave 778</t>
  </si>
  <si>
    <t>SHOP 3 ARAUJO - COMERCIO ELETRONICO LTDA </t>
  </si>
  <si>
    <t>VILA REGENTE FEIJO </t>
  </si>
  <si>
    <t>03346100</t>
  </si>
  <si>
    <t>chave 779</t>
  </si>
  <si>
    <t>SUPERA INSTITUTO DE EDUCACAO LTDA </t>
  </si>
  <si>
    <t>12238565</t>
  </si>
  <si>
    <t>chave 780</t>
  </si>
  <si>
    <t>JUMBO COMERCIO DE UTILIDADES LTDA </t>
  </si>
  <si>
    <t>SUL</t>
  </si>
  <si>
    <t>PR</t>
  </si>
  <si>
    <t>CURITIBA</t>
  </si>
  <si>
    <t>HAUER </t>
  </si>
  <si>
    <t>81630260</t>
  </si>
  <si>
    <t>João</t>
  </si>
  <si>
    <t>chave 781</t>
  </si>
  <si>
    <t>ANDRE MATIAS COMERCIO DE ARTIGOS DE PAPELARIA </t>
  </si>
  <si>
    <t>Curitiba</t>
  </si>
  <si>
    <t>NOVO MUNDO </t>
  </si>
  <si>
    <t>81050020</t>
  </si>
  <si>
    <t>chave 782</t>
  </si>
  <si>
    <t>SHEILA PRISCILA CASTELHONE DE DEUS LTDA </t>
  </si>
  <si>
    <t>Andirá</t>
  </si>
  <si>
    <t>JARDIM ITALIA </t>
  </si>
  <si>
    <t>86380000</t>
  </si>
  <si>
    <t>chave 783</t>
  </si>
  <si>
    <t>LOJA ZHUANG LTDA </t>
  </si>
  <si>
    <t>GUARAPUAVA</t>
  </si>
  <si>
    <t>85010000</t>
  </si>
  <si>
    <t>chave 784</t>
  </si>
  <si>
    <t>DISTRIBUIDORA SAO PEDRO LTDA </t>
  </si>
  <si>
    <t>VILA FANY </t>
  </si>
  <si>
    <t>81030170</t>
  </si>
  <si>
    <t>chave 785</t>
  </si>
  <si>
    <t>GGPEL LIVRARIA E PAPELARIA LTDA </t>
  </si>
  <si>
    <t>PONTA GROSSA</t>
  </si>
  <si>
    <t>OFICINAS </t>
  </si>
  <si>
    <t>84045100</t>
  </si>
  <si>
    <t>chave 786</t>
  </si>
  <si>
    <t>HERPEL COMERCIO DE PAPEIS LTDA </t>
  </si>
  <si>
    <t>ARAPONGAS</t>
  </si>
  <si>
    <t>VILA INDUSTRIAL </t>
  </si>
  <si>
    <t>86706150</t>
  </si>
  <si>
    <t>chave 787</t>
  </si>
  <si>
    <t>MEGA FEIRA ESCOLAR COMERCIO DE PAPEIS LTDA </t>
  </si>
  <si>
    <t>Londrina</t>
  </si>
  <si>
    <t>86020150</t>
  </si>
  <si>
    <t>chave 788</t>
  </si>
  <si>
    <t>COMERCIAL DESTRO LTDA </t>
  </si>
  <si>
    <t>CASCAVÉL</t>
  </si>
  <si>
    <t>PACAEMBU </t>
  </si>
  <si>
    <t>85816302</t>
  </si>
  <si>
    <t>chave 789</t>
  </si>
  <si>
    <t>GIOVANNY GROCHOSKI - PAPELARIA </t>
  </si>
  <si>
    <t>Ivaí</t>
  </si>
  <si>
    <t>84460000</t>
  </si>
  <si>
    <t>chave 790</t>
  </si>
  <si>
    <t>PARANA LICITACOES E COMERCIO LTDA </t>
  </si>
  <si>
    <t>Paranaguá</t>
  </si>
  <si>
    <t>VILA GARCIA </t>
  </si>
  <si>
    <t>83218160</t>
  </si>
  <si>
    <t>chave 791</t>
  </si>
  <si>
    <t>CAROL COMERCIAL LTDA </t>
  </si>
  <si>
    <t>Mandaguaçu</t>
  </si>
  <si>
    <t>VILA FRANCHELLO </t>
  </si>
  <si>
    <t>87160000</t>
  </si>
  <si>
    <t>chave 792</t>
  </si>
  <si>
    <t>TCM OFFICE LTDA </t>
  </si>
  <si>
    <t>Campo Mourão</t>
  </si>
  <si>
    <t>87303115</t>
  </si>
  <si>
    <t>chave 793</t>
  </si>
  <si>
    <t>JLV COM DE PROD.ELETRICOS E DE CONSTRUCAO LTDA </t>
  </si>
  <si>
    <t>CIDADE INDUSTRIAL </t>
  </si>
  <si>
    <t>81305660</t>
  </si>
  <si>
    <t>chave 794</t>
  </si>
  <si>
    <t>VALE ATACADO LTDA </t>
  </si>
  <si>
    <t>Maringá</t>
  </si>
  <si>
    <t>ZONA 06 </t>
  </si>
  <si>
    <t>87080190</t>
  </si>
  <si>
    <t>chave 795</t>
  </si>
  <si>
    <t>BUIAR E CIA  LTDA </t>
  </si>
  <si>
    <t>BOQUEIRAO </t>
  </si>
  <si>
    <t>81670400</t>
  </si>
  <si>
    <t>chave 796</t>
  </si>
  <si>
    <t>CRISOSTIMO &amp; PRIGOL LTDA </t>
  </si>
  <si>
    <t>chave 797</t>
  </si>
  <si>
    <t>O BARRACAO UTILIDADES COMERCIO VAREJISTA DE ARMARINHOS LTDA </t>
  </si>
  <si>
    <t>COLOMBO</t>
  </si>
  <si>
    <t>JARDIM GUARAITUBA </t>
  </si>
  <si>
    <t>83410090</t>
  </si>
  <si>
    <t>chave 798</t>
  </si>
  <si>
    <t>PAPELARIA VERDE LTDA </t>
  </si>
  <si>
    <t>84010135</t>
  </si>
  <si>
    <t>chave 799</t>
  </si>
  <si>
    <t>QUALIFOR LTDA </t>
  </si>
  <si>
    <t>Telêmaco Borba</t>
  </si>
  <si>
    <t>MONTE ALEGRE </t>
  </si>
  <si>
    <t>84266310</t>
  </si>
  <si>
    <t>chave 800</t>
  </si>
  <si>
    <t>LEO COMERCIAL DE PROD MANUFAT LTDA </t>
  </si>
  <si>
    <t>PORTAO </t>
  </si>
  <si>
    <t>81070090</t>
  </si>
  <si>
    <t>chave 801</t>
  </si>
  <si>
    <t>MATILDE CIONEK PEDROSO &amp; CIA LTDA </t>
  </si>
  <si>
    <t>RESERVA</t>
  </si>
  <si>
    <t>84320000</t>
  </si>
  <si>
    <t>chave 802</t>
  </si>
  <si>
    <t>ART NOVA COMERCIO E DISTRIBUICAO LTDA </t>
  </si>
  <si>
    <t>LONDRINA</t>
  </si>
  <si>
    <t>VILA SIAM </t>
  </si>
  <si>
    <t>86039000</t>
  </si>
  <si>
    <t>chave 803</t>
  </si>
  <si>
    <t>PAPELARIA SONHO MEU LTDA </t>
  </si>
  <si>
    <t>Prudentópolis</t>
  </si>
  <si>
    <t>84400000</t>
  </si>
  <si>
    <t>chave 804</t>
  </si>
  <si>
    <t>ROMILDO NAHIRNE DA SILVA </t>
  </si>
  <si>
    <t>CAMPO LARGO</t>
  </si>
  <si>
    <t>83601190</t>
  </si>
  <si>
    <t>chave 805</t>
  </si>
  <si>
    <t>MASTER DISTRIBUIDORA DE PAPEIS E LIVROS LTDA </t>
  </si>
  <si>
    <t>CAMPINA GRANDE DO SUL</t>
  </si>
  <si>
    <t>JARDIM PAULISTA </t>
  </si>
  <si>
    <t>83430000</t>
  </si>
  <si>
    <t>chave 806</t>
  </si>
  <si>
    <t>PAPELARIA WOSCH LTDA </t>
  </si>
  <si>
    <t>Itaperuçu</t>
  </si>
  <si>
    <t>83560000</t>
  </si>
  <si>
    <t>chave 807</t>
  </si>
  <si>
    <t>MIG ATACADO E VAREJO LTDA </t>
  </si>
  <si>
    <t>RIO NEGRO</t>
  </si>
  <si>
    <t>TIJUCO PRETO </t>
  </si>
  <si>
    <t>83885302</t>
  </si>
  <si>
    <t>chave 808</t>
  </si>
  <si>
    <t>PAPELARIA DEPEL LTDA </t>
  </si>
  <si>
    <t>ZONA 1 </t>
  </si>
  <si>
    <t>87013100</t>
  </si>
  <si>
    <t>chave 809</t>
  </si>
  <si>
    <t>BER-MAN DISTRIBUIDORA DE ARTIGOS DE PAPELARIA LTDA </t>
  </si>
  <si>
    <t>PINHEIRINHO </t>
  </si>
  <si>
    <t>81150020</t>
  </si>
  <si>
    <t>chave 810</t>
  </si>
  <si>
    <t>LUCIANE TEREZINHA JOLY MATSUMOTO 02207156966 </t>
  </si>
  <si>
    <t>CAJURU </t>
  </si>
  <si>
    <t>82930280</t>
  </si>
  <si>
    <t>chave 811</t>
  </si>
  <si>
    <t>PAPER BLISS PAPELARIA LTDA </t>
  </si>
  <si>
    <t>GUAIRA </t>
  </si>
  <si>
    <t>80630100</t>
  </si>
  <si>
    <t>chave 812</t>
  </si>
  <si>
    <t>PAPELARIA NATAL LTDA </t>
  </si>
  <si>
    <t>PINHAIS</t>
  </si>
  <si>
    <t>ESTANCIA PINHAIS </t>
  </si>
  <si>
    <t>83323060</t>
  </si>
  <si>
    <t>chave 813</t>
  </si>
  <si>
    <t>PANATURA INDUSTRIA E COMERCIO DE ALIMENTOS LTDA </t>
  </si>
  <si>
    <t>JD.SOCIAL </t>
  </si>
  <si>
    <t>82530010</t>
  </si>
  <si>
    <t>chave 814</t>
  </si>
  <si>
    <t>LER COMERCIO DE LIVROS LTDA </t>
  </si>
  <si>
    <t>Carambeí</t>
  </si>
  <si>
    <t>84145000</t>
  </si>
  <si>
    <t>chave 815</t>
  </si>
  <si>
    <t>STUDANTIL ATACADO IVAIPORA LTDA </t>
  </si>
  <si>
    <t>IVAIPORÃ</t>
  </si>
  <si>
    <t>86870000</t>
  </si>
  <si>
    <t>chave 816</t>
  </si>
  <si>
    <t>PAPELARIA E CONFECCOES GUARATUBA LTDA </t>
  </si>
  <si>
    <t>GUARATUBA</t>
  </si>
  <si>
    <t>83280000</t>
  </si>
  <si>
    <t>chave 817</t>
  </si>
  <si>
    <t>NINO UTILIDADES DOMESTICAS LTDA. </t>
  </si>
  <si>
    <t>RS</t>
  </si>
  <si>
    <t>VERA CRUZ</t>
  </si>
  <si>
    <t>96880000</t>
  </si>
  <si>
    <t>chave 818</t>
  </si>
  <si>
    <t>DISTRIBUIDORA DE PAPEIS BRAILE LTDA </t>
  </si>
  <si>
    <t>PORTO ALEGRE</t>
  </si>
  <si>
    <t>FARRAPOS </t>
  </si>
  <si>
    <t>90245000</t>
  </si>
  <si>
    <t>chave 819</t>
  </si>
  <si>
    <t>SIMON E HAFLE LTDA </t>
  </si>
  <si>
    <t>ERECHIM</t>
  </si>
  <si>
    <t>99700010</t>
  </si>
  <si>
    <t>chave 820</t>
  </si>
  <si>
    <t>MADRA BAZAR E LIVRARIA LTDA </t>
  </si>
  <si>
    <t>CAXIAS DO SUL</t>
  </si>
  <si>
    <t>95074000</t>
  </si>
  <si>
    <t>chave 821</t>
  </si>
  <si>
    <t>BARONESA LTDA </t>
  </si>
  <si>
    <t>CIDADE BAIXA </t>
  </si>
  <si>
    <t>90160070</t>
  </si>
  <si>
    <t>chave 822</t>
  </si>
  <si>
    <t>MUNDIAL LIVRARIA E PAPELARIA LTDA </t>
  </si>
  <si>
    <t>JARDIM FLORESTA </t>
  </si>
  <si>
    <t>91040550</t>
  </si>
  <si>
    <t>chave 823</t>
  </si>
  <si>
    <t>MIGLIORINI E CIA LTDA </t>
  </si>
  <si>
    <t>PASSO FUNDO</t>
  </si>
  <si>
    <t>99051400</t>
  </si>
  <si>
    <t>chave 824</t>
  </si>
  <si>
    <t>SERGUN YOUL ESHA </t>
  </si>
  <si>
    <t>SAO PELEGRINO </t>
  </si>
  <si>
    <t>95034160</t>
  </si>
  <si>
    <t>chave 825</t>
  </si>
  <si>
    <t>DAROS-SUPRIMENTOS P/ INFOM E ESCRITORIO LTDA </t>
  </si>
  <si>
    <t>90550003</t>
  </si>
  <si>
    <t>chave 826</t>
  </si>
  <si>
    <t>BCL ATACADO E DISTRIBUIDORA DE PAPELARIA LTDA </t>
  </si>
  <si>
    <t>SANTA CATARINA </t>
  </si>
  <si>
    <t>95032620</t>
  </si>
  <si>
    <t>chave 827</t>
  </si>
  <si>
    <t>MURIEL A BLAU &amp; CIA LTDA </t>
  </si>
  <si>
    <t>Lajeado</t>
  </si>
  <si>
    <t>FLORESTA </t>
  </si>
  <si>
    <t>95902260</t>
  </si>
  <si>
    <t>chave 828</t>
  </si>
  <si>
    <t>LIVRARIA ROSSI LTDA </t>
  </si>
  <si>
    <t>95010003</t>
  </si>
  <si>
    <t>chave 829</t>
  </si>
  <si>
    <t>ALEXANDRE MORAES JALIL ISA LTDA </t>
  </si>
  <si>
    <t>São Lourenço do Sul</t>
  </si>
  <si>
    <t>96170000</t>
  </si>
  <si>
    <t>chave 830</t>
  </si>
  <si>
    <t>AMAPEL DISTRIBUIDORA DE MATERIAL ESCOLAR E ESCRITORIO LTDA </t>
  </si>
  <si>
    <t>SAGRADA FAMILIA </t>
  </si>
  <si>
    <t>95054000</t>
  </si>
  <si>
    <t>chave 831</t>
  </si>
  <si>
    <t>BIANCA RICACHESKI RAUBER </t>
  </si>
  <si>
    <t>LOMBA PINHEIRO </t>
  </si>
  <si>
    <t>91550250</t>
  </si>
  <si>
    <t>chave 832</t>
  </si>
  <si>
    <t>PONTA DO LAPIS PAPELARIA LTDA </t>
  </si>
  <si>
    <t>Canguçu</t>
  </si>
  <si>
    <t>96600000</t>
  </si>
  <si>
    <t>chave 833</t>
  </si>
  <si>
    <t>RIO SUL COM. MAT. ESCR.E INFORM. LTDA </t>
  </si>
  <si>
    <t>PELOTAS</t>
  </si>
  <si>
    <t>96020480</t>
  </si>
  <si>
    <t>chave 834</t>
  </si>
  <si>
    <t>JR E-COMMERCE SUPRIMENTOS DE INFORMATICA E ELETRONICOS LTDA </t>
  </si>
  <si>
    <t>SÃO LOURENÇO DO SUL</t>
  </si>
  <si>
    <t>chave 835</t>
  </si>
  <si>
    <t>F F COMERCIO DE PAPELARIA LTDA </t>
  </si>
  <si>
    <t>SANTIAGO</t>
  </si>
  <si>
    <t>97700000</t>
  </si>
  <si>
    <t>chave 836</t>
  </si>
  <si>
    <t>MAGGITHO COMERCIAL LTDA </t>
  </si>
  <si>
    <t>SANTA CRUZ DO SUL</t>
  </si>
  <si>
    <t>ANA NERY </t>
  </si>
  <si>
    <t>96840150</t>
  </si>
  <si>
    <t>chave 837</t>
  </si>
  <si>
    <t>JOSE ELBIO LIMA LEAO </t>
  </si>
  <si>
    <t>Caçapava do Sul</t>
  </si>
  <si>
    <t>96570000</t>
  </si>
  <si>
    <t>chave 838</t>
  </si>
  <si>
    <t>GRANDO PAPELARIA LTDA </t>
  </si>
  <si>
    <t>Bento Gonçalves</t>
  </si>
  <si>
    <t>BOTAFOGO </t>
  </si>
  <si>
    <t>95700586</t>
  </si>
  <si>
    <t>chave 839</t>
  </si>
  <si>
    <t>JAINA MARA DA COSTA WICHMANN </t>
  </si>
  <si>
    <t>Gravataí</t>
  </si>
  <si>
    <t>94010010</t>
  </si>
  <si>
    <t>chave 840</t>
  </si>
  <si>
    <t>DISTRIBUIDORA E REPRESENTACAO ISGA LTDA </t>
  </si>
  <si>
    <t>ESPLANADA </t>
  </si>
  <si>
    <t>95095100</t>
  </si>
  <si>
    <t>chave 841</t>
  </si>
  <si>
    <t>LIVRARIA CERVO LTDA </t>
  </si>
  <si>
    <t>90670004</t>
  </si>
  <si>
    <t>chave 842</t>
  </si>
  <si>
    <t>M F MACHADO SOARES </t>
  </si>
  <si>
    <t>TERESOPOLIS </t>
  </si>
  <si>
    <t>90870010</t>
  </si>
  <si>
    <t>chave 843</t>
  </si>
  <si>
    <t>PRB PAPELARIA RIO BRANCO LTDA </t>
  </si>
  <si>
    <t>CARAZINHO</t>
  </si>
  <si>
    <t>99500000</t>
  </si>
  <si>
    <t>chave 844</t>
  </si>
  <si>
    <t>RUVIL COMERCIO DE MATERIAL DE ESCRITORIO LTDA </t>
  </si>
  <si>
    <t>95020472</t>
  </si>
  <si>
    <t>chave 845</t>
  </si>
  <si>
    <t>PAPIRO COMERCIO DE PAPEIS LTDA </t>
  </si>
  <si>
    <t>VILA MARIA</t>
  </si>
  <si>
    <t>LOT BENTO </t>
  </si>
  <si>
    <t>99155000</t>
  </si>
  <si>
    <t>chave 846</t>
  </si>
  <si>
    <t>FECOMAX COMERCIO DE PAPEIS LTDA </t>
  </si>
  <si>
    <t>Panambi</t>
  </si>
  <si>
    <t>98280000</t>
  </si>
  <si>
    <t>chave 847</t>
  </si>
  <si>
    <t>MACROCENTER MULTI COMERCIO E SERVICOS LTDA </t>
  </si>
  <si>
    <t>CANOAS</t>
  </si>
  <si>
    <t>ESTANCIA VELHA </t>
  </si>
  <si>
    <t>92030080</t>
  </si>
  <si>
    <t>chave 848</t>
  </si>
  <si>
    <t>CONESUL MATERIAIS DE ESCRITORIO LTDA </t>
  </si>
  <si>
    <t>NOVO HAMBURGO</t>
  </si>
  <si>
    <t>IDEAL </t>
  </si>
  <si>
    <t>93336190</t>
  </si>
  <si>
    <t>chave 849</t>
  </si>
  <si>
    <t>FABIANA T. GAVIOLI </t>
  </si>
  <si>
    <t>97700060</t>
  </si>
  <si>
    <t>chave 850</t>
  </si>
  <si>
    <t>WESSEL MATERIAIS PARA ESCRITORIO LTDA </t>
  </si>
  <si>
    <t>Teutônia</t>
  </si>
  <si>
    <t>LANGUIRU </t>
  </si>
  <si>
    <t>95890000</t>
  </si>
  <si>
    <t>chave 851</t>
  </si>
  <si>
    <t>COMERCIAL ESTRELATTO LTDA </t>
  </si>
  <si>
    <t>GRAMADO</t>
  </si>
  <si>
    <t>AVENIDA CENTRAL </t>
  </si>
  <si>
    <t>95670000</t>
  </si>
  <si>
    <t>chave 852</t>
  </si>
  <si>
    <t>MIG PLUS AGROINDUSTRIAL LTDA </t>
  </si>
  <si>
    <t>CASCA</t>
  </si>
  <si>
    <t>DIST INDUSTRIAL </t>
  </si>
  <si>
    <t>99260000</t>
  </si>
  <si>
    <t>chave 853</t>
  </si>
  <si>
    <t>SUPERVIZA SUPERMERCADOS LTDA </t>
  </si>
  <si>
    <t>SC</t>
  </si>
  <si>
    <t>FRAIBURGO</t>
  </si>
  <si>
    <t>89580000</t>
  </si>
  <si>
    <t>chave 854</t>
  </si>
  <si>
    <t>PAPELMAIS DISTRIBUIDORA LTDA </t>
  </si>
  <si>
    <t>Chapecó</t>
  </si>
  <si>
    <t>ENGENHO BRAUN </t>
  </si>
  <si>
    <t>89809380</t>
  </si>
  <si>
    <t>chave 855</t>
  </si>
  <si>
    <t>TOTALFLEXO INDUSTRIA E COMERCIO DE SOLUCOES PARA IMPRESSAO LTDA </t>
  </si>
  <si>
    <t>Cocal do Sul</t>
  </si>
  <si>
    <t>AREA INDUSTRIAL </t>
  </si>
  <si>
    <t>88845000</t>
  </si>
  <si>
    <t>chave 856</t>
  </si>
  <si>
    <t>ANDERSON SCHOENAU CARDOSO &amp; CIA LTDA </t>
  </si>
  <si>
    <t>Itajaí</t>
  </si>
  <si>
    <t>SAO VICENTE </t>
  </si>
  <si>
    <t>88309260</t>
  </si>
  <si>
    <t>chave 857</t>
  </si>
  <si>
    <t>VENCEDOR ATACADISTA LTDA </t>
  </si>
  <si>
    <t>Braço do Norte</t>
  </si>
  <si>
    <t>RIO BONITO </t>
  </si>
  <si>
    <t>88750000</t>
  </si>
  <si>
    <t>chave 858</t>
  </si>
  <si>
    <t>TOP NACIONAIS E IMPORTADOS LTDA </t>
  </si>
  <si>
    <t>TUBARÃO</t>
  </si>
  <si>
    <t>REVOREDO </t>
  </si>
  <si>
    <t>88704730</t>
  </si>
  <si>
    <t>chave 859</t>
  </si>
  <si>
    <t>DISTRIOESTE DISTRIBUIDORA LTDA </t>
  </si>
  <si>
    <t>LIDER </t>
  </si>
  <si>
    <t>89805103</t>
  </si>
  <si>
    <t>chave 860</t>
  </si>
  <si>
    <t>ONFINITY COMERCIAL LTDA </t>
  </si>
  <si>
    <t>89810060</t>
  </si>
  <si>
    <t>chave 861</t>
  </si>
  <si>
    <t>FERNANDES &amp; SOUZA LTDA </t>
  </si>
  <si>
    <t>São José</t>
  </si>
  <si>
    <t>PONTA DE BAIXO </t>
  </si>
  <si>
    <t>88104000</t>
  </si>
  <si>
    <t>chave 862</t>
  </si>
  <si>
    <t>LM COMERCIO E DISTRIBUIDORA DE UTILIDADES LTDA </t>
  </si>
  <si>
    <t>Joaçaba</t>
  </si>
  <si>
    <t>89600000</t>
  </si>
  <si>
    <t>chave 863</t>
  </si>
  <si>
    <t>GUNTHER COMERCIO DE TECIDOS LTDA </t>
  </si>
  <si>
    <t>JOINVILLE</t>
  </si>
  <si>
    <t>89218055</t>
  </si>
  <si>
    <t>chave 864</t>
  </si>
  <si>
    <t>BORBA &amp; ZANOTTI PRESENTES LTDA </t>
  </si>
  <si>
    <t>BARRA VELHA</t>
  </si>
  <si>
    <t>88390000</t>
  </si>
  <si>
    <t>chave 865</t>
  </si>
  <si>
    <t>AQUINPEL DISTRIBUIDORA LTDA </t>
  </si>
  <si>
    <t>88117110</t>
  </si>
  <si>
    <t>chave 866</t>
  </si>
  <si>
    <t>OBJETIVUS MATERIAIS PARA ESCRITORIO E INFORMATICA LTDA </t>
  </si>
  <si>
    <t>89217001</t>
  </si>
  <si>
    <t>chave 867</t>
  </si>
  <si>
    <t>KM - COMERCIO DE UTILIDADE DOMESTICA LTDA </t>
  </si>
  <si>
    <t>Florianópolis</t>
  </si>
  <si>
    <t>88010020</t>
  </si>
  <si>
    <t>chave 868</t>
  </si>
  <si>
    <t>JEAN CARLOS REISCHARDT LTDA </t>
  </si>
  <si>
    <t>BALNEÁRIO CAMBORIÚ</t>
  </si>
  <si>
    <t>VILA REAL </t>
  </si>
  <si>
    <t>88337010</t>
  </si>
  <si>
    <t>chave 869</t>
  </si>
  <si>
    <t>ANCORA DISTRIBUIDORA LTDA </t>
  </si>
  <si>
    <t>CORDILHEIRA ALTA</t>
  </si>
  <si>
    <t>INTERIOR </t>
  </si>
  <si>
    <t>89819000</t>
  </si>
  <si>
    <t>chave 870</t>
  </si>
  <si>
    <t>EPROS ATACADO DISTRIBUIDOR LTDA </t>
  </si>
  <si>
    <t>89805700</t>
  </si>
  <si>
    <t>chave 871</t>
  </si>
  <si>
    <t>FECOAGRO - FEDERACAO DAS COOPERATIVAS AGROP. DO EST. DE SANTA CATARINA </t>
  </si>
  <si>
    <t>PALMITOS</t>
  </si>
  <si>
    <t>89887000</t>
  </si>
  <si>
    <t>chave 872</t>
  </si>
  <si>
    <t>ZANOTTI PRESENTES LTDA </t>
  </si>
  <si>
    <t>PENHA</t>
  </si>
  <si>
    <t>88385000</t>
  </si>
  <si>
    <t>chave 873</t>
  </si>
  <si>
    <t>COMERCIAL JARES LTDA </t>
  </si>
  <si>
    <t>88010100</t>
  </si>
  <si>
    <t>chave 874</t>
  </si>
  <si>
    <t>EDISON LUIS BORGES ALVES ATACADO &amp; VAREJO LTDA </t>
  </si>
  <si>
    <t>ITAPEMA</t>
  </si>
  <si>
    <t>88220000</t>
  </si>
  <si>
    <t>chave 875</t>
  </si>
  <si>
    <t>COMERCIAL PRECO BOM Z &amp; C LTDA </t>
  </si>
  <si>
    <t>IMBITUBA</t>
  </si>
  <si>
    <t>88780000</t>
  </si>
  <si>
    <t>chave 876</t>
  </si>
  <si>
    <t>MOINHO COMERCIO DE ARMARINHOS LTDA </t>
  </si>
  <si>
    <t>AVENTUREIRO </t>
  </si>
  <si>
    <t>89225650</t>
  </si>
  <si>
    <t>chave 877</t>
  </si>
  <si>
    <t>DANIELE LUZIA GOMES KAUFMANN </t>
  </si>
  <si>
    <t>Itaiópolis</t>
  </si>
  <si>
    <t>89340000</t>
  </si>
  <si>
    <t>chave 878</t>
  </si>
  <si>
    <t>CATARINENSE PAPELARIA E PRESENTES LTDA </t>
  </si>
  <si>
    <t>Tubarão</t>
  </si>
  <si>
    <t>88702100</t>
  </si>
  <si>
    <t>chave 879</t>
  </si>
  <si>
    <t>TEELL-TECNICA E EQUIP. P/ ESCRITORIO LEITE LTDA </t>
  </si>
  <si>
    <t>MAFRA</t>
  </si>
  <si>
    <t>89300000</t>
  </si>
  <si>
    <t>chave 880</t>
  </si>
  <si>
    <t>Base Logística</t>
  </si>
  <si>
    <t>Área de Atuação</t>
  </si>
  <si>
    <t>Total Clientes</t>
  </si>
  <si>
    <t>Estratégicos</t>
  </si>
  <si>
    <t>Fortes</t>
  </si>
  <si>
    <t>Médios</t>
  </si>
  <si>
    <t>Pontuais</t>
  </si>
  <si>
    <t>Distância Média (km)</t>
  </si>
  <si>
    <t>Fábrica Compactor</t>
  </si>
  <si>
    <t>RJ Capital e Baixada</t>
  </si>
  <si>
    <t>RJ Serrana/Lagos + MG + GO + DF</t>
  </si>
  <si>
    <t>Espírito Santo</t>
  </si>
  <si>
    <t>São Paulo (Parte 2)</t>
  </si>
  <si>
    <t>São Paulo (Parte 1)</t>
  </si>
  <si>
    <t>Região Sul</t>
  </si>
  <si>
    <t>Norte e Nordeste</t>
  </si>
  <si>
    <t>Mato Grosso e MS</t>
  </si>
  <si>
    <t>Clientes</t>
  </si>
  <si>
    <t>KM Total Estimado</t>
  </si>
  <si>
    <t>Supervisor(es)</t>
  </si>
  <si>
    <t>Andre Pacheco, Andressa</t>
  </si>
  <si>
    <t>Denilson, Fernanda</t>
  </si>
  <si>
    <t>% do Total</t>
  </si>
  <si>
    <t>Prioridade Sugerida</t>
  </si>
  <si>
    <t>ALTA - Visitar prioritariamente</t>
  </si>
  <si>
    <t>MÉDIA - Visitar nas primeiras 2 semanas</t>
  </si>
  <si>
    <t>MÉDIA - Distribuir ao longo do mês</t>
  </si>
  <si>
    <t>NORMAL - Visitar quando em região próxima</t>
  </si>
  <si>
    <t>TOTAL</t>
  </si>
  <si>
    <t>100%</t>
  </si>
  <si>
    <t>DASHBOARD EXECUTIVO - PLANEJAMENTO NACIONAL DE VISITAS</t>
  </si>
  <si>
    <t>📊 INDICADORES GERAIS</t>
  </si>
  <si>
    <t>Total de Clientes</t>
  </si>
  <si>
    <t>Total de Supervisores</t>
  </si>
  <si>
    <t>8</t>
  </si>
  <si>
    <t>Total de Estados</t>
  </si>
  <si>
    <t>27</t>
  </si>
  <si>
    <t>Total de Cidades</t>
  </si>
  <si>
    <t>476</t>
  </si>
  <si>
    <t>🎯 DISTRIBUIÇÃO POR PRIORIDADE</t>
  </si>
  <si>
    <t>Alta (Estratégicos)</t>
  </si>
  <si>
    <t>Média (Fortes)</t>
  </si>
  <si>
    <t>Normal (Demais)</t>
  </si>
  <si>
    <t>👥 RANKING DE SUPERVISORES (por qtd de clientes)</t>
  </si>
  <si>
    <t>Cod Cliente - Matriz</t>
  </si>
  <si>
    <t>Nome Abreviado - Matriz</t>
  </si>
  <si>
    <t>FABIJODIV-DF </t>
  </si>
  <si>
    <t>NOVA-DF </t>
  </si>
  <si>
    <t>CEBRASPE-DF </t>
  </si>
  <si>
    <t>MUNDO/DF </t>
  </si>
  <si>
    <t>BENEPAPER-DF </t>
  </si>
  <si>
    <t>DF PAPELARIA </t>
  </si>
  <si>
    <t>PROTEC-DF </t>
  </si>
  <si>
    <t>J.L.COMERCIO </t>
  </si>
  <si>
    <t>ALR-DF </t>
  </si>
  <si>
    <t>OMNI - DF </t>
  </si>
  <si>
    <t>ALMEIDA-DF </t>
  </si>
  <si>
    <t>ESTILO LIV. </t>
  </si>
  <si>
    <t>LER-DF </t>
  </si>
  <si>
    <t>SONIA-DF </t>
  </si>
  <si>
    <t>DAYRE-DF </t>
  </si>
  <si>
    <t>BOOKSTOR-DF </t>
  </si>
  <si>
    <t>LENIZE-DF </t>
  </si>
  <si>
    <t>DICASA-GO </t>
  </si>
  <si>
    <t>ISA - GO </t>
  </si>
  <si>
    <t>OSVALDO-GO </t>
  </si>
  <si>
    <t>JVC-GO </t>
  </si>
  <si>
    <t>BARBOSA-GO </t>
  </si>
  <si>
    <t>PRIMAVERA-GO </t>
  </si>
  <si>
    <t>NOGUEIRA/GO </t>
  </si>
  <si>
    <t>GYN - GO </t>
  </si>
  <si>
    <t>DINAMICA-GO </t>
  </si>
  <si>
    <t>BARROS / GO </t>
  </si>
  <si>
    <t>LIV WR - GO </t>
  </si>
  <si>
    <t>BOTELHO - GO </t>
  </si>
  <si>
    <t>SONIA - GO </t>
  </si>
  <si>
    <t>IRACI ROSA </t>
  </si>
  <si>
    <t>DANIELLY-GO </t>
  </si>
  <si>
    <t>JRC-GO </t>
  </si>
  <si>
    <t>DOMENICI-GO </t>
  </si>
  <si>
    <t>COLEGIAL -GO </t>
  </si>
  <si>
    <t>CORREIA-GO </t>
  </si>
  <si>
    <t>FERNANDES-GO </t>
  </si>
  <si>
    <t>MODERNAP-GO </t>
  </si>
  <si>
    <t>HELBRAZ-GO </t>
  </si>
  <si>
    <t>MUNDO - DF </t>
  </si>
  <si>
    <t>NOVA ESP-GO </t>
  </si>
  <si>
    <t>GILDEAN1-GO </t>
  </si>
  <si>
    <t>JK PAPELARIA </t>
  </si>
  <si>
    <t>CLEIBER-GO </t>
  </si>
  <si>
    <t>NUNES-GO </t>
  </si>
  <si>
    <t>PAP.SANTO-GO </t>
  </si>
  <si>
    <t>VIANNA-GO </t>
  </si>
  <si>
    <t>RYALCE-GO </t>
  </si>
  <si>
    <t>CC VALP - GO </t>
  </si>
  <si>
    <t>CAMPINAS-GO </t>
  </si>
  <si>
    <t>PAULO ROB-MS </t>
  </si>
  <si>
    <t>MATEPLAS-MS </t>
  </si>
  <si>
    <t>PERDOMO-MS </t>
  </si>
  <si>
    <t>SPORTS-MS </t>
  </si>
  <si>
    <t>LMZ - MS </t>
  </si>
  <si>
    <t>FABIO - MS </t>
  </si>
  <si>
    <t>ANA CAR-MS </t>
  </si>
  <si>
    <t>POESY - MT </t>
  </si>
  <si>
    <t>CONCEICAO MT </t>
  </si>
  <si>
    <t>HC COMERCIO </t>
  </si>
  <si>
    <t>GRAFFITE-MT </t>
  </si>
  <si>
    <t>MASTER - MT </t>
  </si>
  <si>
    <t>JOAO PEREIRA </t>
  </si>
  <si>
    <t>ESTUDANTE CO </t>
  </si>
  <si>
    <t>E.M.- MT </t>
  </si>
  <si>
    <t>JP PAPELARIA </t>
  </si>
  <si>
    <t>M.GUIA - MT </t>
  </si>
  <si>
    <t>PERINI-MT </t>
  </si>
  <si>
    <t>BRASIL - MT </t>
  </si>
  <si>
    <t>V. M. - MT </t>
  </si>
  <si>
    <t>BATTUTA-MT </t>
  </si>
  <si>
    <t>MN OLIVEIRA </t>
  </si>
  <si>
    <t>CARLOS ANTON </t>
  </si>
  <si>
    <t>FELICIA MATR </t>
  </si>
  <si>
    <t>NJ SANTOS-AL </t>
  </si>
  <si>
    <t>MACHADO-AL </t>
  </si>
  <si>
    <t>GENIVALDO- </t>
  </si>
  <si>
    <t>CENTRAL-AL </t>
  </si>
  <si>
    <t>MERCADAO-AL </t>
  </si>
  <si>
    <t>PAPEL-AL </t>
  </si>
  <si>
    <t>VASSOURAS-AL </t>
  </si>
  <si>
    <t>A.Q.ABREU-AL </t>
  </si>
  <si>
    <t>ALAN - AL </t>
  </si>
  <si>
    <t>T &amp; S - AL </t>
  </si>
  <si>
    <t>M DE MELO-AL </t>
  </si>
  <si>
    <t>L MARQUES-AL </t>
  </si>
  <si>
    <t>OSVALDO-AL </t>
  </si>
  <si>
    <t>ARNALDO-AL </t>
  </si>
  <si>
    <t>LEILA-AL </t>
  </si>
  <si>
    <t>ROGERIO-AL </t>
  </si>
  <si>
    <t>MARIA VL-AL </t>
  </si>
  <si>
    <t>VERALUCIA-AL </t>
  </si>
  <si>
    <t>SAO LUIS </t>
  </si>
  <si>
    <t>DN AUTOMACAO </t>
  </si>
  <si>
    <t>PAP MONALISA </t>
  </si>
  <si>
    <t>EXTREMO-BA </t>
  </si>
  <si>
    <t>JSA - BA </t>
  </si>
  <si>
    <t>BRASILIA-BA </t>
  </si>
  <si>
    <t>DUBAI-BA </t>
  </si>
  <si>
    <t>JOANICE-BA </t>
  </si>
  <si>
    <t>VALLE - BA </t>
  </si>
  <si>
    <t>MERCANTE-BA </t>
  </si>
  <si>
    <t>PRIMUS BA </t>
  </si>
  <si>
    <t>ITAMAR-BA </t>
  </si>
  <si>
    <t>STAR-BA </t>
  </si>
  <si>
    <t>CQ PASSOS-BA </t>
  </si>
  <si>
    <t>MUNDO1-BA </t>
  </si>
  <si>
    <t>L F A - BA </t>
  </si>
  <si>
    <t>AC FREITA-BA </t>
  </si>
  <si>
    <t>ESTRELA - BA </t>
  </si>
  <si>
    <t>2002 DIST-BA </t>
  </si>
  <si>
    <t>OLATY - BA </t>
  </si>
  <si>
    <t>FOX COM. </t>
  </si>
  <si>
    <t>CASA DAS LOU </t>
  </si>
  <si>
    <t>KRETTI-BA </t>
  </si>
  <si>
    <t>PAPEL MIX </t>
  </si>
  <si>
    <t>EVANDRO - BA </t>
  </si>
  <si>
    <t>V.A.P - BA </t>
  </si>
  <si>
    <t>MARCO-BA </t>
  </si>
  <si>
    <t>KE REPRES-BA </t>
  </si>
  <si>
    <t>DUCA 1-BA </t>
  </si>
  <si>
    <t>JOSE-BA </t>
  </si>
  <si>
    <t>NM PAP-BA </t>
  </si>
  <si>
    <t>VANUZIA-BA </t>
  </si>
  <si>
    <t>MARKKO - BA </t>
  </si>
  <si>
    <t>MAISPAPEL-BA </t>
  </si>
  <si>
    <t>ASSIS-BA </t>
  </si>
  <si>
    <t>SILVEIRA-BA </t>
  </si>
  <si>
    <t>CARIRI - CE </t>
  </si>
  <si>
    <t>ML MIRAND-CE </t>
  </si>
  <si>
    <t>PONTO G-CE </t>
  </si>
  <si>
    <t>INFINITY-CE </t>
  </si>
  <si>
    <t>AE SILVA-CE </t>
  </si>
  <si>
    <t>AMS COMERCIA </t>
  </si>
  <si>
    <t>THE NEW-CE </t>
  </si>
  <si>
    <t>JR DIST-CE </t>
  </si>
  <si>
    <t>COML BX - CE </t>
  </si>
  <si>
    <t>CDMAX02-CE </t>
  </si>
  <si>
    <t>MAX ELETR-CE </t>
  </si>
  <si>
    <t>PAGUE MENOS </t>
  </si>
  <si>
    <t>SANDRA - CE </t>
  </si>
  <si>
    <t>OSMAR - CE </t>
  </si>
  <si>
    <t>L.S.-CE </t>
  </si>
  <si>
    <t>CARVALHO-CE </t>
  </si>
  <si>
    <t>MARTA- CE </t>
  </si>
  <si>
    <t>MARQUES-CE </t>
  </si>
  <si>
    <t>V.M.F-CE </t>
  </si>
  <si>
    <t>M DE JESU-CE </t>
  </si>
  <si>
    <t>CASTRO E SIL </t>
  </si>
  <si>
    <t>C A DE SA-MA </t>
  </si>
  <si>
    <t>BRASIL - MA </t>
  </si>
  <si>
    <t>A COLEGIAL-M </t>
  </si>
  <si>
    <t>LC VAZ - MA </t>
  </si>
  <si>
    <t>NOVA ILHA-MA </t>
  </si>
  <si>
    <t>J C SOUSA-MA </t>
  </si>
  <si>
    <t>RECICLE/MA </t>
  </si>
  <si>
    <t>HAIDE-MA </t>
  </si>
  <si>
    <t>JK PAP-MA </t>
  </si>
  <si>
    <t>ANTONIA-MA </t>
  </si>
  <si>
    <t>MERCATTO-MA </t>
  </si>
  <si>
    <t>PAPIROSSAURO </t>
  </si>
  <si>
    <t>JOSE ROD- PB </t>
  </si>
  <si>
    <t>FREITAS - PB </t>
  </si>
  <si>
    <t>MARIA EUNICE </t>
  </si>
  <si>
    <t>MAURILIO-PB </t>
  </si>
  <si>
    <t>LEIA-PB </t>
  </si>
  <si>
    <t>FRANCIVANIA </t>
  </si>
  <si>
    <t>SUELY-PB </t>
  </si>
  <si>
    <t>SOLANGE-PB </t>
  </si>
  <si>
    <t>A CASA MA </t>
  </si>
  <si>
    <t>NOVO LAR-PB </t>
  </si>
  <si>
    <t>HOZANA-PB </t>
  </si>
  <si>
    <t>E.ZALMA-PB </t>
  </si>
  <si>
    <t>VINICIUS-PB </t>
  </si>
  <si>
    <t>ALBUQUERQUE2 </t>
  </si>
  <si>
    <t>IVONALDO-PB </t>
  </si>
  <si>
    <t>VALDAMI - PB </t>
  </si>
  <si>
    <t>ROCHA - PB </t>
  </si>
  <si>
    <t>4J COMERCIO </t>
  </si>
  <si>
    <t>COSTA GONDIM </t>
  </si>
  <si>
    <t>FABIANA-PB </t>
  </si>
  <si>
    <t>HUMBERTO-PB </t>
  </si>
  <si>
    <t>JOSE FLORENT </t>
  </si>
  <si>
    <t>DADA BIJ-PB </t>
  </si>
  <si>
    <t>ANTONIO OLIV </t>
  </si>
  <si>
    <t>LINHAS E FIO </t>
  </si>
  <si>
    <t>HC - PB </t>
  </si>
  <si>
    <t>ANTONIO PB </t>
  </si>
  <si>
    <t>JONATAS-PB </t>
  </si>
  <si>
    <t>PARATY-PE </t>
  </si>
  <si>
    <t>SEDE DAS MIU </t>
  </si>
  <si>
    <t>JOAO DUQUE </t>
  </si>
  <si>
    <t>F.MACIEL-PE </t>
  </si>
  <si>
    <t>FL DIST-PE </t>
  </si>
  <si>
    <t>CLECIO-PE </t>
  </si>
  <si>
    <t>LUZIMAR - PE </t>
  </si>
  <si>
    <t>MARIA RSB-PE </t>
  </si>
  <si>
    <t>ZL COMERC-PE </t>
  </si>
  <si>
    <t>R D G - PE </t>
  </si>
  <si>
    <t>AVELAR-PE </t>
  </si>
  <si>
    <t>MARCOS AUREL </t>
  </si>
  <si>
    <t>MARCOS - PE </t>
  </si>
  <si>
    <t>MULT COMERC </t>
  </si>
  <si>
    <t>H RIO-PE </t>
  </si>
  <si>
    <t>DELGADO-PE </t>
  </si>
  <si>
    <t>AGUIAR-PE </t>
  </si>
  <si>
    <t>MUNDO - PE </t>
  </si>
  <si>
    <t>MANOEL - PE </t>
  </si>
  <si>
    <t>ERLANIA-PE </t>
  </si>
  <si>
    <t>MS PAPELARIA </t>
  </si>
  <si>
    <t>AVELINO - PE </t>
  </si>
  <si>
    <t>MS MAG - PE </t>
  </si>
  <si>
    <t>DS-PE </t>
  </si>
  <si>
    <t>ANDRA-PE </t>
  </si>
  <si>
    <t>J LOPES-PE </t>
  </si>
  <si>
    <t>JOAO LEITE </t>
  </si>
  <si>
    <t>GLOBO - PE </t>
  </si>
  <si>
    <t>SUPRA - PE </t>
  </si>
  <si>
    <t>PRESSAO- PE </t>
  </si>
  <si>
    <t>JB MACEDO-PE </t>
  </si>
  <si>
    <t>G D -PE </t>
  </si>
  <si>
    <t>S E D/01 </t>
  </si>
  <si>
    <t>KRD-PE </t>
  </si>
  <si>
    <t>CLECIANO-PE </t>
  </si>
  <si>
    <t>MUNDIAL-PE </t>
  </si>
  <si>
    <t>PAULO PE </t>
  </si>
  <si>
    <t>MARIA-PE </t>
  </si>
  <si>
    <t>ROMERO-PE </t>
  </si>
  <si>
    <t>CICERA - PE </t>
  </si>
  <si>
    <t>A MIRLA- PE </t>
  </si>
  <si>
    <t>AREIA-PE </t>
  </si>
  <si>
    <t>DANIELE-PE </t>
  </si>
  <si>
    <t>CILENE-PE </t>
  </si>
  <si>
    <t>JOAO - PE </t>
  </si>
  <si>
    <t>UNICA PE </t>
  </si>
  <si>
    <t>MARCIO - PE </t>
  </si>
  <si>
    <t>W  SILVA-PE </t>
  </si>
  <si>
    <t>DANIEL - PE </t>
  </si>
  <si>
    <t>AQUARELA PE </t>
  </si>
  <si>
    <t>RUDIMAR - PE </t>
  </si>
  <si>
    <t>REGINALDO-PE </t>
  </si>
  <si>
    <t>M JOSIANA- P </t>
  </si>
  <si>
    <t>H.G.PE </t>
  </si>
  <si>
    <t>ANDRE-PE </t>
  </si>
  <si>
    <t>LUCIANA-PE </t>
  </si>
  <si>
    <t>MJ - PE </t>
  </si>
  <si>
    <t>ITAENGA- PE </t>
  </si>
  <si>
    <t>PAPER BOX-PE </t>
  </si>
  <si>
    <t>JACINTO-PE </t>
  </si>
  <si>
    <t>BML-PE </t>
  </si>
  <si>
    <t>SEVERINO/PE </t>
  </si>
  <si>
    <t>BELEM-PE </t>
  </si>
  <si>
    <t>RAQUEL - PE </t>
  </si>
  <si>
    <t>BONBONN-PE </t>
  </si>
  <si>
    <t>NOGUEIRA-PI </t>
  </si>
  <si>
    <t>ASA-PI </t>
  </si>
  <si>
    <t>FORNECE-PI </t>
  </si>
  <si>
    <t>REAL - PI </t>
  </si>
  <si>
    <t>ACS MOURA </t>
  </si>
  <si>
    <t>LOURENCO-PI </t>
  </si>
  <si>
    <t>ALMEIDA-PI </t>
  </si>
  <si>
    <t>I COMER. RN </t>
  </si>
  <si>
    <t>J P - RN </t>
  </si>
  <si>
    <t>ABRAHAO-RN </t>
  </si>
  <si>
    <t>LEDA -RN </t>
  </si>
  <si>
    <t>SANTO-RN </t>
  </si>
  <si>
    <t>ECONOMIX ATA </t>
  </si>
  <si>
    <t>LIDER - RN </t>
  </si>
  <si>
    <t>E H M -RN </t>
  </si>
  <si>
    <t>JOSE - RN </t>
  </si>
  <si>
    <t>TECNOVOS-RN </t>
  </si>
  <si>
    <t>EDSON - RN </t>
  </si>
  <si>
    <t>CAMARA-RN </t>
  </si>
  <si>
    <t>MARIO SERGIO </t>
  </si>
  <si>
    <t>D M - RN </t>
  </si>
  <si>
    <t>ARTE &amp; SABER </t>
  </si>
  <si>
    <t>AMORIM - RN </t>
  </si>
  <si>
    <t>JOSE ELIOMAR </t>
  </si>
  <si>
    <t>DADA - RN </t>
  </si>
  <si>
    <t>CRIATIVA-RN </t>
  </si>
  <si>
    <t>H L - SE </t>
  </si>
  <si>
    <t>AVS - SE </t>
  </si>
  <si>
    <t>SAMIRES-SE </t>
  </si>
  <si>
    <t>ITA - SE </t>
  </si>
  <si>
    <t>R &amp; F-SE </t>
  </si>
  <si>
    <t>CARDOSO-SE </t>
  </si>
  <si>
    <t>ESTUDANTE-SE </t>
  </si>
  <si>
    <t>DIST GLOBO </t>
  </si>
  <si>
    <t>EDJUNIO- AC </t>
  </si>
  <si>
    <t>JS CORDEIRO </t>
  </si>
  <si>
    <t>E.N.LIMA </t>
  </si>
  <si>
    <t>H &amp; S IMP-AC </t>
  </si>
  <si>
    <t>G.I.C.CAMELI </t>
  </si>
  <si>
    <t>RICHARD - AC </t>
  </si>
  <si>
    <t>CECIL-AM </t>
  </si>
  <si>
    <t>A A LIMA -AM </t>
  </si>
  <si>
    <t>R.P.V.-01 </t>
  </si>
  <si>
    <t>JONIVAL-AM </t>
  </si>
  <si>
    <t>NOVA OLINDA </t>
  </si>
  <si>
    <t>ALVES LIRA </t>
  </si>
  <si>
    <t>BIG - AM </t>
  </si>
  <si>
    <t>REAL-AM </t>
  </si>
  <si>
    <t>S S AFONSO </t>
  </si>
  <si>
    <t>FABIO - AM </t>
  </si>
  <si>
    <t>METRO-AM </t>
  </si>
  <si>
    <t>ILBERTO-AM </t>
  </si>
  <si>
    <t>M.C.COM-AM </t>
  </si>
  <si>
    <t>F. GALVAO-AM </t>
  </si>
  <si>
    <t>C F CORREIA </t>
  </si>
  <si>
    <t>R G XAVIER </t>
  </si>
  <si>
    <t>J LIMA-AM </t>
  </si>
  <si>
    <t>MALCHER-AM </t>
  </si>
  <si>
    <t>CDB - AM </t>
  </si>
  <si>
    <t>M.NOBRE-AM </t>
  </si>
  <si>
    <t>JOYCE - AM </t>
  </si>
  <si>
    <t>F N DE SOUZA </t>
  </si>
  <si>
    <t>MARCIO PINTO </t>
  </si>
  <si>
    <t>PICANCO-AM </t>
  </si>
  <si>
    <t>FRANK-AM </t>
  </si>
  <si>
    <t>L.R.A. - AM </t>
  </si>
  <si>
    <t>DARKLER - AP </t>
  </si>
  <si>
    <t>GT- AP </t>
  </si>
  <si>
    <t>AMAFLAM-AP </t>
  </si>
  <si>
    <t>IBIAPINA-AP </t>
  </si>
  <si>
    <t>R.S.IGLESIAS </t>
  </si>
  <si>
    <t>F. G - AP </t>
  </si>
  <si>
    <t>A. SALOMAO </t>
  </si>
  <si>
    <t>ACG-AP </t>
  </si>
  <si>
    <t>ESME-AP </t>
  </si>
  <si>
    <t>PLASMAR-AP </t>
  </si>
  <si>
    <t>IMP MACAPA </t>
  </si>
  <si>
    <t>RAPHAELA-AP </t>
  </si>
  <si>
    <t>M A M - AP </t>
  </si>
  <si>
    <t>BALIEIROS </t>
  </si>
  <si>
    <t>MUNDO REAL 2 </t>
  </si>
  <si>
    <t>M.A OLIVEIRA </t>
  </si>
  <si>
    <t>A.NERES-PA </t>
  </si>
  <si>
    <t>P C DIAS -PA </t>
  </si>
  <si>
    <t>EJ COSTA </t>
  </si>
  <si>
    <t>A A DE SOUZA </t>
  </si>
  <si>
    <t>DOUGLAS - PA </t>
  </si>
  <si>
    <t>OPCAO-PA </t>
  </si>
  <si>
    <t>CENTRAL- PA </t>
  </si>
  <si>
    <t>LUCIMARI-PA </t>
  </si>
  <si>
    <t>JURANDY-PA </t>
  </si>
  <si>
    <t>VEREDAS-PA </t>
  </si>
  <si>
    <t>MCS-PA </t>
  </si>
  <si>
    <t>NI COM - PA </t>
  </si>
  <si>
    <t>COLMEIA-PA </t>
  </si>
  <si>
    <t>R M P - PA </t>
  </si>
  <si>
    <t>MATRIX </t>
  </si>
  <si>
    <t>MULT - PA </t>
  </si>
  <si>
    <t>MEL PAP-PA </t>
  </si>
  <si>
    <t>R.DE O - PA </t>
  </si>
  <si>
    <t>AMAZONIA PA </t>
  </si>
  <si>
    <t>COPYTEC - PA </t>
  </si>
  <si>
    <t>TOP COM-PA </t>
  </si>
  <si>
    <t>MC COM-PA </t>
  </si>
  <si>
    <t>WANDER-PA </t>
  </si>
  <si>
    <t>PIAU-PA </t>
  </si>
  <si>
    <t>T S - PA </t>
  </si>
  <si>
    <t>VA BESSA-PA </t>
  </si>
  <si>
    <t>S &amp; J - PA </t>
  </si>
  <si>
    <t>A.R.COMERCIA </t>
  </si>
  <si>
    <t>APRENDIZ-PA </t>
  </si>
  <si>
    <t>KACIO - PA </t>
  </si>
  <si>
    <t>BRINK-PA </t>
  </si>
  <si>
    <t>L R COELHO </t>
  </si>
  <si>
    <t>A.R.SILVA-PA </t>
  </si>
  <si>
    <t>AS LOPES-PA </t>
  </si>
  <si>
    <t>JORGE - PA </t>
  </si>
  <si>
    <t>JS MENDES-PA </t>
  </si>
  <si>
    <t>J L C - PA </t>
  </si>
  <si>
    <t>AC BARROS-PA </t>
  </si>
  <si>
    <t>BARATO 01-PA </t>
  </si>
  <si>
    <t>D W - PA </t>
  </si>
  <si>
    <t>R SOUZA-PA </t>
  </si>
  <si>
    <t>LACERDA-PA </t>
  </si>
  <si>
    <t>DIAMANTE- PA </t>
  </si>
  <si>
    <t>W R - PA </t>
  </si>
  <si>
    <t>MORAES E NOG </t>
  </si>
  <si>
    <t>G.GOMES-PA </t>
  </si>
  <si>
    <t>PIRES-PA </t>
  </si>
  <si>
    <t>ADRIANA - PA </t>
  </si>
  <si>
    <t>P T MORAES </t>
  </si>
  <si>
    <t>S.RODRIGUES </t>
  </si>
  <si>
    <t>PAULINA-PA </t>
  </si>
  <si>
    <t>VN CUNHA-PA </t>
  </si>
  <si>
    <t>J E SILVA-PA </t>
  </si>
  <si>
    <t>J. DE P - PA </t>
  </si>
  <si>
    <t>DCM - PA </t>
  </si>
  <si>
    <t>MARTINS/PA </t>
  </si>
  <si>
    <t>ELETRO - PA </t>
  </si>
  <si>
    <t>SILVA / PA </t>
  </si>
  <si>
    <t>GOMES - PA </t>
  </si>
  <si>
    <t>C E LIMA-PA </t>
  </si>
  <si>
    <t>M E F - PA </t>
  </si>
  <si>
    <t>IVRS-PA </t>
  </si>
  <si>
    <t>FLOR - PA </t>
  </si>
  <si>
    <t>MULTIPLO-RO </t>
  </si>
  <si>
    <t>FARONI-RO </t>
  </si>
  <si>
    <t>DINAMICA-RO </t>
  </si>
  <si>
    <t>RTB COM-RO </t>
  </si>
  <si>
    <t>TEIXEIRA LTD </t>
  </si>
  <si>
    <t>JR MACHAD-RO </t>
  </si>
  <si>
    <t>CAPITAL-RO </t>
  </si>
  <si>
    <t>LIBERDADE-RO </t>
  </si>
  <si>
    <t>VALTER DIAS </t>
  </si>
  <si>
    <t>A.C.ALBUQUER </t>
  </si>
  <si>
    <t>PAULA-RR </t>
  </si>
  <si>
    <t>M L P -RR </t>
  </si>
  <si>
    <t>SILVA-RR </t>
  </si>
  <si>
    <t>O DE MOURA </t>
  </si>
  <si>
    <t>P. J. P - RR </t>
  </si>
  <si>
    <t>PRAPEL-TO </t>
  </si>
  <si>
    <t>M RIBEIRO </t>
  </si>
  <si>
    <t>AL DIST.-TO </t>
  </si>
  <si>
    <t>JAQUELINE-TO </t>
  </si>
  <si>
    <t>SILVA-TO </t>
  </si>
  <si>
    <t>GLORIA-TO </t>
  </si>
  <si>
    <t>BEZERRA-TO </t>
  </si>
  <si>
    <t>F.A.S. - TO </t>
  </si>
  <si>
    <t>DIST LAVOR </t>
  </si>
  <si>
    <t>COPYSERVICE </t>
  </si>
  <si>
    <t>UTIL-LAR/01 </t>
  </si>
  <si>
    <t>TOCA-TO </t>
  </si>
  <si>
    <t>ABC-TO </t>
  </si>
  <si>
    <t>AVENIDA-TO </t>
  </si>
  <si>
    <t>CASTORIN-ES </t>
  </si>
  <si>
    <t>RC IMP - ES </t>
  </si>
  <si>
    <t>AGNES - ES </t>
  </si>
  <si>
    <t>CASAGRAND-ES </t>
  </si>
  <si>
    <t>NUNES-ES </t>
  </si>
  <si>
    <t>CARTAM - ES </t>
  </si>
  <si>
    <t>ARGUS - ES </t>
  </si>
  <si>
    <t>DRESCH-ES </t>
  </si>
  <si>
    <t>LOJAS JAJA </t>
  </si>
  <si>
    <t>PAPER KIDS </t>
  </si>
  <si>
    <t>AQUI TEM-ES </t>
  </si>
  <si>
    <t>VB MACABU-ES </t>
  </si>
  <si>
    <t>NTN-ES </t>
  </si>
  <si>
    <t>SOLINEA-ES </t>
  </si>
  <si>
    <t>TODALINHA-ES </t>
  </si>
  <si>
    <t>MELO-ES </t>
  </si>
  <si>
    <t>FERNANDA-ES </t>
  </si>
  <si>
    <t>SANTA FE-ES </t>
  </si>
  <si>
    <t>LUF </t>
  </si>
  <si>
    <t>DATA MIX-ES </t>
  </si>
  <si>
    <t>GV PAP - ES </t>
  </si>
  <si>
    <t>BENAYR </t>
  </si>
  <si>
    <t>DIGITAL-ES </t>
  </si>
  <si>
    <t>JET DIST-ES </t>
  </si>
  <si>
    <t>GECORE </t>
  </si>
  <si>
    <t>D &amp; L - ES </t>
  </si>
  <si>
    <t>MAG MIX-ES </t>
  </si>
  <si>
    <t>SOLUCAO-ES </t>
  </si>
  <si>
    <t>G MAIS-ES </t>
  </si>
  <si>
    <t>J.L.DE ANDRA </t>
  </si>
  <si>
    <t>JGS COM-ES </t>
  </si>
  <si>
    <t>BELLO-ES </t>
  </si>
  <si>
    <t>ROMEDAL-ES </t>
  </si>
  <si>
    <t>DN JUNIOR-ES </t>
  </si>
  <si>
    <t>THIAGO-ES </t>
  </si>
  <si>
    <t>SE7E - ES </t>
  </si>
  <si>
    <t>JOCINEIA-ES </t>
  </si>
  <si>
    <t>PROJEHAB-ES </t>
  </si>
  <si>
    <t>VERDIN-ES </t>
  </si>
  <si>
    <t>OSTILIO-ES </t>
  </si>
  <si>
    <t>LOJAS JULIAN </t>
  </si>
  <si>
    <t>BEE - ES </t>
  </si>
  <si>
    <t>NOVA VIDA/ES </t>
  </si>
  <si>
    <t>PAP ITABAPOA </t>
  </si>
  <si>
    <t>GOBBO-ES </t>
  </si>
  <si>
    <t>REBONATOS-ES </t>
  </si>
  <si>
    <t>KIKA-PEL-ES </t>
  </si>
  <si>
    <t>BICALHO-ES </t>
  </si>
  <si>
    <t>SUPER ATAC </t>
  </si>
  <si>
    <t>EUDA-ES </t>
  </si>
  <si>
    <t>MIL-ES </t>
  </si>
  <si>
    <t>DS DIST-ES </t>
  </si>
  <si>
    <t>MAGAZINE MIL </t>
  </si>
  <si>
    <t>PEDRO - ES </t>
  </si>
  <si>
    <t>BERGER-ES </t>
  </si>
  <si>
    <t>D &amp; C-ES </t>
  </si>
  <si>
    <t>MEGA SHOPPIN </t>
  </si>
  <si>
    <t>ATACADO - ES </t>
  </si>
  <si>
    <t>LUIZA RIZ </t>
  </si>
  <si>
    <t>J E J-ES </t>
  </si>
  <si>
    <t>MULTIMARC-MG </t>
  </si>
  <si>
    <t>CANDIDES </t>
  </si>
  <si>
    <t>ZACHEU-MG </t>
  </si>
  <si>
    <t>FOCO COM-MG </t>
  </si>
  <si>
    <t>FORTIL </t>
  </si>
  <si>
    <t>MECPEL-MG </t>
  </si>
  <si>
    <t>MARINHO-MG </t>
  </si>
  <si>
    <t>ALIANCA - MG </t>
  </si>
  <si>
    <t>CENTRAL SERV </t>
  </si>
  <si>
    <t>FAZZA-MG </t>
  </si>
  <si>
    <t>ZILIX-MG </t>
  </si>
  <si>
    <t>POINT-MG </t>
  </si>
  <si>
    <t>LFC-MG </t>
  </si>
  <si>
    <t>MSE-MG </t>
  </si>
  <si>
    <t>LOGOS-MG </t>
  </si>
  <si>
    <t>FARIA-MG </t>
  </si>
  <si>
    <t>LAJIPEL-MG </t>
  </si>
  <si>
    <t>S. PAULO-MG </t>
  </si>
  <si>
    <t>RAFAEL BECCA </t>
  </si>
  <si>
    <t>SL COM - MG </t>
  </si>
  <si>
    <t>ASTRAL-MG </t>
  </si>
  <si>
    <t>BETIM-MG </t>
  </si>
  <si>
    <t>VIVA - MG </t>
  </si>
  <si>
    <t>E &amp; T - MG </t>
  </si>
  <si>
    <t>SANTOS E SA </t>
  </si>
  <si>
    <t>GERALDA-MG </t>
  </si>
  <si>
    <t>KARLO'S-MG </t>
  </si>
  <si>
    <t>LV DISTR.MG </t>
  </si>
  <si>
    <t>FORMIGA- MG </t>
  </si>
  <si>
    <t>BANDEIRAN-MG </t>
  </si>
  <si>
    <t>SOEL-MG </t>
  </si>
  <si>
    <t>COLORS-MG </t>
  </si>
  <si>
    <t>MIDIAPEL-MG </t>
  </si>
  <si>
    <t>UARNDERSON </t>
  </si>
  <si>
    <t>FGF COMERCIO </t>
  </si>
  <si>
    <t>PTO MAGICO </t>
  </si>
  <si>
    <t>LOGDA - MG </t>
  </si>
  <si>
    <t>CAETES-MG </t>
  </si>
  <si>
    <t>JOSINO NEIVA </t>
  </si>
  <si>
    <t>MODELO2-MG </t>
  </si>
  <si>
    <t>MAXIMA-MG </t>
  </si>
  <si>
    <t>RH - MG </t>
  </si>
  <si>
    <t>LUNA-MG </t>
  </si>
  <si>
    <t>CASTRO - MG </t>
  </si>
  <si>
    <t>UNAI-MG </t>
  </si>
  <si>
    <t>SULAMER-MG </t>
  </si>
  <si>
    <t>DURVALINA-MG </t>
  </si>
  <si>
    <t>FREDSON-MG </t>
  </si>
  <si>
    <t>CIOFFI-MG </t>
  </si>
  <si>
    <t>IRMAOS MATTA </t>
  </si>
  <si>
    <t>G.ANDRADE-MG </t>
  </si>
  <si>
    <t>PANAM-MG </t>
  </si>
  <si>
    <t>SOMA - MG </t>
  </si>
  <si>
    <t>KATIUSCIA </t>
  </si>
  <si>
    <t>RAFAEL-MG </t>
  </si>
  <si>
    <t>JERONIMO-MG </t>
  </si>
  <si>
    <t>FERREIRA 2 </t>
  </si>
  <si>
    <t>TC CARMO-MG </t>
  </si>
  <si>
    <t>UBERPEL-MG </t>
  </si>
  <si>
    <t>CENTRAL - MG </t>
  </si>
  <si>
    <t>IMPRIMA-MG </t>
  </si>
  <si>
    <t>MUNDO30-MG </t>
  </si>
  <si>
    <t>MARIO LUCIO </t>
  </si>
  <si>
    <t>KAFKA-MG </t>
  </si>
  <si>
    <t>MONTEVERD-MG </t>
  </si>
  <si>
    <t>EMPORIO - MG </t>
  </si>
  <si>
    <t>CENTER- MG </t>
  </si>
  <si>
    <t>PRINCIPAL-MG </t>
  </si>
  <si>
    <t>HELTA - MG </t>
  </si>
  <si>
    <t>RAFFAELLY-MG </t>
  </si>
  <si>
    <t>COPYSUL-MG </t>
  </si>
  <si>
    <t>L.P.C.-MG </t>
  </si>
  <si>
    <t>EDLA-MG </t>
  </si>
  <si>
    <t>ARTEBRILHO </t>
  </si>
  <si>
    <t>LINKMED-MG </t>
  </si>
  <si>
    <t>MILCOPY90-MG </t>
  </si>
  <si>
    <t>ADRIANA - MG </t>
  </si>
  <si>
    <t>AMARELINHO </t>
  </si>
  <si>
    <t>LAVINIA - MG </t>
  </si>
  <si>
    <t>MARLUVAS </t>
  </si>
  <si>
    <t>S.GUTIERREZ </t>
  </si>
  <si>
    <t>TEXEIRA- MG </t>
  </si>
  <si>
    <t>LL RABISCO </t>
  </si>
  <si>
    <t>RJ PAP-MG </t>
  </si>
  <si>
    <t>DIMECOL-MG </t>
  </si>
  <si>
    <t>D'MAIS </t>
  </si>
  <si>
    <t>MARTIPEL-MG </t>
  </si>
  <si>
    <t>COPRESS-MG </t>
  </si>
  <si>
    <t>COUTO MG </t>
  </si>
  <si>
    <t>GLOBO- MG </t>
  </si>
  <si>
    <t>BOCAO-MG </t>
  </si>
  <si>
    <t>COPY - MG </t>
  </si>
  <si>
    <t>PAP STA RITA </t>
  </si>
  <si>
    <t>SPACE-MG </t>
  </si>
  <si>
    <t>COOP.CONS-2 </t>
  </si>
  <si>
    <t>LR PAPELARIA </t>
  </si>
  <si>
    <t>BERNARDAO/01 </t>
  </si>
  <si>
    <t>MARCO EMILIO </t>
  </si>
  <si>
    <t>FENIX- MG </t>
  </si>
  <si>
    <t>PRIMA LETTER </t>
  </si>
  <si>
    <t>PINHEIRO </t>
  </si>
  <si>
    <t>PAPEL OURO </t>
  </si>
  <si>
    <t>ARLINDO-MG </t>
  </si>
  <si>
    <t>COPY-MG </t>
  </si>
  <si>
    <t>MURIAE-MG </t>
  </si>
  <si>
    <t>LFA-MG </t>
  </si>
  <si>
    <t>PEREIRA-MG </t>
  </si>
  <si>
    <t>MAXPEL-MG </t>
  </si>
  <si>
    <t>RODRIGO-MG </t>
  </si>
  <si>
    <t>NOBELESS-RJ </t>
  </si>
  <si>
    <t>SEMIANA-RJ1 </t>
  </si>
  <si>
    <t>JD LARGO DO </t>
  </si>
  <si>
    <t>VEMQUETEM-1 </t>
  </si>
  <si>
    <t>RECOPEL2-RJ </t>
  </si>
  <si>
    <t>AMARAL-RJ </t>
  </si>
  <si>
    <t>PAULO/RJ </t>
  </si>
  <si>
    <t>BOOZ-RJ </t>
  </si>
  <si>
    <t>DELMAR-RJ </t>
  </si>
  <si>
    <t>COISA E TAL </t>
  </si>
  <si>
    <t>CRISCLAU-RJ </t>
  </si>
  <si>
    <t>MODERNA - RJ </t>
  </si>
  <si>
    <t>MINAS GERAL </t>
  </si>
  <si>
    <t>CASA E V RJ </t>
  </si>
  <si>
    <t>ATUAL-RJ </t>
  </si>
  <si>
    <t>SAQUA-RJ </t>
  </si>
  <si>
    <t>B F C - RJ </t>
  </si>
  <si>
    <t>1 DE MARCO </t>
  </si>
  <si>
    <t>TORRE-RJ </t>
  </si>
  <si>
    <t>A &amp; I-RJ </t>
  </si>
  <si>
    <t>SAKURA-RJ </t>
  </si>
  <si>
    <t>ARMAZEM- RJ </t>
  </si>
  <si>
    <t>SEMADRI-RJ </t>
  </si>
  <si>
    <t>ANDRI-RJ </t>
  </si>
  <si>
    <t>JOAO - RJ </t>
  </si>
  <si>
    <t>FERNANDO RJ </t>
  </si>
  <si>
    <t>ANCHIETA-RJ </t>
  </si>
  <si>
    <t>R&amp;R NEG-RJ </t>
  </si>
  <si>
    <t>CRISTIL - RJ </t>
  </si>
  <si>
    <t>AC FERREIRA </t>
  </si>
  <si>
    <t>ADRIANA-RJ </t>
  </si>
  <si>
    <t>CHINATOWN-RJ </t>
  </si>
  <si>
    <t>SILVIA-RJ </t>
  </si>
  <si>
    <t>GERALDO RJ </t>
  </si>
  <si>
    <t>BRINQUELANDI </t>
  </si>
  <si>
    <t>SEPOL-RJ </t>
  </si>
  <si>
    <t>LAXMY-RJ </t>
  </si>
  <si>
    <t>CONNECTION </t>
  </si>
  <si>
    <t>SPS-RJ </t>
  </si>
  <si>
    <t>DC ATAC-RJ </t>
  </si>
  <si>
    <t>F.B.A - RJ </t>
  </si>
  <si>
    <t>SANRITA-RJ </t>
  </si>
  <si>
    <t>GESSE-RJ </t>
  </si>
  <si>
    <t>RAINHA - RJ </t>
  </si>
  <si>
    <t>P.W.DE SOUZA </t>
  </si>
  <si>
    <t>HHR - RJ </t>
  </si>
  <si>
    <t>POLO-RJ </t>
  </si>
  <si>
    <t>KING-RJ </t>
  </si>
  <si>
    <t>J M-RJ </t>
  </si>
  <si>
    <t>LUBAVAS - RJ </t>
  </si>
  <si>
    <t>NEW PAPER 1 </t>
  </si>
  <si>
    <t>RIOCARGAS RJ </t>
  </si>
  <si>
    <t>RIBEIRO/01 </t>
  </si>
  <si>
    <t>ESCOLAR - RJ </t>
  </si>
  <si>
    <t>SAB RAMOS-RJ </t>
  </si>
  <si>
    <t>BEVERLY - RJ </t>
  </si>
  <si>
    <t>OFFICE 2-RJ </t>
  </si>
  <si>
    <t>AGM - RJ </t>
  </si>
  <si>
    <t>PLASTIMARCOS </t>
  </si>
  <si>
    <t>HZINE - RJ </t>
  </si>
  <si>
    <t>HORIZONTE-RJ </t>
  </si>
  <si>
    <t>PRIMUS 1-RJ </t>
  </si>
  <si>
    <t>CATE-RJ </t>
  </si>
  <si>
    <t>ALEGRIA - RJ </t>
  </si>
  <si>
    <t>MARIA J-RJ </t>
  </si>
  <si>
    <t>GLOBAL RJ </t>
  </si>
  <si>
    <t>LIDER COPY </t>
  </si>
  <si>
    <t>SU-ROSSETO </t>
  </si>
  <si>
    <t>ENCANTERI-RJ </t>
  </si>
  <si>
    <t>SILVIO - RJ </t>
  </si>
  <si>
    <t>PAPER / RJ </t>
  </si>
  <si>
    <t>GRADIM - RJ </t>
  </si>
  <si>
    <t>POLIGRAFICA </t>
  </si>
  <si>
    <t>DANNEMANN </t>
  </si>
  <si>
    <t>FS BUSATO </t>
  </si>
  <si>
    <t>LELIVIA </t>
  </si>
  <si>
    <t>JB BETA-RJ </t>
  </si>
  <si>
    <t>P.POLGRYMAS </t>
  </si>
  <si>
    <t>T RODRIG-SP </t>
  </si>
  <si>
    <t>SUPRICORP-SP </t>
  </si>
  <si>
    <t>NAZIH-SP </t>
  </si>
  <si>
    <t>DEBORA-SP </t>
  </si>
  <si>
    <t>SUPRI - SP </t>
  </si>
  <si>
    <t>ANDERSON.SP </t>
  </si>
  <si>
    <t>MONIMAQ'S </t>
  </si>
  <si>
    <t>FONTES-SP </t>
  </si>
  <si>
    <t>ENCANTADA-SP </t>
  </si>
  <si>
    <t>PARIZOTTO-SP </t>
  </si>
  <si>
    <t>TANBY/01 </t>
  </si>
  <si>
    <t>BRASILFIJ-SP </t>
  </si>
  <si>
    <t>PIPASAN </t>
  </si>
  <si>
    <t>MPH - SP </t>
  </si>
  <si>
    <t>J PAULO-SP </t>
  </si>
  <si>
    <t>AF ACIOLI-SP </t>
  </si>
  <si>
    <t>FRONT-SP </t>
  </si>
  <si>
    <t>M8 DIST-SP </t>
  </si>
  <si>
    <t>REYNAL-SP </t>
  </si>
  <si>
    <t>PROJETA-SP </t>
  </si>
  <si>
    <t>DIGITRON-SP </t>
  </si>
  <si>
    <t>TOK E LEVE </t>
  </si>
  <si>
    <t>JS YOU-SP </t>
  </si>
  <si>
    <t>DAMARIS - SP </t>
  </si>
  <si>
    <t>MIX REAL-SP </t>
  </si>
  <si>
    <t>FATIMA-SP </t>
  </si>
  <si>
    <t>LUCKY-SP </t>
  </si>
  <si>
    <t>XERETA-SP </t>
  </si>
  <si>
    <t>SHOPP-SP </t>
  </si>
  <si>
    <t>SANDRA - SP </t>
  </si>
  <si>
    <t>BIG NUNES-SP </t>
  </si>
  <si>
    <t>MATRIZ-SP </t>
  </si>
  <si>
    <t>STARCAD- SP </t>
  </si>
  <si>
    <t>STEFFANY -SP </t>
  </si>
  <si>
    <t>LOURDES - SP </t>
  </si>
  <si>
    <t>ALAN - SP </t>
  </si>
  <si>
    <t>GABRIELA-SP </t>
  </si>
  <si>
    <t>JORGE-SP </t>
  </si>
  <si>
    <t>SUPPORT-SP </t>
  </si>
  <si>
    <t>LAPAPEL </t>
  </si>
  <si>
    <t>RENEI - SP </t>
  </si>
  <si>
    <t>J PAULO 5-SP </t>
  </si>
  <si>
    <t>VINICIUS/SP </t>
  </si>
  <si>
    <t>ILUMINARE-SP </t>
  </si>
  <si>
    <t>N.S LAPA-SP </t>
  </si>
  <si>
    <t>TUCANO-SP </t>
  </si>
  <si>
    <t>REAL MIX -SP </t>
  </si>
  <si>
    <t>MATHEUS-SP </t>
  </si>
  <si>
    <t>NIVALMIX/01 </t>
  </si>
  <si>
    <t>PAPELARY-SP </t>
  </si>
  <si>
    <t>AKAI - SP </t>
  </si>
  <si>
    <t>GAZOLLI-SP </t>
  </si>
  <si>
    <t>NEW HIG-SP </t>
  </si>
  <si>
    <t>ZONA LESTE </t>
  </si>
  <si>
    <t>BRAZ - SP </t>
  </si>
  <si>
    <t>MAURICIO WAG </t>
  </si>
  <si>
    <t>LILIKA-SP </t>
  </si>
  <si>
    <t>ECOL - SP </t>
  </si>
  <si>
    <t>JP DA CRU-SP </t>
  </si>
  <si>
    <t>ROSANA-SP </t>
  </si>
  <si>
    <t>YAOYAO-SP </t>
  </si>
  <si>
    <t>LILISSA - SP </t>
  </si>
  <si>
    <t>KM - SP </t>
  </si>
  <si>
    <t>J LI COM-SP </t>
  </si>
  <si>
    <t>UM MUNDO-SP </t>
  </si>
  <si>
    <t>NATALIA - SP </t>
  </si>
  <si>
    <t>MARTINS/SP </t>
  </si>
  <si>
    <t>TOLEDO-SP </t>
  </si>
  <si>
    <t>JANETE-SP </t>
  </si>
  <si>
    <t>MEC TOCA-SP </t>
  </si>
  <si>
    <t>TAKAHASHI </t>
  </si>
  <si>
    <t>MARK-SP </t>
  </si>
  <si>
    <t>IFF SP </t>
  </si>
  <si>
    <t>S91 LOJAS-SP </t>
  </si>
  <si>
    <t>ITALIVROS-SP </t>
  </si>
  <si>
    <t>JOAO RAMALHO </t>
  </si>
  <si>
    <t>WU CHUNMEI </t>
  </si>
  <si>
    <t>CRIS - SP </t>
  </si>
  <si>
    <t>SRG-SP </t>
  </si>
  <si>
    <t>DOIS M - SP </t>
  </si>
  <si>
    <t>JFKAS-SP </t>
  </si>
  <si>
    <t>PROCOMP-SP </t>
  </si>
  <si>
    <t>DAN-SP </t>
  </si>
  <si>
    <t>DIVAI-SP </t>
  </si>
  <si>
    <t>D&amp;N PAP-SP </t>
  </si>
  <si>
    <t>ELAINE * SP </t>
  </si>
  <si>
    <t>K S MODAS-SP </t>
  </si>
  <si>
    <t>DENUNCIO-SP </t>
  </si>
  <si>
    <t>THOMAZ-SP </t>
  </si>
  <si>
    <t>MIX BIJU </t>
  </si>
  <si>
    <t>MENDONCA- SP </t>
  </si>
  <si>
    <t>RN DIST-SP </t>
  </si>
  <si>
    <t>LETRAS-SP </t>
  </si>
  <si>
    <t>RICARDO SP </t>
  </si>
  <si>
    <t>DARCI-SP </t>
  </si>
  <si>
    <t>BOARINI- SP </t>
  </si>
  <si>
    <t>TIFFANY- SP </t>
  </si>
  <si>
    <t>LUIZ  - SP </t>
  </si>
  <si>
    <t>OLIDIA - SP </t>
  </si>
  <si>
    <t>CASSIA - SP </t>
  </si>
  <si>
    <t>JOSE PAUL-SP </t>
  </si>
  <si>
    <t>SHOP 3 - SP </t>
  </si>
  <si>
    <t>SUPERA-SP </t>
  </si>
  <si>
    <t>JUMBO3-PR </t>
  </si>
  <si>
    <t>ANDRE MATIAS </t>
  </si>
  <si>
    <t>SHEILA-PR </t>
  </si>
  <si>
    <t>ZHUANG/PR </t>
  </si>
  <si>
    <t>SAO PEDRO-PR </t>
  </si>
  <si>
    <t>GG PEL-PR </t>
  </si>
  <si>
    <t>HERPEL - PR </t>
  </si>
  <si>
    <t>MEGA FEIRA </t>
  </si>
  <si>
    <t>DESTRO-CASCA </t>
  </si>
  <si>
    <t>GIOVANNY -PR </t>
  </si>
  <si>
    <t>PARANA L-PR </t>
  </si>
  <si>
    <t>CAROL - PR </t>
  </si>
  <si>
    <t>TCM OFFICE </t>
  </si>
  <si>
    <t>J L V - PR </t>
  </si>
  <si>
    <t>VALE-PR </t>
  </si>
  <si>
    <t>BUIAR </t>
  </si>
  <si>
    <t>CRISOSTIMO </t>
  </si>
  <si>
    <t>MOTA - PR </t>
  </si>
  <si>
    <t>VERDE-PR </t>
  </si>
  <si>
    <t>QUALIFOR-PR </t>
  </si>
  <si>
    <t>LEO-PR </t>
  </si>
  <si>
    <t>MATILDE - PR </t>
  </si>
  <si>
    <t>ART NOVA-PR </t>
  </si>
  <si>
    <t>SONHO MEU-PR </t>
  </si>
  <si>
    <t>ROMILDO- PR </t>
  </si>
  <si>
    <t>MASTER DI-PR </t>
  </si>
  <si>
    <t>PAP WOSCH-PR </t>
  </si>
  <si>
    <t>MIG - PR </t>
  </si>
  <si>
    <t>DEPEL-PR </t>
  </si>
  <si>
    <t>BER-MAN </t>
  </si>
  <si>
    <t>LUCIANE/PR </t>
  </si>
  <si>
    <t>BLISS - PR </t>
  </si>
  <si>
    <t>NATAL-PR </t>
  </si>
  <si>
    <t>PANATURA-PR </t>
  </si>
  <si>
    <t>LIV.LER </t>
  </si>
  <si>
    <t>STUDANTIL-PR </t>
  </si>
  <si>
    <t>GUARATURA </t>
  </si>
  <si>
    <t>NINO2-RS </t>
  </si>
  <si>
    <t>BRAILE-RS </t>
  </si>
  <si>
    <t>SIMON-RS </t>
  </si>
  <si>
    <t>MADRA BAZAR </t>
  </si>
  <si>
    <t>BARONESA-RS </t>
  </si>
  <si>
    <t>MUNDIAL-RS </t>
  </si>
  <si>
    <t>MIGLIORINI-1 </t>
  </si>
  <si>
    <t>SERGUN YOUL </t>
  </si>
  <si>
    <t>DAROS-RS </t>
  </si>
  <si>
    <t>BCL-RS </t>
  </si>
  <si>
    <t>MURIEL RS </t>
  </si>
  <si>
    <t>ROSSI-RS </t>
  </si>
  <si>
    <t>ALEXANDRE-RS </t>
  </si>
  <si>
    <t>AMAPEL-RS </t>
  </si>
  <si>
    <t>BIANCA - SC </t>
  </si>
  <si>
    <t>PONTA-RS </t>
  </si>
  <si>
    <t>RIO SUL - RS </t>
  </si>
  <si>
    <t>JR E-COM-RS </t>
  </si>
  <si>
    <t>FF COMERCIO </t>
  </si>
  <si>
    <t>MAGGITHO-RS </t>
  </si>
  <si>
    <t>JOSE ELBIO </t>
  </si>
  <si>
    <t>GRANDO - RS </t>
  </si>
  <si>
    <t>JAINA MARA </t>
  </si>
  <si>
    <t>ISGA-RS </t>
  </si>
  <si>
    <t>CERVO-RS </t>
  </si>
  <si>
    <t>M.F MACHADO </t>
  </si>
  <si>
    <t>PRB-RS </t>
  </si>
  <si>
    <t>RUVIL-RS </t>
  </si>
  <si>
    <t>PAPIRO - RS </t>
  </si>
  <si>
    <t>FECOMAX-RS </t>
  </si>
  <si>
    <t>MACROCENT-RS </t>
  </si>
  <si>
    <t>CONESUL-RS </t>
  </si>
  <si>
    <t>FABIANA GAVI </t>
  </si>
  <si>
    <t>WESSEL </t>
  </si>
  <si>
    <t>ESTRELATT-RS </t>
  </si>
  <si>
    <t>MIG PLUS-RS </t>
  </si>
  <si>
    <t>SUPERVIZA-SC </t>
  </si>
  <si>
    <t>PAPELMAIS-SC </t>
  </si>
  <si>
    <t>TOTALFLEXO </t>
  </si>
  <si>
    <t>ANDERSON-SC </t>
  </si>
  <si>
    <t>MATES-SC </t>
  </si>
  <si>
    <t>TOP NAC1-SC </t>
  </si>
  <si>
    <t>DISTRIOESTE </t>
  </si>
  <si>
    <t>CENTER-SC </t>
  </si>
  <si>
    <t>FERNANDES-SC </t>
  </si>
  <si>
    <t>LM - SC </t>
  </si>
  <si>
    <t>GUNTHER-SC </t>
  </si>
  <si>
    <t>BORBA-SC </t>
  </si>
  <si>
    <t>AQUINPEL-SC </t>
  </si>
  <si>
    <t>OBJETIVUS-SC </t>
  </si>
  <si>
    <t>KM-SC </t>
  </si>
  <si>
    <t>JEAN - SC </t>
  </si>
  <si>
    <t>ANCORA - SC </t>
  </si>
  <si>
    <t>EPROS - SC </t>
  </si>
  <si>
    <t>FECOAGRO- SC </t>
  </si>
  <si>
    <t>ZANOTTI-SC </t>
  </si>
  <si>
    <t>JARES-SC </t>
  </si>
  <si>
    <t>EDISON-SC </t>
  </si>
  <si>
    <t>PRECO BOM-SC </t>
  </si>
  <si>
    <t>MOINHO-SC </t>
  </si>
  <si>
    <t>DANIELE - SC </t>
  </si>
  <si>
    <t>PAP CATARINE </t>
  </si>
  <si>
    <t>TEELL-TECNIC </t>
  </si>
  <si>
    <t>Repres</t>
  </si>
  <si>
    <t>Endereço</t>
  </si>
  <si>
    <t>120 - EDSON CARVALHO REPRES DE PAP LTDA</t>
  </si>
  <si>
    <t>Q QNG AE MERCADO 01 SN </t>
  </si>
  <si>
    <t>CNG 07 LOTE 02 LOJA, 01 </t>
  </si>
  <si>
    <t>Q SAAN QUADRA 1 LTS 1.095, 1.105, 1.115 </t>
  </si>
  <si>
    <t>Q QS 110 CONJUNTO 7 LOTE 1 2 3 4 5 </t>
  </si>
  <si>
    <t>Q 03, CONJUNTO E, LOTE 21 </t>
  </si>
  <si>
    <t>QR 316, CONJUNTO P, LOTE 15, LOJA 02 </t>
  </si>
  <si>
    <t>Q Q SCN QUADRA 4 BLOCO B SN </t>
  </si>
  <si>
    <t>Q QI 18 S/N LT 29 E 31 </t>
  </si>
  <si>
    <t>Q CNF 03 LOTE 06 SN LOJA 01 </t>
  </si>
  <si>
    <t>ST SIG QUADRA 6, 2040 </t>
  </si>
  <si>
    <t>Q SHCN CL Q 102 BL C 1 N 102 </t>
  </si>
  <si>
    <t>Q EPTG 01 CONJ 2 LOTE 01 PARTE A </t>
  </si>
  <si>
    <t>ST LESTE COMERCIAL, QD 23 LT 06 </t>
  </si>
  <si>
    <t>Q QN 318 CJ 03. LOTES 03/04 </t>
  </si>
  <si>
    <t>Q QR 203 CONJUNTO 4 611 </t>
  </si>
  <si>
    <t>Q QE 34 CONJUNTO I 15 </t>
  </si>
  <si>
    <t>Q SHCR CR QD 516 </t>
  </si>
  <si>
    <t>61 - LCM REPRESENTACOES COMERCIAIS LTDA</t>
  </si>
  <si>
    <t>RUA 7 , 579 QUADRA 12 LT 69 FUNDOS SL 02 </t>
  </si>
  <si>
    <t>Q QUADRA 37 SN LOTE 24 </t>
  </si>
  <si>
    <t>R PINDORAMA, SN QD 41A LT 01 SL 4 E 5 </t>
  </si>
  <si>
    <t>RUA JARAGUA, 491 QD 95 LOTE 05 </t>
  </si>
  <si>
    <t>RUA DEMOLICIO DE CARVALHO, 713 </t>
  </si>
  <si>
    <t>RUA 61, N 42 - QUADRA 126 - LOTE 29 </t>
  </si>
  <si>
    <t>AV PIO XII 772 </t>
  </si>
  <si>
    <t>AV INDUSTRIAL 580 Q 566 LT 11 </t>
  </si>
  <si>
    <t>RUA 68 , 12 </t>
  </si>
  <si>
    <t>AV DAS LARANJEIRAS SN Q 34 LT 17 </t>
  </si>
  <si>
    <t>R T 28, 1813 Q 87 LT 13/17 SALA 1002 </t>
  </si>
  <si>
    <t>109 - DAP REPRESENTACOES S/C LTDA</t>
  </si>
  <si>
    <t>R SEBASTIAO BORGES FREITAS, SN </t>
  </si>
  <si>
    <t>AV PAPA PAULO VI, 182 </t>
  </si>
  <si>
    <t>R JOAO BOTELHO DE ANDRADE SN QD-56 LT-20 </t>
  </si>
  <si>
    <t>AV DA IGUALDADE, SN, QD 110 LT 23 </t>
  </si>
  <si>
    <t>RUA Z, 464 QUADRA 23 LOTE 18 </t>
  </si>
  <si>
    <t>AV PRES VARGAS 1885 A </t>
  </si>
  <si>
    <t>R CESARIO SILVA,814 QD 39 LT 05 </t>
  </si>
  <si>
    <t>AV RIO VERDE, SN, QD 95 LT 01 </t>
  </si>
  <si>
    <t>R CORONEL ANTONIO CARNEIRO, 156, LJ 1 </t>
  </si>
  <si>
    <t>AV PERIM 570 Q 33 LT 13 </t>
  </si>
  <si>
    <t>AV. JOSE RODRIGUES DE MORAIS NETO, 1727 </t>
  </si>
  <si>
    <t>Q 30, RUA 03, LOTE 05, LOJA, 01 </t>
  </si>
  <si>
    <t>AV GOIATUBA 1230 </t>
  </si>
  <si>
    <t>AV RIO VERDE SN QUADRA 95 LT 16/17 </t>
  </si>
  <si>
    <t>PC GOIAS, SN QUADRA 17 LT 2 CASA 2 </t>
  </si>
  <si>
    <t>RUA 87,N 545 Q F 27 LT 63 </t>
  </si>
  <si>
    <t>RUA MAJOR GARCIA, 230 QD 07 LT 05 </t>
  </si>
  <si>
    <t>AV BENTO TEIXEIRA CHAVES 7 </t>
  </si>
  <si>
    <t>R A QUADRA S01 A 05 SN </t>
  </si>
  <si>
    <t>RUA C 38, 285 </t>
  </si>
  <si>
    <t>147 - DIRETA 5 - BRINDES</t>
  </si>
  <si>
    <t>R 11 S/N QUADRA 36 LT 06 </t>
  </si>
  <si>
    <t>AV 24 DE OUTUBRO, 1591 QUADRA 37 LOTE 04 </t>
  </si>
  <si>
    <t>103 - SAMAPEL COMERCIO E REPRESENTACOES LTDA</t>
  </si>
  <si>
    <t>RUA DOM AQUINO,1248 </t>
  </si>
  <si>
    <t xml:space="preserve"> RUA CEARA 2178 SALA 03 </t>
  </si>
  <si>
    <t>R MANACA, 627, SALA 01 </t>
  </si>
  <si>
    <t>Rua FREI MARIANO, 165 </t>
  </si>
  <si>
    <t>RUA ANTONIO NERCINO MONTENEGRO 264 LJ A </t>
  </si>
  <si>
    <t>RUA GUAIANAZES 478 </t>
  </si>
  <si>
    <t>AV MARQUES DE POMBAL 1117 SALA 02 </t>
  </si>
  <si>
    <t>10 - HERNANI J.T.MACHADO REP-ME</t>
  </si>
  <si>
    <t>AV. SENADOR METELO, 65 </t>
  </si>
  <si>
    <t>AV QUINZE DE NOVEMBRO 830 TERREO LJ 1 </t>
  </si>
  <si>
    <t>AV ARIOSTO DA RIVA, 2619 </t>
  </si>
  <si>
    <t>AV COUTO MAGALHAES, 1889 B, LOT CENTRO </t>
  </si>
  <si>
    <t>AV CENTRO OESTE 57 SALA </t>
  </si>
  <si>
    <t>AV. SAO JOAO, 291 </t>
  </si>
  <si>
    <t>AV DAS ITAUBAS, 2480 </t>
  </si>
  <si>
    <t>AV BRASIL 171/N LOJA </t>
  </si>
  <si>
    <t>Rua FREI SALVADOR, 151 </t>
  </si>
  <si>
    <t>R JOSE DE OLIVEIRA 898N </t>
  </si>
  <si>
    <t>AV. DOURADO, 630 </t>
  </si>
  <si>
    <t>AV DAS ITAUBAS 161 </t>
  </si>
  <si>
    <t>AV BRASIL, 1052-W </t>
  </si>
  <si>
    <t>ROD PALMIRO PAES DE BARROS 221B </t>
  </si>
  <si>
    <t>AV. AMAZONAS, 1171 </t>
  </si>
  <si>
    <t>AV. BANDEIRANTES, 2400 </t>
  </si>
  <si>
    <t>95 - NILMART REPRESENTACOES LTDA</t>
  </si>
  <si>
    <t>AV DOUTOR JULIO MARQUES LUZ, 830 </t>
  </si>
  <si>
    <t>RUA BARAO DO RIO BRANCO 32 </t>
  </si>
  <si>
    <t>ROD AL 115, 2502 </t>
  </si>
  <si>
    <t>PRACA MANOEL ANDRE,28 </t>
  </si>
  <si>
    <t>R ESTUDANTE JOSE DE OLIVEIRA LEITE, 180 </t>
  </si>
  <si>
    <t>AV. MOREIRA LIMA, 342 </t>
  </si>
  <si>
    <t>RUA BOA VISTA, 197 </t>
  </si>
  <si>
    <t>AV JOSE MANHAES 11 </t>
  </si>
  <si>
    <t>RUA DO COMERCIO, 283 </t>
  </si>
  <si>
    <t>RUA DO SOL, 31 </t>
  </si>
  <si>
    <t>29 - SCHLEU SERRA REPRESENTACOES LTDA</t>
  </si>
  <si>
    <t>RUA DA INDEPENDENCIA, 108 </t>
  </si>
  <si>
    <t>TRAVESSA MIGUEL MONTEIRO 70 </t>
  </si>
  <si>
    <t>AV ROBERTO SIMONSEN 596 Q G LT 09 </t>
  </si>
  <si>
    <t>RUA MARIA JEANE M SAMPAIO, 972 </t>
  </si>
  <si>
    <t>AV DEP ELISIO DA SILVA MAIA, 268 </t>
  </si>
  <si>
    <t>RUA PEDRO SILVA, 03 </t>
  </si>
  <si>
    <t>RUA 7 DE SETEMBRO 246 </t>
  </si>
  <si>
    <t>PC NARCISO VASCONCELOS, 23 </t>
  </si>
  <si>
    <t>R DUQUE DE CAXIAS, 415 </t>
  </si>
  <si>
    <t>AV LUIS VIANA, 101 </t>
  </si>
  <si>
    <t>RUA SERRA DO ABIA 52 </t>
  </si>
  <si>
    <t>RUA AUGUSTO PEREIRA NUNES, 116 </t>
  </si>
  <si>
    <t>R 02 DE JULHO 60A ANDAR 01 </t>
  </si>
  <si>
    <t>RUA SILVEIRA MARTINS 27 </t>
  </si>
  <si>
    <t>R PAULINO VIEIRA,242 </t>
  </si>
  <si>
    <t>RUA DO URUGUAY, 63 LOJA </t>
  </si>
  <si>
    <t>PC GERALDO ROCHA 40 </t>
  </si>
  <si>
    <t>32 - TRIGUEIRO DO VALE &amp; CIA lTDA</t>
  </si>
  <si>
    <t>R E N 1 QUADRA 55 LOTE 03 </t>
  </si>
  <si>
    <t>RUA 5 DE NOVEMBRO, 300-A,  TERREO </t>
  </si>
  <si>
    <t>PC RUI BARBOSA, 04 </t>
  </si>
  <si>
    <t>AV. ORLANDO OLIVEIRA PIRES, 277 TERREO </t>
  </si>
  <si>
    <t>RUA 2 DE JULHO 60 </t>
  </si>
  <si>
    <t>PC DR PIRAJA DA SILVA 258 </t>
  </si>
  <si>
    <t>PC CASTELO BRANCO 642 </t>
  </si>
  <si>
    <t>R FRANCISCO BATISTA 150 </t>
  </si>
  <si>
    <t>R. DUQUE DE CAXIAS 20 </t>
  </si>
  <si>
    <t>TV DA PAZ, 52 </t>
  </si>
  <si>
    <t>117 - DIRETA 9 - TELEVENDAS</t>
  </si>
  <si>
    <t>R A2 SN QUADRA M </t>
  </si>
  <si>
    <t>R MONSENHOR TERTULIANO CARNEIRO 98 </t>
  </si>
  <si>
    <t>RUA MARQUES DE PARANAGUA, 105, CASA </t>
  </si>
  <si>
    <t>AV ULYSSES GUIMARAES, 2143 </t>
  </si>
  <si>
    <t>AV MAL CASTELO BRANCO, 275 </t>
  </si>
  <si>
    <t>R 7 DE SETEMBRO, 53, TERREO </t>
  </si>
  <si>
    <t>R: ALONSO MACIEL FERREIRA 312 </t>
  </si>
  <si>
    <t>RUA JUVENCIO ERUDILHO 152 </t>
  </si>
  <si>
    <t>RUA LADEIRA DO PARAISO, 51 TERREO </t>
  </si>
  <si>
    <t>R JOSE PONCIANO DO NASCIMENTO SN </t>
  </si>
  <si>
    <t>R LANDULFO ALVES, 226, TERREO, LJ B </t>
  </si>
  <si>
    <t>PC DR HERCULANO MENEZES 470 </t>
  </si>
  <si>
    <t>R OTAVIANO DA HORA 108 </t>
  </si>
  <si>
    <t>RUA SANTOS DUMONT 84 B </t>
  </si>
  <si>
    <t>R LANDULFO ALVES, 142, TERREO 1 E 2 ANDA </t>
  </si>
  <si>
    <t>R JOSUE RIBEIRO, 128 </t>
  </si>
  <si>
    <t>AV PRESIDENTE GETULIO VARGAS 4291 </t>
  </si>
  <si>
    <t>AL LIMA GUERRA, 60 </t>
  </si>
  <si>
    <t>57 - MONDEO REPRESENTACOES LTDA</t>
  </si>
  <si>
    <t>AV MADRE MARIA NELY SOBREIRA 858 </t>
  </si>
  <si>
    <t>R MANASSES PONTES 150 </t>
  </si>
  <si>
    <t>RUA SENADOR POMPEU,590 </t>
  </si>
  <si>
    <t>RUA M, 85 </t>
  </si>
  <si>
    <t>R 45 CONJ JEREISSATI II N.22 B C </t>
  </si>
  <si>
    <t>RUA SAO PAULO 1085 </t>
  </si>
  <si>
    <t>R JOAQUIM FRANKLIN 834 </t>
  </si>
  <si>
    <t>R ANTONIO FERREIRA DE OLIVEIRA 66 </t>
  </si>
  <si>
    <t>R ENG EDMUNDO ALMEIDA FILHO 378 </t>
  </si>
  <si>
    <t>R JOSE AVELINO 604 </t>
  </si>
  <si>
    <t>VL FLOR SIRIA SN ANEXO 01 </t>
  </si>
  <si>
    <t>RUA FLORIANO PEIXOTO 808 </t>
  </si>
  <si>
    <t>R SANDRA MARIA PONTE DE ALBUQUERQUE, 114 </t>
  </si>
  <si>
    <t>R GENERAL SAMPAIO,150 </t>
  </si>
  <si>
    <t>ROD DR MENDEL STEINBRUCH, S/N GA LJ 4 KM </t>
  </si>
  <si>
    <t>RUA MINISTRO PETRONIO PORTELA, 615 </t>
  </si>
  <si>
    <t>AV EDSON DA MOTA CORREIA, 906 </t>
  </si>
  <si>
    <t>AV. WASHINGTON SOARES, 3636 </t>
  </si>
  <si>
    <t>R 40A (CJ JEREISSATI II) 146 LETRA A </t>
  </si>
  <si>
    <t>R FLORIANO PEIXOTO 264 </t>
  </si>
  <si>
    <t>87 - T.B.V.DOS SANTOS COM.E REP.LTDA</t>
  </si>
  <si>
    <t>R EURICO RIBEIRO 537 </t>
  </si>
  <si>
    <t>RUA AFONSO PENA 441 LETRA B </t>
  </si>
  <si>
    <t>RUA LUIS DOMINGUES 646 </t>
  </si>
  <si>
    <t>RUA DO COMERCIO, 835 </t>
  </si>
  <si>
    <t>PARQUE DO BOM MENINO, 1328 </t>
  </si>
  <si>
    <t>R 17 A 29 -LOT JD SAO CRISTOVAO II 7 A </t>
  </si>
  <si>
    <t>AV 07, 03 - QUADRA 03 </t>
  </si>
  <si>
    <t>AV RIO BRANCO 394 </t>
  </si>
  <si>
    <t>RUA DA RUZ, 764 </t>
  </si>
  <si>
    <t>AV JOSE CAETANO, 139 </t>
  </si>
  <si>
    <t>R PRESIDENTE CASTELO BRANCO,130 </t>
  </si>
  <si>
    <t>R 24 DE JUNHO 24 </t>
  </si>
  <si>
    <t>RUA CONEGO JOSE NEVES, 14/C </t>
  </si>
  <si>
    <t>R ADVOGADO RENATO TEIXEIRA BASTOS 120 </t>
  </si>
  <si>
    <t>RUA XV DE NOVEMBRO 196 SALA 88 </t>
  </si>
  <si>
    <t>RUA DR. ANTONIO SA, 42 </t>
  </si>
  <si>
    <t>RUA COSTA BEIRIZ, 117 </t>
  </si>
  <si>
    <t>AV PRESIDENTE .JOAO PESSOA,71 </t>
  </si>
  <si>
    <t>RUA CEL JOSE FERNANDES, 523 TERREO </t>
  </si>
  <si>
    <t>AV PRES JOAO PESSOA , 194 </t>
  </si>
  <si>
    <t>RUA BOSSUET WANDERLEY, 58 </t>
  </si>
  <si>
    <t>PC DA BANDEIRA,50 </t>
  </si>
  <si>
    <t>R IRINEU PINTO 00168 SALA 0000A </t>
  </si>
  <si>
    <t>AV. JUAREZ TAVORA, 296 </t>
  </si>
  <si>
    <t>R VIGOLVINO WANDERLEY, 23 </t>
  </si>
  <si>
    <t>AV CRUZ DAS ARMAS, 2382 </t>
  </si>
  <si>
    <t>R PEDRO II,250 </t>
  </si>
  <si>
    <t>TV FLORIANO PEIXOTO, 75 </t>
  </si>
  <si>
    <t>Rua CELSO CIRNE, 389 </t>
  </si>
  <si>
    <t>RUA PEDRO FIRMINO 470 ANDAR1 SALA 27 </t>
  </si>
  <si>
    <t>RUA LUIZ RIBEIRO AMARAL, 31 LOJA 01 </t>
  </si>
  <si>
    <t>AV ENGENHEIRO CLODOALDO GOUVEIA 82 </t>
  </si>
  <si>
    <t>R QUINTINO BOCAIUVA, 89 </t>
  </si>
  <si>
    <t>AV JOAO PESSOA, 570 A </t>
  </si>
  <si>
    <t>R PEDRO FIRMINO, 145 </t>
  </si>
  <si>
    <t>AV PRES JOAO PESSOA 53 </t>
  </si>
  <si>
    <t>RUA FRANCISCA DE LUNA FREIRE, 101 </t>
  </si>
  <si>
    <t>RUA PRES. JOAO PESSOA, 70 </t>
  </si>
  <si>
    <t>AV DOIS DE FEVEREIRO, 559 SALA C </t>
  </si>
  <si>
    <t>RUA CAPITAO ISRAEL, 334 - TERREO </t>
  </si>
  <si>
    <t>PC ANTENOR NAVARRO 78 AND 1 SALA 5 </t>
  </si>
  <si>
    <t>RUA DOM BOSCO, 159 </t>
  </si>
  <si>
    <t>RUA GUARABIRA,192 - TERREO </t>
  </si>
  <si>
    <t>R AGOSTINHO NUNES MAGALHAES,141 TERREO </t>
  </si>
  <si>
    <t>RUA RAIMUNDO DE MORAES, 22/34 </t>
  </si>
  <si>
    <t>R EMETERIO MACIEL 220 </t>
  </si>
  <si>
    <t>PRACA SA MORAIS, 55 </t>
  </si>
  <si>
    <t>Rua SILVINO MACEDO, 100 </t>
  </si>
  <si>
    <t>RUA LUIS PAES, 27 </t>
  </si>
  <si>
    <t>R AGUSTINHO DE GOIS 24 </t>
  </si>
  <si>
    <t>AV CICERO JOSE DUTRA 547 </t>
  </si>
  <si>
    <t>R CORONEL AMORIM, 200 </t>
  </si>
  <si>
    <t>AV MANOEL VICENTE, 513 </t>
  </si>
  <si>
    <t>R HERCULANO BANDEIRA, 37 LOJA A </t>
  </si>
  <si>
    <t>R DONA ANA XAVIER, 157 B - LOJA B 147 </t>
  </si>
  <si>
    <t>RUA DR LUIZ NUMERIANO 451 B </t>
  </si>
  <si>
    <t>PC.PADRE FRANCISCO PEDRO DA SILVA 118 </t>
  </si>
  <si>
    <t>PC DR PAULO PARANHOS, 1160 </t>
  </si>
  <si>
    <t>AV SOUZA FILHO, 631 </t>
  </si>
  <si>
    <t>PC CARLOS LIRA 94 </t>
  </si>
  <si>
    <t>RUA ARY BARROSO, 17 </t>
  </si>
  <si>
    <t>PRACA MAJOR JOAO NOVAIS 274 </t>
  </si>
  <si>
    <t>RUA BARAO DE VILA BELA, 239 </t>
  </si>
  <si>
    <t>AV DR BELMIRO CORREIA 1974 </t>
  </si>
  <si>
    <t>AV INTEGRACAO AYRTON SENNA, 501 </t>
  </si>
  <si>
    <t>R DAS PORTEIRAS, 163 </t>
  </si>
  <si>
    <t>AV MARIO MELO, 400 - CTO C DAL V CRUZ </t>
  </si>
  <si>
    <t>R VIGARIO FREIRE, 10 </t>
  </si>
  <si>
    <t>R LABORATORISTA MANOEL LEITE, 676 D </t>
  </si>
  <si>
    <t>AV ESTANCIA, 405 </t>
  </si>
  <si>
    <t>PC MANOEL BORBA, 01 </t>
  </si>
  <si>
    <t>RUA CORONEL AUSTRICLINIO 868 </t>
  </si>
  <si>
    <t>TV HENRIQUE DIAS 46 </t>
  </si>
  <si>
    <t>AV DR. FRANCISCO CORREIA, 351 </t>
  </si>
  <si>
    <t>AV MANOEL BORBA, 56 </t>
  </si>
  <si>
    <t>RUA CAPITAO JOSE FRANCISCO CAVALCANTI 51 </t>
  </si>
  <si>
    <t>AV DANTAS BARRETO 985 </t>
  </si>
  <si>
    <t>PC VOLUNTARIOS DA PATRIA, 420 - SEDE </t>
  </si>
  <si>
    <t>R CEL BEZERRA, 21 </t>
  </si>
  <si>
    <t>AV. MARIANA AMALIA, 262 </t>
  </si>
  <si>
    <t>PRAÇA AGAMENON MAGALHAES, 106 </t>
  </si>
  <si>
    <t>AV MANOEL BORBA, 181 </t>
  </si>
  <si>
    <t>AV SANTO ANTONIO 300 </t>
  </si>
  <si>
    <t>RUA SANTOS DUMONT SN 21 </t>
  </si>
  <si>
    <t>RUA BELA AURORA 32 </t>
  </si>
  <si>
    <t>PC MANOEL PEREIRA LINS 1724 LOJA </t>
  </si>
  <si>
    <t>RUA FREI CANECA, 11 </t>
  </si>
  <si>
    <t>R LUIZ CECILIO DE SANTANA, 145 </t>
  </si>
  <si>
    <t>R PEDRO SERAFIM DE SOUZA 39 </t>
  </si>
  <si>
    <t>AV ORLANDO WANDERLEY 74 </t>
  </si>
  <si>
    <t>AV SETE DE SETEMBRO, 50 TERREO </t>
  </si>
  <si>
    <t>R DUQUE DE CAXIAS 91 </t>
  </si>
  <si>
    <t>AV ANTONIO JOSE DE ALBUQUERQUE, 38 </t>
  </si>
  <si>
    <t>R DA MATRIZ, 36 E 30 </t>
  </si>
  <si>
    <t>RUA HENRIQUE DE MELO, 55 </t>
  </si>
  <si>
    <t>Rua ESTACIO COIMBRA, 30 </t>
  </si>
  <si>
    <t>AV ENGENHO SERRA VERDE 227 </t>
  </si>
  <si>
    <t>R ALTEROSA, 499 </t>
  </si>
  <si>
    <t>AV. SAO SEBASTIAO, 145 </t>
  </si>
  <si>
    <t>R FLORIANO PEIXOTO, 799 TERREO </t>
  </si>
  <si>
    <t>AV JOAO FRANCISCO ARAGAO 239 LJ </t>
  </si>
  <si>
    <t>Rua VISCONDE DE OURO PRETO, 71 </t>
  </si>
  <si>
    <t>R DESEMBARGADOR VIEIRA DE MELO 27 </t>
  </si>
  <si>
    <t>RUA AGAMENON MAGALHAES, 201 </t>
  </si>
  <si>
    <t>PC JOAQUIM NABUCO 100 </t>
  </si>
  <si>
    <t>R ZEFERINO NUNES BARROS 62 </t>
  </si>
  <si>
    <t>89 - LUCIANO VIDAL REPRES. COMERCIAIS LTDA</t>
  </si>
  <si>
    <t>AV DOUTOR AQUILES WALL FERRAZ 5124 LJ 01 </t>
  </si>
  <si>
    <t>AV.JOAO ANTONIO LEITAO,4199 </t>
  </si>
  <si>
    <t>R BARROSO, 353 ANDAR 1 </t>
  </si>
  <si>
    <t>AV GETULIO VARGAS 845 </t>
  </si>
  <si>
    <t>R ARNALDO FERREIRA DE CARVALHO, 492 CASA </t>
  </si>
  <si>
    <t>RUA FREITAS JUNIOR,853 </t>
  </si>
  <si>
    <t>AV JOAO ANTONIO LEITAO, 4199 - LETRA A </t>
  </si>
  <si>
    <t>123 - M.P.S. REPRESENTACOES LTDA EPP</t>
  </si>
  <si>
    <t>PC. VIGARIO ANTONIO JOAQUIM, 29 </t>
  </si>
  <si>
    <t>RUA JOSE DE ALENCAR, 143 </t>
  </si>
  <si>
    <t>R DA INDEPENDENCIA, 736 - SALA 2 </t>
  </si>
  <si>
    <t>RUA MOIZANIEL DE CARVALHO, 56 </t>
  </si>
  <si>
    <t>AV CEL MARTINIANO, 544 TERREOEDIF.STO AN </t>
  </si>
  <si>
    <t>R PRES QUARESMA 0596 </t>
  </si>
  <si>
    <t>R AUGUSTO SEVERO 100 ANDAR 1 SALA 06 </t>
  </si>
  <si>
    <t>AV ANTONIO BASILIO, 1095 </t>
  </si>
  <si>
    <t>RUA DR PEDRO MEDEIROS 175 </t>
  </si>
  <si>
    <t>AV PRESIDENTE BANDEIRA 679 </t>
  </si>
  <si>
    <t>R DR. JOSE TORQUATO DE FIGUEIREDO, 970 </t>
  </si>
  <si>
    <t>R ALTA DE SOUZA, 188 CASA </t>
  </si>
  <si>
    <t>R RAIMUNDO MARTINS FILHO, 110 </t>
  </si>
  <si>
    <t>R DOROTHY DE MOURA LIMA, 2671 </t>
  </si>
  <si>
    <t>AV. ABEL COELHO, 190 </t>
  </si>
  <si>
    <t>ROD BR 101, 2120 </t>
  </si>
  <si>
    <t>RUA PRACA DA MATRIZ 34 </t>
  </si>
  <si>
    <t>R DOM PEDRO II 178 </t>
  </si>
  <si>
    <t>R DR PEDRO VELHO 19 LJ 17 SHOP C.CUNHAU </t>
  </si>
  <si>
    <t>AV OTONIEL DORIA,506 </t>
  </si>
  <si>
    <t>PC OLIMPIO CAMPOS 595 SALA B </t>
  </si>
  <si>
    <t>PC OLIMPIO CAMPOS 90 </t>
  </si>
  <si>
    <t>AV JOAO RODRIGUES 125 PAVMTO TERREO </t>
  </si>
  <si>
    <t>TV FRANCISCO PIRES, 50 - SALA </t>
  </si>
  <si>
    <t>AV.OTONIEL DORIA, 490 </t>
  </si>
  <si>
    <t>PC SILVIO ROMERO,14 SALA A </t>
  </si>
  <si>
    <t>R JOSE DO PRADO FRANCO, 488 </t>
  </si>
  <si>
    <t>169 - G. J. FONTOURA REPRES. COMERCIAIS, COMERCIOS E SERVICOS</t>
  </si>
  <si>
    <t>R CORONEL JOAO DE OLIVEIRA ROLLA, 170 B </t>
  </si>
  <si>
    <t>AV NACOES UNIDAS, 3109 </t>
  </si>
  <si>
    <t>AV. GETULIO VARGAS, 177 TERREO </t>
  </si>
  <si>
    <t>AV. EPAMINONDAS JACOME, 3064 </t>
  </si>
  <si>
    <t>AV. BOULEVARD THAUMATURGO, 825 </t>
  </si>
  <si>
    <t>AV CEARA, 2635 </t>
  </si>
  <si>
    <t>30 - T.LOUREIRO REPRESENTACOES LTDA</t>
  </si>
  <si>
    <t>RUA HENRIQUE MARTINS, 453 </t>
  </si>
  <si>
    <t>BC ITABIRA 80 </t>
  </si>
  <si>
    <t>RUA NHAMUNDA, 567 </t>
  </si>
  <si>
    <t>AV AUTAZ MIRIM 10495 LOJA 01 </t>
  </si>
  <si>
    <t>RUA LEOVEGILDO COELHO, 273 </t>
  </si>
  <si>
    <t>RUA HENRIQUE MARTINS,396 </t>
  </si>
  <si>
    <t>AV DO TURISMO 13529 AREA 05 </t>
  </si>
  <si>
    <t>AV TORQUATO TAPAJOS 8594 </t>
  </si>
  <si>
    <t>RUA LEOVEGILDO COELHO, 353 </t>
  </si>
  <si>
    <t>R BERQUELIO, 292 </t>
  </si>
  <si>
    <t>RUA EMILIO MOREIRA, 1468 </t>
  </si>
  <si>
    <t>RUA TRAV. CASTANHEIRA,1358 </t>
  </si>
  <si>
    <t>AV SENADOR FABIO LUCENA, 90 </t>
  </si>
  <si>
    <t>TV MUNDURUCUS, 48 </t>
  </si>
  <si>
    <t>RUA MIRANDA LEAO, 121 A </t>
  </si>
  <si>
    <t>R LEOVEGILDO COELHO, 333 </t>
  </si>
  <si>
    <t>AV RAUL AMORIM ANTONY 9821 </t>
  </si>
  <si>
    <t>R PROFESSOR MARIA DE LOURDES 47 </t>
  </si>
  <si>
    <t>R DOS ANDRADAS 201 </t>
  </si>
  <si>
    <t>TV MUNDURUCUS SN </t>
  </si>
  <si>
    <t>R DOM MILTON CORREA 33 </t>
  </si>
  <si>
    <t>R LEOVEGILDO COELHO 216 B SALA A </t>
  </si>
  <si>
    <t>RUA RUI BARBOSA, 1980 A </t>
  </si>
  <si>
    <t>R LEOVEGILDO COELHO, 299 </t>
  </si>
  <si>
    <t>RUA MARIA ANDRADE 16 CASA A </t>
  </si>
  <si>
    <t>R THEODORETO SOUTO 200 </t>
  </si>
  <si>
    <t>AV JOAQUIM NABUCO 153 </t>
  </si>
  <si>
    <t>12 - J.GUILHERME REPRESENTACOES LTDA</t>
  </si>
  <si>
    <t>AV MENDONCA FURTADO, 1328 </t>
  </si>
  <si>
    <t>RUA PEDRO SALVADOR DINIZ 1001 </t>
  </si>
  <si>
    <t>AV. ANTONIO COELHO DE CARVALHO, 239 </t>
  </si>
  <si>
    <t>AV FELIPE CAMARAO 1488 </t>
  </si>
  <si>
    <t>AV. FAB, 2000-A </t>
  </si>
  <si>
    <t>AV FAB ,2339 </t>
  </si>
  <si>
    <t>RUA GUANABARA, 797 </t>
  </si>
  <si>
    <t>RUA CANDIDO MENDES 1025 LETRA A </t>
  </si>
  <si>
    <t>R MANOEL EUDOXIO PEREIRA, 3787 </t>
  </si>
  <si>
    <t>AV SANTANA 222 </t>
  </si>
  <si>
    <t>AV JOSE DO ESPIRITO SANTO ARAUJO, 283 </t>
  </si>
  <si>
    <t>RUA TIRADENTES, 1492 - LETRA N </t>
  </si>
  <si>
    <t>AV SANTANA, 1156 </t>
  </si>
  <si>
    <t>RUA JOVINO DINOA, 3712 </t>
  </si>
  <si>
    <t>AV ANTONIO COELHO DE CARVALHO 190 </t>
  </si>
  <si>
    <t>AV MAXIMINO PORPINO DA SILVA 1679 </t>
  </si>
  <si>
    <t>137 - ROBERTO NELSON BARROSO MENDES E CIA LTDA</t>
  </si>
  <si>
    <t>AV. WEYNE CAVALCANTE, 907, QD 180 LT 907 </t>
  </si>
  <si>
    <t>TV DA MATRIZ 235 </t>
  </si>
  <si>
    <t>116 - PAULO CESAR REPRESENTACOES LTDA ME</t>
  </si>
  <si>
    <t>RUA ARAPEMA, 345 GALPAO </t>
  </si>
  <si>
    <t>AV PERIMETRAL SUL, 52 </t>
  </si>
  <si>
    <t>TV ITALIA 2748 </t>
  </si>
  <si>
    <t>R JOSE MARCIANO SABINO 18 Q 14A LOTE 23 </t>
  </si>
  <si>
    <t>PC MONSENHOR JOSE GREGORIO, 18 </t>
  </si>
  <si>
    <t>R A,537 </t>
  </si>
  <si>
    <t>TRAV AMERICO LOPES, 192 </t>
  </si>
  <si>
    <t>ROD. PA 150, 59 </t>
  </si>
  <si>
    <t>PC SILVA SANTOS, 54 </t>
  </si>
  <si>
    <t>RUA VINTE QUATRO CONJ CIDADE NOVA, 721 </t>
  </si>
  <si>
    <t>PSG ROSA VERMELHA 221 </t>
  </si>
  <si>
    <t>R CONSELHEIRO RUI BARBOSA 410 A </t>
  </si>
  <si>
    <t>R SENADOR MANOEL BARATA, 147 </t>
  </si>
  <si>
    <t>TV SENADOR LEMOS 125 </t>
  </si>
  <si>
    <t>R A, 587 QUADRA 09 LOTE 09 </t>
  </si>
  <si>
    <t>R BENEDITO SANTANA BRAVO SN </t>
  </si>
  <si>
    <t>RUA PAES DE CARVALHO, 1187 </t>
  </si>
  <si>
    <t>TV GOIABARANA 425 LOJA 1 </t>
  </si>
  <si>
    <t>RUA F, 358 </t>
  </si>
  <si>
    <t>R PAES DE CARVALHO 1664 </t>
  </si>
  <si>
    <t>AV EDUARDO ANGELIM SN QUADRA 324 </t>
  </si>
  <si>
    <t>AV SAO SEBASTIAO, 1357 </t>
  </si>
  <si>
    <t>ROD BR 316 KM 04, 4500 </t>
  </si>
  <si>
    <t>R TERCEIRA 73 A </t>
  </si>
  <si>
    <t>AV FELIX CLEMENTE MALCHER 09 </t>
  </si>
  <si>
    <t>AV MUIRAQUITA, 255 </t>
  </si>
  <si>
    <t>AV 15 DE AGOSTO, 90 ANEXO A </t>
  </si>
  <si>
    <t>R DA SALVACAO, 12 </t>
  </si>
  <si>
    <t>R A, 509 - LOTE 07 QUADRA 08 </t>
  </si>
  <si>
    <t>R BARAO DO RIO BRANCO, 1698 </t>
  </si>
  <si>
    <t>AV TAPARAIZ COUTO 633 </t>
  </si>
  <si>
    <t>AV MARECHAL CASTELO BRANCO, 75, ANDAR 1 </t>
  </si>
  <si>
    <t>9 TV OLAVO BILAC 1417B - LOJA </t>
  </si>
  <si>
    <t>TV ABEL FIGUEIREDO, 399 </t>
  </si>
  <si>
    <t>AV PRESIDENTE VARGAS, 114 </t>
  </si>
  <si>
    <t>RUA SENADOR MANOEL BARATA 282 ALTOS </t>
  </si>
  <si>
    <t>EST DO TAPANA 597 </t>
  </si>
  <si>
    <t>TV. 15 DE NOVEMBRO, 93 </t>
  </si>
  <si>
    <t>R SERVULO BRITO, 357 A - TERREO </t>
  </si>
  <si>
    <t>TV SENADOR LEMOS, 182 - LOJA A / B </t>
  </si>
  <si>
    <t>ROD AUGUSTO MONTENEGRO SN </t>
  </si>
  <si>
    <t>TV MANOEL AVELINO ALVES, 78 </t>
  </si>
  <si>
    <t>AV. ALACID NUNES, 2458 </t>
  </si>
  <si>
    <t>R ESMERALDA DA FONSECA 23 </t>
  </si>
  <si>
    <t>RUA BRASIL 127 </t>
  </si>
  <si>
    <t>R VINTE E QUATRO DE OUTUBRO 831A </t>
  </si>
  <si>
    <t>AV. GUARANTA, 189 A </t>
  </si>
  <si>
    <t>TRAV. PEDRO GOMES, 781 </t>
  </si>
  <si>
    <t>AV F, SN QUADRA 129 LOTE 09 </t>
  </si>
  <si>
    <t>AV BARAO DO RIO BRANCO 2312 </t>
  </si>
  <si>
    <t>TV DR. LAURO SODRE, 924 </t>
  </si>
  <si>
    <t>AV. CORONEL VITORIO 31 </t>
  </si>
  <si>
    <t>AV BARAO DO RIO BRANCO 190 </t>
  </si>
  <si>
    <t>RUA SANTO ANTONIO 222 ANDAR TERREO </t>
  </si>
  <si>
    <t>AV 07 DE SETEMBRO 121 </t>
  </si>
  <si>
    <t>AL ABMAEL ALBUQUERQUE 2121 </t>
  </si>
  <si>
    <t>TV CARLOS MARIA TEIXEIRA, 2234 </t>
  </si>
  <si>
    <t>R BOA ESPERANCA 02 </t>
  </si>
  <si>
    <t>TV JOSE MALCHER SN </t>
  </si>
  <si>
    <t>RUA DO FIO, 22 </t>
  </si>
  <si>
    <t>TV MAURITI 1567 </t>
  </si>
  <si>
    <t>AV MARECHAL RONDON 4500 </t>
  </si>
  <si>
    <t>AV QUINTINO BOCAIUVA, 335 </t>
  </si>
  <si>
    <t>RUA JATUARANA 5159 </t>
  </si>
  <si>
    <t>AV SETE DE SETEMBRO, 2285 </t>
  </si>
  <si>
    <t>TV TAMARINDO ,3415 AL DO IPE </t>
  </si>
  <si>
    <t>AV MASCARENHAS DE MORAES 2572 </t>
  </si>
  <si>
    <t>R RAFAEL VAZ E SILVA,3233 </t>
  </si>
  <si>
    <t>RUA JOSE DE ALENCAR 2638 </t>
  </si>
  <si>
    <t>R. RIO BRANCO, 2431, LT 258, QD 25, ST 1 </t>
  </si>
  <si>
    <t>AV 15 DE NOVEMBRO, 2476 </t>
  </si>
  <si>
    <t>122 - F M REPRESENTACOES LTDA</t>
  </si>
  <si>
    <t>AV GAL. ATAIDE TEIVE 6675 </t>
  </si>
  <si>
    <t>V DAS FLORES, 1197, SALA D </t>
  </si>
  <si>
    <t>R LAURA PINHEIRO MAIA 1221 </t>
  </si>
  <si>
    <t>RUA IZIDIO GALDINO DA SILVA, 1765 A </t>
  </si>
  <si>
    <t>AV SANTOS DUMONT, 1587 </t>
  </si>
  <si>
    <t>168 - WSB REPRESENTACOES LTDA</t>
  </si>
  <si>
    <t>Q 1206 SUL ALAMEDA 16 -01 </t>
  </si>
  <si>
    <t>R TIRADENTES 15 </t>
  </si>
  <si>
    <t>Q ACSE 11 RUA SE 7 30 </t>
  </si>
  <si>
    <t>R BENJAMIM DE AZEVEDO 169 SALA A </t>
  </si>
  <si>
    <t>R PREFEITO JOAO DE SOUZA LIMA 383 </t>
  </si>
  <si>
    <t>AV CONEGO JOAO LIMA 2032 </t>
  </si>
  <si>
    <t>Q 706 SUL HM 04 LT 04 SL 02 SN AV NS 04 </t>
  </si>
  <si>
    <t>AV I, S/N QD 109 LOTE 1 SC </t>
  </si>
  <si>
    <t>AV.BERNARDO SAYAO 2048 </t>
  </si>
  <si>
    <t>R DAS MANGUEIRAS,1237-QD.29-LT.3-SL.4 </t>
  </si>
  <si>
    <t>AV.BERNARDO SAYAO, 1446 </t>
  </si>
  <si>
    <t>R ADEMAR VICENTE FERREIRA,1460 LT08 QD7 </t>
  </si>
  <si>
    <t>AV CONEGO JOAO LIMA,2156 </t>
  </si>
  <si>
    <t>AV. GOIAS, 1641 </t>
  </si>
  <si>
    <t>165 - DIRETA 7 - ESPIRITO SANTO</t>
  </si>
  <si>
    <t>AV LEITAO DA SILVA, 1346 </t>
  </si>
  <si>
    <t>47 - ITAPEL REPRESENTACOES S/C LTDA.</t>
  </si>
  <si>
    <t>AV. GETULIO VARGAS 348 </t>
  </si>
  <si>
    <t>AV PAULINO MULLER, 795 LOJA 01 </t>
  </si>
  <si>
    <t>163 - DUE REPRESENTAÇÕES LTDA</t>
  </si>
  <si>
    <t>R BERNARDO HORTA 269/299 </t>
  </si>
  <si>
    <t>AV PREFEITO ANARIO MARREIRO 36 LOJA 01 </t>
  </si>
  <si>
    <t>AV. SILVIO AVIDOS, 982 </t>
  </si>
  <si>
    <t>AV PRES RODRIGUES ALVES 560 </t>
  </si>
  <si>
    <t>R DOS CURIANGOS 40 CASA 02 </t>
  </si>
  <si>
    <t>AV CRISTIANO DIAS LOPES, 168 LOJA LOJA </t>
  </si>
  <si>
    <t>RUA MONSENHOR PEDRINHA, 1610, LOJA 02 </t>
  </si>
  <si>
    <t>R HEITOR CARDOSO SN </t>
  </si>
  <si>
    <t>RUA PRESIDENTE VARGAS 85 </t>
  </si>
  <si>
    <t>AV PADRE JOSE DE ANCHIETA, 2721 </t>
  </si>
  <si>
    <t>AV. FREDERICO GRULKE, 754 LJ A </t>
  </si>
  <si>
    <t>RUA LEILA DINIZ,303 </t>
  </si>
  <si>
    <t>AV PREFEITO JOSE RAPOSO, 154 </t>
  </si>
  <si>
    <t>107 - LUIZ C H BATISTA ME</t>
  </si>
  <si>
    <t>R VINTE E TRES DE MAIO 183 </t>
  </si>
  <si>
    <t>R ASTROGILDO ROMAO DOS ANJOS, 469, LJ A </t>
  </si>
  <si>
    <t>AV.CENTRAL, 811 SUB-SOLO </t>
  </si>
  <si>
    <t>AV RANULPHO BARBOSA DOS SANTOS 960 LJ 01 </t>
  </si>
  <si>
    <t>AV. MARIA GONCALVES MARVILLA 93 </t>
  </si>
  <si>
    <t>AV.AGENOR LUIZ HERINGER,402 </t>
  </si>
  <si>
    <t>R JOSE CANDIDO DURAO 805 </t>
  </si>
  <si>
    <t>36 - WANDER CHIARETTI REPRESENTACOES LTDA</t>
  </si>
  <si>
    <t>R OPALA 9 Q 53 LT 9 SALA B </t>
  </si>
  <si>
    <t>AV LEITAO DA SILVA, 1880 </t>
  </si>
  <si>
    <t>AV ETELVINA VIVACQUA, 246 </t>
  </si>
  <si>
    <t>RUA CONCEICAO 384 AND 1 SALA 1 </t>
  </si>
  <si>
    <t>R OPALA 9 </t>
  </si>
  <si>
    <t>AV JONES DOS SANTOS NEVES, 665 </t>
  </si>
  <si>
    <t>R IZIDIO BORGO, 46 </t>
  </si>
  <si>
    <t>AV NOSSA SENHORA DA PENHA 2598 </t>
  </si>
  <si>
    <t>RUA SAO JOAO DO ACRE, 17 </t>
  </si>
  <si>
    <t>ROD GOVERNADOR MARIO COVAS 3255 </t>
  </si>
  <si>
    <t>R ALEXANDRE CALMON, 208 </t>
  </si>
  <si>
    <t>AV ANTONIO JOSE DE SOUZA, 323 </t>
  </si>
  <si>
    <t>AV ADEMAR VIEIRA DA CUNHA 767 </t>
  </si>
  <si>
    <t>RUA PRES.EPITACIO PESSOA,398-LJ 1 </t>
  </si>
  <si>
    <t>AV. DEZ DE ABRIL, 446 ANDAR 1 SALA 01 E </t>
  </si>
  <si>
    <t>AV ANTONIO PERUTTI, 280 TERREO </t>
  </si>
  <si>
    <t>AV 13 DE MAIO, 532 </t>
  </si>
  <si>
    <t>AV. SIMAO SOARES, 1006 </t>
  </si>
  <si>
    <t>AV NOGUEIRA DA GAMA 1325 </t>
  </si>
  <si>
    <t>R CARLOS MARTINS 1443 </t>
  </si>
  <si>
    <t>R DEMERVAL MEDINA, 429 </t>
  </si>
  <si>
    <t>AV. CARLOS DE MEDEIROS, 615 </t>
  </si>
  <si>
    <t>AV JOAO XXIII 130 </t>
  </si>
  <si>
    <t>AV NOVE DE AGOSTO, 2118 </t>
  </si>
  <si>
    <t>R ATILA VIVACQUA SN </t>
  </si>
  <si>
    <t>AV EXPEDITO GARCIA 513 PAVMTO03 </t>
  </si>
  <si>
    <t>R LOURENCO ROLDI, 8 </t>
  </si>
  <si>
    <t>RUA FRANCISCO VIEIRA PASSOS, 289 </t>
  </si>
  <si>
    <t>RUA DA FE 16 LOJA 2 </t>
  </si>
  <si>
    <t>RUA MANGUEIRA, 355 </t>
  </si>
  <si>
    <t>R MANOEL AVELINO FERNANDES, 1076 </t>
  </si>
  <si>
    <t>AV. VITORIA 12 PAVMTO1 </t>
  </si>
  <si>
    <t>RUA FRANCISCO DE ASSIS SANTANA, 50 </t>
  </si>
  <si>
    <t>R BERNARDO HORTA, 357 </t>
  </si>
  <si>
    <t>R CEL ANTONIO MARTINHO BARBOSA, 55 </t>
  </si>
  <si>
    <t>AV JOSE ARMANI, 552 GALPAO 11 E 12 </t>
  </si>
  <si>
    <t>R JOAO DA COSTA, 160 </t>
  </si>
  <si>
    <t>AV JONES DOS SANTOS NEVES 581 </t>
  </si>
  <si>
    <t>R RESENDE COSTA 199 </t>
  </si>
  <si>
    <t>76 - ROBERTO DA C.M.BRAZILIANO-ME</t>
  </si>
  <si>
    <t>AV PRIMEIRO DE JUNHO, 628 </t>
  </si>
  <si>
    <t>AV DUQUE DE CAXIAS, 220 </t>
  </si>
  <si>
    <t>RUA JOSE MOREIRA MOTA, 100 GALPAO 90 </t>
  </si>
  <si>
    <t>RUA MINAS GERAIS,180 </t>
  </si>
  <si>
    <t>AV.GETULIO VARGAS, 575 </t>
  </si>
  <si>
    <t>R CAPITAO TEIXEIRA, 247 </t>
  </si>
  <si>
    <t>R JUREMA 1621 </t>
  </si>
  <si>
    <t>131 - REPRESENTACOES COTTA LTDA ME</t>
  </si>
  <si>
    <t>Rua FREI ROGATO, 185 </t>
  </si>
  <si>
    <t>RUA MARECHAL DEODORO, 118 </t>
  </si>
  <si>
    <t>AV.PARAGUAI 160 </t>
  </si>
  <si>
    <t>RUA PADRE PEDRO PINTO 1534 LOJA 4 </t>
  </si>
  <si>
    <t>RUA FLORIANO PEIXOTO 366 LOJA LJ </t>
  </si>
  <si>
    <t>AV AMAZONAS 680 </t>
  </si>
  <si>
    <t>R NELSON RESENDE FONSECA,260 </t>
  </si>
  <si>
    <t>130 - OLIVENDAS COMERCIO E REPRESENTACOES LTDA</t>
  </si>
  <si>
    <t>PC MONS CASTILHO BARBOSA, 7 </t>
  </si>
  <si>
    <t>AV BRASIL 10 </t>
  </si>
  <si>
    <t>AV. BENEDITO VALADARES, 18 </t>
  </si>
  <si>
    <t>RUA VEREADOR JOSE MOREIRA DE AQUINO 25 </t>
  </si>
  <si>
    <t>132 - B&amp;G COMERCIO E SERVICOS LTDA ME</t>
  </si>
  <si>
    <t>AV VISCONDE DE IBITURUNA 86 </t>
  </si>
  <si>
    <t>AV SANTOS DUMONT 668 664 LOJA 202 </t>
  </si>
  <si>
    <t>AV AMAZONAS, 1145 </t>
  </si>
  <si>
    <t>AV PREF TELESFORO CANDIDO DE RESENDE, 51 </t>
  </si>
  <si>
    <t>RUA DR. MIGUEL GONTIJO,248 </t>
  </si>
  <si>
    <t>R CORONEL SERRAO,132 </t>
  </si>
  <si>
    <t>R DIREITA, 188 </t>
  </si>
  <si>
    <t>PCA.CEL.TIBURCIO,108 </t>
  </si>
  <si>
    <t>R ALDA CAETANO DE PAULA 58 </t>
  </si>
  <si>
    <t>R BERNADES DE FARIA, 57 LOJA 1 2 3 </t>
  </si>
  <si>
    <t>AV RAUL SOARES 203 LOJA </t>
  </si>
  <si>
    <t>AVENIDA PARANA, 344 </t>
  </si>
  <si>
    <t>RUA PRATA, 190 </t>
  </si>
  <si>
    <t>134 - PVM REPRESENTACOES LTDA</t>
  </si>
  <si>
    <t>AV. SEGISMUNDO PEREIRA, 2074, 2076 </t>
  </si>
  <si>
    <t>AV DEPUTADO ESTEVES RODRIGUES, 2800 </t>
  </si>
  <si>
    <t>R JUPITER, 431 e 437 </t>
  </si>
  <si>
    <t>R PADRE LEOPOLDO MERTENS, 1172 </t>
  </si>
  <si>
    <t>R CACUERA 331 LOJA 4 </t>
  </si>
  <si>
    <t>R DOS CAETES, 496 B </t>
  </si>
  <si>
    <t>AV.OLEGARIO MACIEL,482 </t>
  </si>
  <si>
    <t>RUA ANTONIO MARTINS, 583 </t>
  </si>
  <si>
    <t>RUA MINAS GERAIS, 202 </t>
  </si>
  <si>
    <t>R RIO DE JANEIRO, 217 </t>
  </si>
  <si>
    <t>RUA URCA 206 </t>
  </si>
  <si>
    <t>AV. JOSE ANDRAUS GASSANI 1003 </t>
  </si>
  <si>
    <t>R CELINA LISBOA FREDERICO, 340 </t>
  </si>
  <si>
    <t>R PADRE PEDRO PINTO 6080 </t>
  </si>
  <si>
    <t>R APRIGIO PEREIRA DIAS 211 </t>
  </si>
  <si>
    <t>AV. SAO JUDAS TADEU, 848 </t>
  </si>
  <si>
    <t>R ASSIS FIGUEIREDO, 674 </t>
  </si>
  <si>
    <t>R CORONEL MARIO CORDEIRO, 982 </t>
  </si>
  <si>
    <t>RUA MARECHAL DEODORO,  488 </t>
  </si>
  <si>
    <t>AV DOM PEDRO II, 4166 </t>
  </si>
  <si>
    <t>AV. SEVERINO BALLESTEROS RODRIGUES, 601 </t>
  </si>
  <si>
    <t>AV DR JOSE DE MAGALHAES PINTO 1624 LJ 1 </t>
  </si>
  <si>
    <t>AV.ANTONIO OLINTO,297/A </t>
  </si>
  <si>
    <t>RUA ARTUR BERNARDES, 582 </t>
  </si>
  <si>
    <t>R BARAO DA BOA ESPERANCA, 71 </t>
  </si>
  <si>
    <t>AV BRASIL, 496 </t>
  </si>
  <si>
    <t>R JOSE RESENDE, 3539 </t>
  </si>
  <si>
    <t>PC JOAO XXIII, 23 </t>
  </si>
  <si>
    <t>AV VISCONDE DO RIO BRANCO, 797 </t>
  </si>
  <si>
    <t>R HALFELD 345 LJ </t>
  </si>
  <si>
    <t>PRACA SAO CHARBEL,33/B </t>
  </si>
  <si>
    <t>R CORONEL VIEIRA, 8 </t>
  </si>
  <si>
    <t>R OSORIO DE ALMEIDA 401 </t>
  </si>
  <si>
    <t>AV RAUL SOARES, 159 </t>
  </si>
  <si>
    <t>RUA PROFESSORA ZANOTTE BEZERRA, 255 </t>
  </si>
  <si>
    <t>RUA OLEGARIO MACIEL, 272 </t>
  </si>
  <si>
    <t>AL DOS CURIOS, 125 </t>
  </si>
  <si>
    <t>R. FLORIANO PEIXOTO, 363, LOJA </t>
  </si>
  <si>
    <t>AV BENJAMIN CONSTANT 322 SALA 06 </t>
  </si>
  <si>
    <t>PRACA DOM DANIEL, 62 A </t>
  </si>
  <si>
    <t>RUA AFONSO PENA 201 </t>
  </si>
  <si>
    <t>RUA PRIMEIRO DE MAIO, 131 </t>
  </si>
  <si>
    <t>RUA DR CARLOS CHAGAS 889 </t>
  </si>
  <si>
    <t>AV JOAO CESAR DE OLIVEIRA 2660 LJ 07 </t>
  </si>
  <si>
    <t>R JOAO FRANCISCO LOPES 499 </t>
  </si>
  <si>
    <t>AV DR LINCOLN WESTIN DA SILVEIRA, 795 </t>
  </si>
  <si>
    <t>R MIN. GABRIEL PASSOS, 317 </t>
  </si>
  <si>
    <t>139 - KB REPRESENTACOES COMERCIAIS LTDA</t>
  </si>
  <si>
    <t>ROD DORES DE CAMPOS BARROSO, S/N, KM 02 </t>
  </si>
  <si>
    <t>RUA DIREITA, 64 LOJA 02 </t>
  </si>
  <si>
    <t>AV LUIZ BOALI PORTO SALMAN 517 </t>
  </si>
  <si>
    <t>TV MANOEL PEDRO COTA BARCELOS, 478 </t>
  </si>
  <si>
    <t>AV PETER HENRY ROLFS 338 LOJA 01 </t>
  </si>
  <si>
    <t>R RIO DE JANEIRO 2540 </t>
  </si>
  <si>
    <t>R DR.MELO VIANA,34 </t>
  </si>
  <si>
    <t>TV CORONEL SANTOS MESTRE, 67 </t>
  </si>
  <si>
    <t>AV FRANCISCO VIEIRA MARTINS 386, LOJA </t>
  </si>
  <si>
    <t>AV. JUCA CORDEIRO 558 </t>
  </si>
  <si>
    <t>PC NOSSA SENHORA DA ABADIA 340 </t>
  </si>
  <si>
    <t>BR 040 KM 688, S/N CEASA PAV D LJ 11 </t>
  </si>
  <si>
    <t>RUA PRESIDENTE ARTHUR BERNARDES, 317 </t>
  </si>
  <si>
    <t>R FONSECA HERMES 39 FUNDOS 5 </t>
  </si>
  <si>
    <t>R DA MATRIZ 20 LOJA 03 </t>
  </si>
  <si>
    <t>AV. PEDRO LINHARES GOMES, 2470 </t>
  </si>
  <si>
    <t>RUA SAO MATEUS, 41 </t>
  </si>
  <si>
    <t>AV JOSE AMANDO QUEIROZ 1095 </t>
  </si>
  <si>
    <t>PCA DR JOSE AUGUSTO 175 </t>
  </si>
  <si>
    <t>R JANUARIA 410 </t>
  </si>
  <si>
    <t>R SANTANA,176 </t>
  </si>
  <si>
    <t>AV FATIMA PORTO 2881 LJ 01 LJ 02 </t>
  </si>
  <si>
    <t>RUA BAHIA 632 </t>
  </si>
  <si>
    <t>R RAUL SOARES, 42-A </t>
  </si>
  <si>
    <t>R MATO GROSSO, 607 A </t>
  </si>
  <si>
    <t>R DOUTOR SILVEIRA BRUM 98 </t>
  </si>
  <si>
    <t>RUA OLEGARIO MACIEL, 245 </t>
  </si>
  <si>
    <t>RUA GOVERNADOR VALADARES, 468 </t>
  </si>
  <si>
    <t>R.CEL ANTONIO MOREIRA DA COSTA 2 </t>
  </si>
  <si>
    <t>R. PRIMEIRO DE NOVEMBRO 27 LJ 02 </t>
  </si>
  <si>
    <t>166 - DIRETA 8 - RIO DE JANEIRO</t>
  </si>
  <si>
    <t>R JOAO TORQUATO, 00023 </t>
  </si>
  <si>
    <t>RUA SILVA JARDIM, 17 LOJA A </t>
  </si>
  <si>
    <t>157 - JOILSON DE ALMEIDA REPRESENTACOES</t>
  </si>
  <si>
    <t>LARGO DO MACHADO 8, LJS B C J SUBSL </t>
  </si>
  <si>
    <t>RUA DR. ARRUDA NEGREIROS, 136-148 </t>
  </si>
  <si>
    <t>AV VINTE E QUATRO DE OUTUBRO,172 </t>
  </si>
  <si>
    <t>80 - ILEO CARVALHO LTDA-ME</t>
  </si>
  <si>
    <t>AV. AMARAL PEIXOTO, 301 </t>
  </si>
  <si>
    <t>RUA TABAI 478 </t>
  </si>
  <si>
    <t>RUA DR. WALMIR PECANHA, 40 </t>
  </si>
  <si>
    <t>RUA SENHOR DOS PASSOS, 277/279/283 E 285 </t>
  </si>
  <si>
    <t>AV.MINISTRO EDGARD ROMERO,239 BL 02/A </t>
  </si>
  <si>
    <t>R GETULIO VARGAS, 641 ANTIGO 67 </t>
  </si>
  <si>
    <t>RUA GOVERNADOR PORTELA, 205 </t>
  </si>
  <si>
    <t>RUA SAO CAMILO, 51 </t>
  </si>
  <si>
    <t>ESTRADA CAMBOATA, S/N </t>
  </si>
  <si>
    <t>RUA DUQUE DE CAXIAS, 157 - LOJA </t>
  </si>
  <si>
    <t>R PROFESSOR SOUZA, 45 </t>
  </si>
  <si>
    <t>R COMANDANTE ITURIEL, 1612, LOTE 54 01 </t>
  </si>
  <si>
    <t>R CONDE DE BONFIM,318 </t>
  </si>
  <si>
    <t>RUA ARIPERANA 6 </t>
  </si>
  <si>
    <t>AV. PRES TANCREDO DE ALMEIDA NEVES, 984 </t>
  </si>
  <si>
    <t>RUA MOISES ABRAHAO, 42 </t>
  </si>
  <si>
    <t>R TAMISA, 12 </t>
  </si>
  <si>
    <t>RUA DO IMPERADOR, 635 </t>
  </si>
  <si>
    <t>R PREFEITO DELIO BASILIO LEAL 500 </t>
  </si>
  <si>
    <t>AV GETULIO VARGAS 298 LOJA </t>
  </si>
  <si>
    <t>AV DELFIM MOREIRA, 590 </t>
  </si>
  <si>
    <t>AV. PADRE ANCHIETA, 176 - PARTE </t>
  </si>
  <si>
    <t>R DR SOUZA NUNES 76 APT 201 </t>
  </si>
  <si>
    <t>R AURELIO CRISTINO DA SILVA 158 </t>
  </si>
  <si>
    <t>RUA DOUTOR TELIO BARRETO, 318 - LOJA 02 </t>
  </si>
  <si>
    <t>R DEP LUIZ FERNANDO LINHARES, 340 - LOJA </t>
  </si>
  <si>
    <t>ROD WASHINGTON LUIZ, 2400 PARTE </t>
  </si>
  <si>
    <t>R DR NILO PECANHA 12 </t>
  </si>
  <si>
    <t>RUA DEZESSEIS, 77 </t>
  </si>
  <si>
    <t>AV. ATAULFO DE PAIVA, 1060 D </t>
  </si>
  <si>
    <t>R SILVA JARDIM, 99,103 </t>
  </si>
  <si>
    <t>R BOM JESUS DO ITABAPUANA 402 PARTE </t>
  </si>
  <si>
    <t>R BARAO DE VILA FRANCA, 511 </t>
  </si>
  <si>
    <t>EST DA CACUIA, 170 LOJA </t>
  </si>
  <si>
    <t>ROD RJ 148 2150 LT AGUA LIMPA </t>
  </si>
  <si>
    <t>AV PROFESSORA CARMEM CARNEIRO 498 </t>
  </si>
  <si>
    <t>RUA ACRE, 47 - GRP B SALA 306 </t>
  </si>
  <si>
    <t>AV RETIRO DA IMPRENSA 1323 LOJA Q 32 </t>
  </si>
  <si>
    <t>R TENENTE CORONEL CARDOSO, 520 </t>
  </si>
  <si>
    <t>Rua DR ALBERTO TORRES,38 </t>
  </si>
  <si>
    <t>AV ATLANTICA, 2600 </t>
  </si>
  <si>
    <t>RUA CORREA SEARA, 65 </t>
  </si>
  <si>
    <t>R CONSELHEIRO GALVAO, 114 </t>
  </si>
  <si>
    <t>AV AEZIO C DA FONSECA, 45 LOJA A </t>
  </si>
  <si>
    <t>RUA DANTE LAGINESTRA,31 LJ. 2 BL A </t>
  </si>
  <si>
    <t>RUA AUGUSTO CARDOSO 5 LOJA C SLJ </t>
  </si>
  <si>
    <t>99 - VENDA DIRETA</t>
  </si>
  <si>
    <t>R BENJAMIM DA SILVA, 00180 LOT 1 PAL 464 </t>
  </si>
  <si>
    <t>AV DON HELDER CAMARA, 5474, LJ.1112/1113 </t>
  </si>
  <si>
    <t>R 25,190 </t>
  </si>
  <si>
    <t>RUA TEIXEIRA DE GOUVEIA, 550, SOBRELOJA </t>
  </si>
  <si>
    <t>AV CARVALHO, 384 </t>
  </si>
  <si>
    <t>RUA GUARACIABA, 250 </t>
  </si>
  <si>
    <t>R PRIMEIRO DE MAIO 234 </t>
  </si>
  <si>
    <t>AV. JOSE CARLOS PEREIRA PINTO 810 </t>
  </si>
  <si>
    <t>R MOISES AMELIO 50 </t>
  </si>
  <si>
    <t>R MINAS GERAIS 50 </t>
  </si>
  <si>
    <t>RUA ISIDRO ROCHA 1048 LOJA 02 </t>
  </si>
  <si>
    <t>AV DOMINGOS MARIANO, 01 </t>
  </si>
  <si>
    <t>R JOAO VIANNA 48 LOJA 03 </t>
  </si>
  <si>
    <t>RUA PREFEITO JOAO G GALINDO, 210 </t>
  </si>
  <si>
    <t>ROD WASHINGTON LUIZ, 17660 LOJA  A B C D </t>
  </si>
  <si>
    <t>RUA CEL JOAQUIM FERREIRA RIBEIRO, 136 </t>
  </si>
  <si>
    <t>PRACA ELIAQUIM BATISTA, 20 </t>
  </si>
  <si>
    <t>R X, 1161 </t>
  </si>
  <si>
    <t>AV. MINISTRO EDGARD ROMERO 00239 </t>
  </si>
  <si>
    <t>AV RIO BRANCO 00156 SBL 209 </t>
  </si>
  <si>
    <t>Rua VISCONDE DE ITAUNA, 2093 </t>
  </si>
  <si>
    <t>AV DAS AMERICAS, 03959 LOJ 128 </t>
  </si>
  <si>
    <t>AV RODOLFO AMOEDO, 300 - SALA 101 A 304 </t>
  </si>
  <si>
    <t>EST UNIAO E INDUSTRIA 11833, LOJA 2 </t>
  </si>
  <si>
    <t>R JOAO ALBERTO KNUST, 28, UNID 2, LOJA </t>
  </si>
  <si>
    <t>RUA MAJOR FELIX MOREIRA 117 </t>
  </si>
  <si>
    <t>164 - MORAES E SOUZA REPRESENTACOES LTDA</t>
  </si>
  <si>
    <t>RUA INHAGAPI,47 </t>
  </si>
  <si>
    <t>R MOCAMBIQUE 292 SALA 06 </t>
  </si>
  <si>
    <t>AV PREFEITO JOAO VILALLOBO QUERO 1160 </t>
  </si>
  <si>
    <t>125 - BOM GESTOR REPRESENTACAO COMERCIAL LTDA</t>
  </si>
  <si>
    <t>R. BARAO DE DUPRAT, 39 </t>
  </si>
  <si>
    <t>R WALTRUDES CORREA 579 LETRA A </t>
  </si>
  <si>
    <t>154 - WAGON REPRESENTACOES LTDA</t>
  </si>
  <si>
    <t>R CARDOSO DE ALMEIDA, 340 </t>
  </si>
  <si>
    <t>R FRANCISCO FETT, 402 </t>
  </si>
  <si>
    <t>R FRANCISCO FETT 471 </t>
  </si>
  <si>
    <t>R WAMBES 82 </t>
  </si>
  <si>
    <t>AV SAPOPEMBA, 8910 </t>
  </si>
  <si>
    <t>AV. ANTONIO CARLOS COSTA, 500/520 </t>
  </si>
  <si>
    <t>AV. DR.NELSON DAVILA, 1202 </t>
  </si>
  <si>
    <t>ROD. DOM PEDRO I, S/N, KM 24.5, MOD 2 </t>
  </si>
  <si>
    <t>AV. EDU CHAVES, 804 </t>
  </si>
  <si>
    <t>R JURITI 120 </t>
  </si>
  <si>
    <t>AV CANCAO NOVA, 500 </t>
  </si>
  <si>
    <t>AV BERNARDO CARDIM NETO 488 SALA 01 </t>
  </si>
  <si>
    <t>R DUILIO 656 </t>
  </si>
  <si>
    <t>AV CONSELHEIRO ANTONIO PRADO 200 </t>
  </si>
  <si>
    <t>AV. DEP. EMILIO CARLOS, 3903 </t>
  </si>
  <si>
    <t>R ENG JEAN BUFF 136 </t>
  </si>
  <si>
    <t>R RUBENS REIS REZENDE 156 </t>
  </si>
  <si>
    <t>AV. LICO MAIA, 670-674 </t>
  </si>
  <si>
    <t>EST DA COLONIA, 298 </t>
  </si>
  <si>
    <t>RUA MAFALDA MOBIGLIA 110 </t>
  </si>
  <si>
    <t>AV SOLD.POL.MIL.GILBERTO AUGUSTINHO,188 </t>
  </si>
  <si>
    <t>155 - ALS REPRESENTACOES S/S LTDA-ME</t>
  </si>
  <si>
    <t>AV. BRASIL, 211 </t>
  </si>
  <si>
    <t>AV. AGENOR COUTO DE MAGALHAES, 103 </t>
  </si>
  <si>
    <t>AV ITALO ADAMI, 65 </t>
  </si>
  <si>
    <t>R HILDA DEL NERO BISQUOLO, 350 </t>
  </si>
  <si>
    <t>R BOITUVA, 54 </t>
  </si>
  <si>
    <t>RUA CARLOS DE SOUZA NAZARETH, 291 </t>
  </si>
  <si>
    <t>RUA DA MATRIZ, 46 </t>
  </si>
  <si>
    <t>RUA TUNISIA, 130 </t>
  </si>
  <si>
    <t>141 - S.E.R.C. REPRESENTACOES LTDA</t>
  </si>
  <si>
    <t>RUA NOVE DE JULJO, 1127 </t>
  </si>
  <si>
    <t>R SCHWARTZMANN 536 </t>
  </si>
  <si>
    <t>AV. ANTONIO C BANJAMIN DOS SANTOS, 3412 </t>
  </si>
  <si>
    <t>RUA ITAMBE 121 </t>
  </si>
  <si>
    <t>R CARLOS DE SOUZA NAZARE,272 </t>
  </si>
  <si>
    <t>AV LINS DE VASCONCELOS 2684 </t>
  </si>
  <si>
    <t>R ULPIANO, 12 ATE 38 </t>
  </si>
  <si>
    <t>AV NOSSA SENHORA DO SABARA 1382 </t>
  </si>
  <si>
    <t>ROD ANHANGUERA KM 31,7, 800, BL 300 </t>
  </si>
  <si>
    <t>R 14  N 01747 </t>
  </si>
  <si>
    <t>93 - RIO SELL REPRESENTACOES LTDA</t>
  </si>
  <si>
    <t>R DOS PINHEIROS 603 SALA 81 </t>
  </si>
  <si>
    <t>RUA ANTONIO RAPOSO, 46 </t>
  </si>
  <si>
    <t>AV. CUPECE, 3184 </t>
  </si>
  <si>
    <t>AV CARLOS LACERDA, 3190 </t>
  </si>
  <si>
    <t>R JOSE DE PAULA FILHO 460 </t>
  </si>
  <si>
    <t>RUA MARECHAL DEODORO 1010 </t>
  </si>
  <si>
    <t>R PADRE HAROLDO, 425 - SALAO </t>
  </si>
  <si>
    <t>PC BARAO DO RIO BRANCO 82 </t>
  </si>
  <si>
    <t>RUA CURICHARAS, 56 - TERREO </t>
  </si>
  <si>
    <t>AV NELSON FERREIRA DE MELO 154 SL B </t>
  </si>
  <si>
    <t>RUA ITINGUCU, 2060 </t>
  </si>
  <si>
    <t>R ANTONIO CANDIDO DA SILVA 195 LOJA </t>
  </si>
  <si>
    <t>RUA XV DE NOVEMBRO 169 </t>
  </si>
  <si>
    <t>AV ALFREDO ANTONIO DE OLIVEIRA 2887 </t>
  </si>
  <si>
    <t>RUA LUIZ OTAVIO 2495 </t>
  </si>
  <si>
    <t>RUA SARA SARA 185 </t>
  </si>
  <si>
    <t>AV PADRE ANCHIETA, 1210 - LOJA 09 </t>
  </si>
  <si>
    <t>R DONA BALBINA 431 </t>
  </si>
  <si>
    <t>R PEDRO AMARAL, 3116 </t>
  </si>
  <si>
    <t>R TIRADENTES, 528 </t>
  </si>
  <si>
    <t>AV JOSE PAULINO 777 </t>
  </si>
  <si>
    <t>R VIEIRA DE MORAIS 1636 </t>
  </si>
  <si>
    <t>EST ITAPECERICA A CAMPO LIMPO, 2786 </t>
  </si>
  <si>
    <t>AV DOUTOR JOSE SINGER 618 LOJA </t>
  </si>
  <si>
    <t>R. ITIRAPINA, 1235 TERREO </t>
  </si>
  <si>
    <t>RUA RUY PEREIRA GOMES 791 </t>
  </si>
  <si>
    <t>R FLORENCIO DE ABREU, 845 </t>
  </si>
  <si>
    <t>AV.EDUARDO ROBERTO DAHER,101 </t>
  </si>
  <si>
    <t>RUA CAMPOS SALES, 22 - 80 </t>
  </si>
  <si>
    <t>AV. HONORIO ALVARES PENTEADO, 604 </t>
  </si>
  <si>
    <t>R ITINGUCU 1773 </t>
  </si>
  <si>
    <t>ESTRADA DO CAMPO LIMPO, 3979 </t>
  </si>
  <si>
    <t>R MAJOR JOAQUIM DE SOUZA, 75 </t>
  </si>
  <si>
    <t>AV. TAMOIOS, 806 </t>
  </si>
  <si>
    <t>R MARECHAL DEODORO, 151 </t>
  </si>
  <si>
    <t>RUA DOUTOR STEVAUX, 88 </t>
  </si>
  <si>
    <t>R LUIZ OTAVIO, 271 </t>
  </si>
  <si>
    <t>AV. SANTA MONICA, 157 / 167 </t>
  </si>
  <si>
    <t>RUA BARONESA DO JAPI, 171 </t>
  </si>
  <si>
    <t>AV ALBUQUERQUE LINS 285 </t>
  </si>
  <si>
    <t>R GENERAL OSORIO, 344 / 350 </t>
  </si>
  <si>
    <t>EST ECOTURISTICA DE PARELHEIROS 6971 </t>
  </si>
  <si>
    <t>R ELIZABETH 26 CASA B </t>
  </si>
  <si>
    <t>RUA JOAO PESSOA 959 </t>
  </si>
  <si>
    <t>R IRMA TRALDI 460 </t>
  </si>
  <si>
    <t>PC PRIMAVERA, 101 </t>
  </si>
  <si>
    <t>R RANGEL PESTANA 974 </t>
  </si>
  <si>
    <t>RUA THOMAZ GONZAGA, 1649 </t>
  </si>
  <si>
    <t>R JOAO CANZI 274 </t>
  </si>
  <si>
    <t>AV DEZENOVE DE MAIO, 707 </t>
  </si>
  <si>
    <t>AV SENADOR TEOTONIO VILELA, 1075 </t>
  </si>
  <si>
    <t>AV DEP CANTIDIO SAMPAIO, 6546 </t>
  </si>
  <si>
    <t>RUA SANTA CLARA, 350 LOJA 1 E 2 </t>
  </si>
  <si>
    <t>R BARAO DO RIO BRANCO, 515 </t>
  </si>
  <si>
    <t>AV ANDROMEDA, 227 - SALA 110 </t>
  </si>
  <si>
    <t>AV TAQUANDAVA 815 A SALA 2 </t>
  </si>
  <si>
    <t>AV.DOUTOR JOAO CONCEICAO,536 </t>
  </si>
  <si>
    <t>R DIRCEU FERREIRA DE SOUZA 640 </t>
  </si>
  <si>
    <t>R PICO NEGRO 257 </t>
  </si>
  <si>
    <t>AV. ENG JUAREZ DE S BRITO WANDERLEY, 585 </t>
  </si>
  <si>
    <t>128 - ALESSANDRO OLIVEIRA DE MELO</t>
  </si>
  <si>
    <t>R MAJOR FABRICIANO DO REGO BARROS 880 </t>
  </si>
  <si>
    <t>R ALBERTO STENZOWSKI 201 </t>
  </si>
  <si>
    <t>167 - A L P CAMARGO REPRESENTACOES LTDA</t>
  </si>
  <si>
    <t>RUA BERNARDO SARMENTO 103 </t>
  </si>
  <si>
    <t>R QUINZE DE NOVEMBRO 7338 TERREO LOJA 2 </t>
  </si>
  <si>
    <t>RUA RANDOLFO SERZEDELO, 21 </t>
  </si>
  <si>
    <t>AV VISCONDE DE MAUA, 1390 </t>
  </si>
  <si>
    <t>R FERREIRO 51 </t>
  </si>
  <si>
    <t>R QUINTINO BOCAIUVA, 79 LOJA 01 </t>
  </si>
  <si>
    <t>AV BRASIL, 333 </t>
  </si>
  <si>
    <t>Rua DR FERREIRA CORREIA, 340 </t>
  </si>
  <si>
    <t>R ALCEMIRO LUCIANO 633 </t>
  </si>
  <si>
    <t>AV. NEY BRAGA, 452 </t>
  </si>
  <si>
    <t>AV MANOEL MENDES DE CAMARGO, 1470 </t>
  </si>
  <si>
    <t>R DAVI XAVIER DA SILVA 1101 </t>
  </si>
  <si>
    <t>AV COLOMBO, 7734 </t>
  </si>
  <si>
    <t>RUA CEL.LUIZ JOSE DOS SANTOS 2156 - LJ 3 </t>
  </si>
  <si>
    <t>R QUINZE DE NOVEMBRO, 7286, LOJA TERREO </t>
  </si>
  <si>
    <t>R ASTORGA, 617 </t>
  </si>
  <si>
    <t>RUA FERNANDES PINHEIRO, 290 </t>
  </si>
  <si>
    <t>RUA CANADA 318 </t>
  </si>
  <si>
    <t>RUA FREI GASPAR DA MADRE DE DEUS 101 </t>
  </si>
  <si>
    <t>RUA PAULINO FERREIRA E SILVA, 206 </t>
  </si>
  <si>
    <t>AV CELSO GARCIA CID 1419 LOJA 1 E 2 </t>
  </si>
  <si>
    <t>R PRUDENTE DE MORAIS 479 </t>
  </si>
  <si>
    <t>R ENGENHEIRO TOURINHO, 1360 </t>
  </si>
  <si>
    <t>RUA JOAO TREVISAN, 1301 SALA 02 </t>
  </si>
  <si>
    <t>AV SAO PEDRO, 16 - CASA </t>
  </si>
  <si>
    <t>153 - ROBERTO HLENKA REPRESENTACOES</t>
  </si>
  <si>
    <t>R LUIZ CARLOS PEREIRA TOURINHO 4155 </t>
  </si>
  <si>
    <t>RUA PIRATININGA, 879 </t>
  </si>
  <si>
    <t>RUA AREF KUDRI,185 </t>
  </si>
  <si>
    <t>R SAO JOAO EUDES 155 CASA 1 </t>
  </si>
  <si>
    <t>R RIO GRANDE DO NORTE 2830 </t>
  </si>
  <si>
    <t>RUA 24 DE MAIO, 611 </t>
  </si>
  <si>
    <t>AV NOSSA SRA DA LUZ 2345 </t>
  </si>
  <si>
    <t>AV. DOS PIONEIROS, 2465 </t>
  </si>
  <si>
    <t>R SANTA CATARINA 820 </t>
  </si>
  <si>
    <t>AV 29 DE ABRIL, 352 </t>
  </si>
  <si>
    <t>102 - M &amp; A REPRESENTACOES COMERCIAIS</t>
  </si>
  <si>
    <t>R CARLOS WERNER, 260 </t>
  </si>
  <si>
    <t>84 - EDUARDO HENRIQUE RICHTHOFEN DE FREITAS</t>
  </si>
  <si>
    <t>AV A J RENNER, 695 </t>
  </si>
  <si>
    <t>AV SETE DE SETEMBRO, 240 TERREO </t>
  </si>
  <si>
    <t>R.LUIS MICHIELON 963 </t>
  </si>
  <si>
    <t>RUA BARONESA DO GRAVATAI, 72 </t>
  </si>
  <si>
    <t>AV POLAR 396 </t>
  </si>
  <si>
    <t>RUA MOROM 1385 </t>
  </si>
  <si>
    <t>R FEIJO JUNIOR, 449 </t>
  </si>
  <si>
    <t>AV BENJAMIN CONSTANT 575 </t>
  </si>
  <si>
    <t>R LUDOVICO CAVINATO, 1485 </t>
  </si>
  <si>
    <t>R WALMIR HENRIQUE JOHAN, 84 </t>
  </si>
  <si>
    <t>AV.JULIO DE CASTILHOS, 1583 </t>
  </si>
  <si>
    <t>RUA CEL. ALFREDO BORN, 395 </t>
  </si>
  <si>
    <t>RUA CONSELHEIRO DANTAS, 1035 - APT 01 </t>
  </si>
  <si>
    <t>EST SAO FRANCISCO 672 </t>
  </si>
  <si>
    <t>94 - R.M.RITTER LTDA</t>
  </si>
  <si>
    <t>RUA JULIO DE CASTILHOS 1076 APT 101 </t>
  </si>
  <si>
    <t>RUA MARCILIO DIAS 1764 </t>
  </si>
  <si>
    <t>R CANDOCA FERREIRA 600 </t>
  </si>
  <si>
    <t>RUA PINHEIRO MACHADO 2076 </t>
  </si>
  <si>
    <t>R LEONEL DO PRADO, 140 </t>
  </si>
  <si>
    <t>RUA BENJAMIN CONSTANT, 1254 - SALA 101 </t>
  </si>
  <si>
    <t>RUA GOIANIA 205 </t>
  </si>
  <si>
    <t>R ANAPIO GOMES, 1456 LOJA 2 </t>
  </si>
  <si>
    <t>AV DR ASSIS ANTONIO MARIANI 820 </t>
  </si>
  <si>
    <t>RUA BARAO DO AMAZONAS 985 </t>
  </si>
  <si>
    <t>R ANCHIETA, 61 </t>
  </si>
  <si>
    <t>AV. PATRIA, 105 SALA TERREO </t>
  </si>
  <si>
    <t>RUA OS DEZOITO DO FORTE, 1344 </t>
  </si>
  <si>
    <t>R ANDRE FERRARINI 10 </t>
  </si>
  <si>
    <t>R HOLANDA, 75 </t>
  </si>
  <si>
    <t>R CORONEL LAFAYETTE CRUZ 633 </t>
  </si>
  <si>
    <t>RUA TIJUCA 975 </t>
  </si>
  <si>
    <t>R BARAO DO RIO BRANCO, 533 </t>
  </si>
  <si>
    <t>RUA JACO DANIEL BAYER, 137 </t>
  </si>
  <si>
    <t>AV DAS HORTENSIAS 3703 LOJA 4 E 5 </t>
  </si>
  <si>
    <t>AV. DOS EMANCIPACIONISTAS, 222 </t>
  </si>
  <si>
    <t>R NEREU RAMOS, 219 </t>
  </si>
  <si>
    <t>Rua SAO CARLOS, 194 D </t>
  </si>
  <si>
    <t>AV ROBERTO GALLI, 1398, LT 1 - QUADRA C </t>
  </si>
  <si>
    <t>126 - LUIZ CARLOS DIAS MENDIETA</t>
  </si>
  <si>
    <t>RUA CARLOS SCHROEDER 61 LOTE B </t>
  </si>
  <si>
    <t>ROD SC 370  N 935,  KM 146 </t>
  </si>
  <si>
    <t>R TEREZA MARTINS DE BRITO 328 GALPAO </t>
  </si>
  <si>
    <t>AVENIDA NEREU RAMOS, 3100-E </t>
  </si>
  <si>
    <t>R BENEDITO NOVO 100 </t>
  </si>
  <si>
    <t>R FREDERICO AFONSO, 6025 - FUNDOS </t>
  </si>
  <si>
    <t>AV 15 DE NOVEMBRO, 818 SLA COND BRAGAGNO </t>
  </si>
  <si>
    <t>R BLUMENAU, 2600 </t>
  </si>
  <si>
    <t>AV SANTA CATARINA, 731 </t>
  </si>
  <si>
    <t>RUA FARROUPILHA, 153 </t>
  </si>
  <si>
    <t>RUA BENJAMIN CONSTANT, 3097 </t>
  </si>
  <si>
    <t>RUA MARECHAL DEODORO, 108 </t>
  </si>
  <si>
    <t>AV QUINTA AVENIDA 365 SALA 01 </t>
  </si>
  <si>
    <t>EST CAMPINA DO GREGORIO SN </t>
  </si>
  <si>
    <t>RUA QUATORZE DE AGOSTO, 3161-E </t>
  </si>
  <si>
    <t>ROD MUN CLAUMIR LUIZ TREVISOL, 477 </t>
  </si>
  <si>
    <t>AV EUGENIO KRAUSE, 957 </t>
  </si>
  <si>
    <t>R. CONSELHEIRO MAFRA,357 ESQ.ALVARO CARV </t>
  </si>
  <si>
    <t>R 706-G 100 SALA 02 </t>
  </si>
  <si>
    <t>RUA ERNANI COTRIN, 89 - SALA 03 </t>
  </si>
  <si>
    <t>RUA JOAO JACOB MARTINS, 267 </t>
  </si>
  <si>
    <t>AV GETULIO VARGAS 470 </t>
  </si>
  <si>
    <t>R ALTAMIRO GUIMARAES, 1268 </t>
  </si>
  <si>
    <t>RUA TEN ARY RAUEN, 286 - SALA S </t>
  </si>
  <si>
    <t>CNPJ</t>
  </si>
  <si>
    <t>37122090000101 </t>
  </si>
  <si>
    <t>04506629000169 </t>
  </si>
  <si>
    <t>18284407000153 </t>
  </si>
  <si>
    <t>52361496000122 </t>
  </si>
  <si>
    <t>30142841000102 </t>
  </si>
  <si>
    <t>38001709000184 </t>
  </si>
  <si>
    <t>36968937000100 </t>
  </si>
  <si>
    <t>07717596000194 </t>
  </si>
  <si>
    <t>06176467000173 </t>
  </si>
  <si>
    <t>38029534000113 </t>
  </si>
  <si>
    <t>13727521000197 </t>
  </si>
  <si>
    <t>17292060000128 </t>
  </si>
  <si>
    <t>10863879000159 </t>
  </si>
  <si>
    <t>07796039000106 </t>
  </si>
  <si>
    <t>46687744000127 </t>
  </si>
  <si>
    <t>53266746000108 </t>
  </si>
  <si>
    <t>56345414000107 </t>
  </si>
  <si>
    <t>47543334000175 </t>
  </si>
  <si>
    <t>21513922000172 </t>
  </si>
  <si>
    <t>26682112000163 </t>
  </si>
  <si>
    <t>37404241000106 </t>
  </si>
  <si>
    <t>06302197000108 </t>
  </si>
  <si>
    <t>74137993000184 </t>
  </si>
  <si>
    <t>44296894000184 </t>
  </si>
  <si>
    <t>38160619000136 </t>
  </si>
  <si>
    <t>00063719000171 </t>
  </si>
  <si>
    <t>59346396000176 </t>
  </si>
  <si>
    <t>30750124000155 </t>
  </si>
  <si>
    <t>34125248000109 </t>
  </si>
  <si>
    <t>02291179000532 </t>
  </si>
  <si>
    <t>01180241000122 </t>
  </si>
  <si>
    <t>18684177000110 </t>
  </si>
  <si>
    <t>40215508000121 </t>
  </si>
  <si>
    <t>24149968000142 </t>
  </si>
  <si>
    <t>33559527000100 </t>
  </si>
  <si>
    <t>07088249000140 </t>
  </si>
  <si>
    <t>11221734000117 </t>
  </si>
  <si>
    <t>26249654000147 </t>
  </si>
  <si>
    <t>25077314000113 </t>
  </si>
  <si>
    <t>30574170000140 </t>
  </si>
  <si>
    <t>47378693000114 </t>
  </si>
  <si>
    <t>33649347000119 </t>
  </si>
  <si>
    <t>09284047000107 </t>
  </si>
  <si>
    <t>04292064000164 </t>
  </si>
  <si>
    <t>03554164000159 </t>
  </si>
  <si>
    <t>10636384000197 </t>
  </si>
  <si>
    <t>32182872000104 </t>
  </si>
  <si>
    <t>28278917000171 </t>
  </si>
  <si>
    <t>07000832000157 </t>
  </si>
  <si>
    <t>15708513000129 </t>
  </si>
  <si>
    <t>12544411000127 </t>
  </si>
  <si>
    <t>37541125000210 </t>
  </si>
  <si>
    <t>11738378000103 </t>
  </si>
  <si>
    <t>24596082000147 </t>
  </si>
  <si>
    <t>28112083000120 </t>
  </si>
  <si>
    <t>06934454000116 </t>
  </si>
  <si>
    <t>50634881000170 </t>
  </si>
  <si>
    <t>26557314000183 </t>
  </si>
  <si>
    <t>08459768000130 </t>
  </si>
  <si>
    <t>36917771000195 </t>
  </si>
  <si>
    <t>22063815000152 </t>
  </si>
  <si>
    <t>10260815000163 </t>
  </si>
  <si>
    <t>24973182000145 </t>
  </si>
  <si>
    <t>04815632000164 </t>
  </si>
  <si>
    <t>74177593000100 </t>
  </si>
  <si>
    <t>29222760000125 </t>
  </si>
  <si>
    <t>51995377000169 </t>
  </si>
  <si>
    <t>05687203000111 </t>
  </si>
  <si>
    <t>05926284000165 </t>
  </si>
  <si>
    <t>08909629000160 </t>
  </si>
  <si>
    <t>31286215000144 </t>
  </si>
  <si>
    <t>15156053000173 </t>
  </si>
  <si>
    <t>03080306000193 </t>
  </si>
  <si>
    <t>01888146000188 </t>
  </si>
  <si>
    <t>24491200000152 </t>
  </si>
  <si>
    <t>24174062000188 </t>
  </si>
  <si>
    <t>12960084000194 </t>
  </si>
  <si>
    <t>06125169000154 </t>
  </si>
  <si>
    <t>04767762000179 </t>
  </si>
  <si>
    <t>06021149000133 </t>
  </si>
  <si>
    <t>35359991000188 </t>
  </si>
  <si>
    <t>07136774000193 </t>
  </si>
  <si>
    <t>06951747000101 </t>
  </si>
  <si>
    <t>14123179000189 </t>
  </si>
  <si>
    <t>32171631000160 </t>
  </si>
  <si>
    <t>31373977000188 </t>
  </si>
  <si>
    <t>09349777000130 </t>
  </si>
  <si>
    <t>10780393000157 </t>
  </si>
  <si>
    <t>04252964000188 </t>
  </si>
  <si>
    <t>05244829000153 </t>
  </si>
  <si>
    <t>07157789000138 </t>
  </si>
  <si>
    <t>17947738000163 </t>
  </si>
  <si>
    <t>15931157000299 </t>
  </si>
  <si>
    <t>14780254000184 </t>
  </si>
  <si>
    <t>26252119000145 </t>
  </si>
  <si>
    <t>21397745000106 </t>
  </si>
  <si>
    <t>29130483000120 </t>
  </si>
  <si>
    <t>14341952000183 </t>
  </si>
  <si>
    <t>11427503000164 </t>
  </si>
  <si>
    <t>06370558000145 </t>
  </si>
  <si>
    <t>13880383000181 </t>
  </si>
  <si>
    <t>00133056000114 </t>
  </si>
  <si>
    <t>40531824000102 </t>
  </si>
  <si>
    <t>04705226000149 </t>
  </si>
  <si>
    <t>02750806000122 </t>
  </si>
  <si>
    <t>07261082000177 </t>
  </si>
  <si>
    <t>58336485000179 </t>
  </si>
  <si>
    <t>17019745000367 </t>
  </si>
  <si>
    <t>04020234000151 </t>
  </si>
  <si>
    <t>09517268000170 </t>
  </si>
  <si>
    <t>04679852000108 </t>
  </si>
  <si>
    <t>30872726000185 </t>
  </si>
  <si>
    <t>14164966000179 </t>
  </si>
  <si>
    <t>07611289000124 </t>
  </si>
  <si>
    <t>16308132000115 </t>
  </si>
  <si>
    <t>17117427000177 </t>
  </si>
  <si>
    <t>05303960000144 </t>
  </si>
  <si>
    <t>05501055000107 </t>
  </si>
  <si>
    <t>03218556000147 </t>
  </si>
  <si>
    <t>21008953000176 </t>
  </si>
  <si>
    <t>19274028000307 </t>
  </si>
  <si>
    <t>42070250000148 </t>
  </si>
  <si>
    <t>20350330000114 </t>
  </si>
  <si>
    <t>13520533000146 </t>
  </si>
  <si>
    <t>29280255000137 </t>
  </si>
  <si>
    <t>12149947000148 </t>
  </si>
  <si>
    <t>17281218000164 </t>
  </si>
  <si>
    <t>42046011000152 </t>
  </si>
  <si>
    <t>03705284000100 </t>
  </si>
  <si>
    <t>48398196000140 </t>
  </si>
  <si>
    <t>10708209000168 </t>
  </si>
  <si>
    <t>51917551000155 </t>
  </si>
  <si>
    <t>20681299000102 </t>
  </si>
  <si>
    <t>63309702000171 </t>
  </si>
  <si>
    <t>26925307000197 </t>
  </si>
  <si>
    <t>19814124000139 </t>
  </si>
  <si>
    <t>29987064000100 </t>
  </si>
  <si>
    <t>51762104000174 </t>
  </si>
  <si>
    <t>02347734000177 </t>
  </si>
  <si>
    <t>12274817000137 </t>
  </si>
  <si>
    <t>10341031000160 </t>
  </si>
  <si>
    <t>12986376000104 </t>
  </si>
  <si>
    <t>00689906000165 </t>
  </si>
  <si>
    <t>07550906000129 </t>
  </si>
  <si>
    <t>12269965000163 </t>
  </si>
  <si>
    <t>02856878000159 </t>
  </si>
  <si>
    <t>23658981000164 </t>
  </si>
  <si>
    <t>03365404000177 </t>
  </si>
  <si>
    <t>63570790000160 </t>
  </si>
  <si>
    <t>26725641000105 </t>
  </si>
  <si>
    <t>41483470000130 </t>
  </si>
  <si>
    <t>10615558000135 </t>
  </si>
  <si>
    <t>15330229000161 </t>
  </si>
  <si>
    <t>28231830000149 </t>
  </si>
  <si>
    <t>06951451000190 </t>
  </si>
  <si>
    <t>17293339000126 </t>
  </si>
  <si>
    <t>04708874000159 </t>
  </si>
  <si>
    <t>12108312000100 </t>
  </si>
  <si>
    <t>03925442000137 </t>
  </si>
  <si>
    <t>40314151000139 </t>
  </si>
  <si>
    <t>70108238000110 </t>
  </si>
  <si>
    <t>30795628000191 </t>
  </si>
  <si>
    <t>12908752000134 </t>
  </si>
  <si>
    <t>02405310000111 </t>
  </si>
  <si>
    <t>03467684000124 </t>
  </si>
  <si>
    <t>11895653000100 </t>
  </si>
  <si>
    <t>07548130000102 </t>
  </si>
  <si>
    <t>02229620000122 </t>
  </si>
  <si>
    <t>03337988000177 </t>
  </si>
  <si>
    <t>08844748000182 </t>
  </si>
  <si>
    <t>33036855000121 </t>
  </si>
  <si>
    <t>01524633000161 </t>
  </si>
  <si>
    <t>04918161000110 </t>
  </si>
  <si>
    <t>11110381000188 </t>
  </si>
  <si>
    <t>70100615000256 </t>
  </si>
  <si>
    <t>02357637000165 </t>
  </si>
  <si>
    <t>06913566000190 </t>
  </si>
  <si>
    <t>10645193000191 </t>
  </si>
  <si>
    <t>23212408000122 </t>
  </si>
  <si>
    <t>24216228000181 </t>
  </si>
  <si>
    <t>04120340000107 </t>
  </si>
  <si>
    <t>08332538000105 </t>
  </si>
  <si>
    <t>24511222000137 </t>
  </si>
  <si>
    <t>11855390000106 </t>
  </si>
  <si>
    <t>13848226000199 </t>
  </si>
  <si>
    <t>08530982000135 </t>
  </si>
  <si>
    <t>20873342000123 </t>
  </si>
  <si>
    <t>02780820000179 </t>
  </si>
  <si>
    <t>22971635000179 </t>
  </si>
  <si>
    <t>05476815000165 </t>
  </si>
  <si>
    <t>40868234000170 </t>
  </si>
  <si>
    <t>11407343000191 </t>
  </si>
  <si>
    <t>10228336000160 </t>
  </si>
  <si>
    <t>52402770000164 </t>
  </si>
  <si>
    <t>01437981000100 </t>
  </si>
  <si>
    <t>08147744000145 </t>
  </si>
  <si>
    <t>32210126000187 </t>
  </si>
  <si>
    <t>05946524000193 </t>
  </si>
  <si>
    <t>44331451000187 </t>
  </si>
  <si>
    <t>12798583000127 </t>
  </si>
  <si>
    <t>10379027000190 </t>
  </si>
  <si>
    <t>08776060000102 </t>
  </si>
  <si>
    <t>08258424000162 </t>
  </si>
  <si>
    <t>16719815000165 </t>
  </si>
  <si>
    <t>14126316000139 </t>
  </si>
  <si>
    <t>07722228000134 </t>
  </si>
  <si>
    <t>04881985000162 </t>
  </si>
  <si>
    <t>02058906000192 </t>
  </si>
  <si>
    <t>21162778000177 </t>
  </si>
  <si>
    <t>00747948000105 </t>
  </si>
  <si>
    <t>10794553000117 </t>
  </si>
  <si>
    <t>35636444000100 </t>
  </si>
  <si>
    <t>15430638000130 </t>
  </si>
  <si>
    <t>08831331000185 </t>
  </si>
  <si>
    <t>07327611000198 </t>
  </si>
  <si>
    <t>31675552000123 </t>
  </si>
  <si>
    <t>22336585000239 </t>
  </si>
  <si>
    <t>30294882000106 </t>
  </si>
  <si>
    <t>14393956000105 </t>
  </si>
  <si>
    <t>07886031000130 </t>
  </si>
  <si>
    <t>19427474000142 </t>
  </si>
  <si>
    <t>24231721000251 </t>
  </si>
  <si>
    <t>08727779000153 </t>
  </si>
  <si>
    <t>24427796000121 </t>
  </si>
  <si>
    <t>35896730000105 </t>
  </si>
  <si>
    <t>14738821000134 </t>
  </si>
  <si>
    <t>69947224000101 </t>
  </si>
  <si>
    <t>10880715000130 </t>
  </si>
  <si>
    <t>20259492000141 </t>
  </si>
  <si>
    <t>20736892000109 </t>
  </si>
  <si>
    <t>55026437000196 </t>
  </si>
  <si>
    <t>28858591000151 </t>
  </si>
  <si>
    <t>29552250000116 </t>
  </si>
  <si>
    <t>25682778000159 </t>
  </si>
  <si>
    <t>43392983000161 </t>
  </si>
  <si>
    <t>13204140000123 </t>
  </si>
  <si>
    <t>02442836000171 </t>
  </si>
  <si>
    <t>25025939000131 </t>
  </si>
  <si>
    <t>08429960000183 </t>
  </si>
  <si>
    <t>21711761000121 </t>
  </si>
  <si>
    <t>13445386000197 </t>
  </si>
  <si>
    <t>12391117000122 </t>
  </si>
  <si>
    <t>01075227000169 </t>
  </si>
  <si>
    <t>02879937000104 </t>
  </si>
  <si>
    <t>12788542000150 </t>
  </si>
  <si>
    <t>07631411000124 </t>
  </si>
  <si>
    <t>07638101000131 </t>
  </si>
  <si>
    <t>03330023000152 </t>
  </si>
  <si>
    <t>34670884000103 </t>
  </si>
  <si>
    <t>11292106000122 </t>
  </si>
  <si>
    <t>04931920000184 </t>
  </si>
  <si>
    <t>00663966000109 </t>
  </si>
  <si>
    <t>54265451000180 </t>
  </si>
  <si>
    <t>05306209000100 </t>
  </si>
  <si>
    <t>16750320000107 </t>
  </si>
  <si>
    <t>05062619000225 </t>
  </si>
  <si>
    <t>31723227000199 </t>
  </si>
  <si>
    <t>10301025000189 </t>
  </si>
  <si>
    <t>63511612000169 </t>
  </si>
  <si>
    <t>63329882000153 </t>
  </si>
  <si>
    <t>02488226000109 </t>
  </si>
  <si>
    <t>04701515000170 </t>
  </si>
  <si>
    <t>09454326000163 </t>
  </si>
  <si>
    <t>11106245000114 </t>
  </si>
  <si>
    <t>01848772000140 </t>
  </si>
  <si>
    <t>08385809000190 </t>
  </si>
  <si>
    <t>27033220000178 </t>
  </si>
  <si>
    <t>20680801000152 </t>
  </si>
  <si>
    <t>41005190000117 </t>
  </si>
  <si>
    <t>00903675000140 </t>
  </si>
  <si>
    <t>07840224000312 </t>
  </si>
  <si>
    <t>07318648000150 </t>
  </si>
  <si>
    <t>15160493000102 </t>
  </si>
  <si>
    <t>40784894000172 </t>
  </si>
  <si>
    <t>06330258000132 </t>
  </si>
  <si>
    <t>04367414000104 </t>
  </si>
  <si>
    <t>08291637000358 </t>
  </si>
  <si>
    <t>12748539000102 </t>
  </si>
  <si>
    <t>39921841000177 </t>
  </si>
  <si>
    <t>36583373000180 </t>
  </si>
  <si>
    <t>12270234000138 </t>
  </si>
  <si>
    <t>48671032000145 </t>
  </si>
  <si>
    <t>08338005000130 </t>
  </si>
  <si>
    <t>34936523000166 </t>
  </si>
  <si>
    <t>05639284000184 </t>
  </si>
  <si>
    <t>13007695000185 </t>
  </si>
  <si>
    <t>10826619000103 </t>
  </si>
  <si>
    <t>01432141000146 </t>
  </si>
  <si>
    <t>01538722000167 </t>
  </si>
  <si>
    <t>18255882000100 </t>
  </si>
  <si>
    <t>03692196000110 </t>
  </si>
  <si>
    <t>04601629000148 </t>
  </si>
  <si>
    <t>09007823000113 </t>
  </si>
  <si>
    <t>07650136000196 </t>
  </si>
  <si>
    <t>04431847000181 </t>
  </si>
  <si>
    <t>33981837000118 </t>
  </si>
  <si>
    <t>05437959000102 </t>
  </si>
  <si>
    <t>84523331000104 </t>
  </si>
  <si>
    <t>04407219000160 </t>
  </si>
  <si>
    <t>05828884000190 </t>
  </si>
  <si>
    <t>06317393000903 </t>
  </si>
  <si>
    <t>12762766000192 </t>
  </si>
  <si>
    <t>08490479000101 </t>
  </si>
  <si>
    <t>08710582000292 </t>
  </si>
  <si>
    <t>22805436000190 </t>
  </si>
  <si>
    <t>14212732000150 </t>
  </si>
  <si>
    <t>00368488000104 </t>
  </si>
  <si>
    <t>10249442000120 </t>
  </si>
  <si>
    <t>05471081000121 </t>
  </si>
  <si>
    <t>05034505000190 </t>
  </si>
  <si>
    <t>32969749000138 </t>
  </si>
  <si>
    <t>13563237000203 </t>
  </si>
  <si>
    <t>53189340000179 </t>
  </si>
  <si>
    <t>54755127000140 </t>
  </si>
  <si>
    <t>35922664000192 </t>
  </si>
  <si>
    <t>49052850000122 </t>
  </si>
  <si>
    <t>84481530000199 </t>
  </si>
  <si>
    <t>03866846000105 </t>
  </si>
  <si>
    <t>24504208000106 </t>
  </si>
  <si>
    <t>36749080000200 </t>
  </si>
  <si>
    <t>42980537000105 </t>
  </si>
  <si>
    <t>28491434000150 </t>
  </si>
  <si>
    <t>02020236000115 </t>
  </si>
  <si>
    <t>14574404000101 </t>
  </si>
  <si>
    <t>46211356000175 </t>
  </si>
  <si>
    <t>01067007000193 </t>
  </si>
  <si>
    <t>37429124000105 </t>
  </si>
  <si>
    <t>04437177000100 </t>
  </si>
  <si>
    <t>39608133000180 </t>
  </si>
  <si>
    <t>05326875000100 </t>
  </si>
  <si>
    <t>09354922000171 </t>
  </si>
  <si>
    <t>30585461000134 </t>
  </si>
  <si>
    <t>04808303000196 </t>
  </si>
  <si>
    <t>14530133000265 </t>
  </si>
  <si>
    <t>04163544000125 </t>
  </si>
  <si>
    <t>10960576000154 </t>
  </si>
  <si>
    <t>08265101000104 </t>
  </si>
  <si>
    <t>05255095000108 </t>
  </si>
  <si>
    <t>27866311000194 </t>
  </si>
  <si>
    <t>12923266000195 </t>
  </si>
  <si>
    <t>08930112000153 </t>
  </si>
  <si>
    <t>50591548000121 </t>
  </si>
  <si>
    <t>17623087000156 </t>
  </si>
  <si>
    <t>01503458000207 </t>
  </si>
  <si>
    <t>07195970000139 </t>
  </si>
  <si>
    <t>34595314000104 </t>
  </si>
  <si>
    <t>14984912000150 </t>
  </si>
  <si>
    <t>83326579000104 </t>
  </si>
  <si>
    <t>47060206000170 </t>
  </si>
  <si>
    <t>44383939000158 </t>
  </si>
  <si>
    <t>36290362000101 </t>
  </si>
  <si>
    <t>17120360000120 </t>
  </si>
  <si>
    <t>17806777000140 </t>
  </si>
  <si>
    <t>59809143000191 </t>
  </si>
  <si>
    <t>41243507000153 </t>
  </si>
  <si>
    <t>08759790000103 </t>
  </si>
  <si>
    <t>30921245000112 </t>
  </si>
  <si>
    <t>41259332000172 </t>
  </si>
  <si>
    <t>44155744000150 </t>
  </si>
  <si>
    <t>03587773000104 </t>
  </si>
  <si>
    <t>15762990000172 </t>
  </si>
  <si>
    <t>11365928000358 </t>
  </si>
  <si>
    <t>54422178000150 </t>
  </si>
  <si>
    <t>07622651000162 </t>
  </si>
  <si>
    <t>83776765000145 </t>
  </si>
  <si>
    <t>11496427000149 </t>
  </si>
  <si>
    <t>27180061000134 </t>
  </si>
  <si>
    <t>04125073000160 </t>
  </si>
  <si>
    <t>23586992000186 </t>
  </si>
  <si>
    <t>17062826000188 </t>
  </si>
  <si>
    <t>05231416000134 </t>
  </si>
  <si>
    <t>20174278000192 </t>
  </si>
  <si>
    <t>35124075000169 </t>
  </si>
  <si>
    <t>34848473000165 </t>
  </si>
  <si>
    <t>43092008000138 </t>
  </si>
  <si>
    <t>13269933000120 </t>
  </si>
  <si>
    <t>17062984000138 </t>
  </si>
  <si>
    <t>23585459000108 </t>
  </si>
  <si>
    <t>36955301000116 </t>
  </si>
  <si>
    <t>48717855000164 </t>
  </si>
  <si>
    <t>17980845000193 </t>
  </si>
  <si>
    <t>83912253000169 </t>
  </si>
  <si>
    <t>15023868000184 </t>
  </si>
  <si>
    <t>04257598000150 </t>
  </si>
  <si>
    <t>08223077000132 </t>
  </si>
  <si>
    <t>09029443000180 </t>
  </si>
  <si>
    <t>34675801000179 </t>
  </si>
  <si>
    <t>52729628000126 </t>
  </si>
  <si>
    <t>55574076000112 </t>
  </si>
  <si>
    <t>04273492000140 </t>
  </si>
  <si>
    <t>09391508000132 </t>
  </si>
  <si>
    <t>45756098000220 </t>
  </si>
  <si>
    <t>29100430000167 </t>
  </si>
  <si>
    <t>42172673000179 </t>
  </si>
  <si>
    <t>29366554000199 </t>
  </si>
  <si>
    <t>05383293000157 </t>
  </si>
  <si>
    <t>26847504000135 </t>
  </si>
  <si>
    <t>11171589000107 </t>
  </si>
  <si>
    <t>12665218000144 </t>
  </si>
  <si>
    <t>45756604000109 </t>
  </si>
  <si>
    <t>49698886000188 </t>
  </si>
  <si>
    <t>20399802000204 </t>
  </si>
  <si>
    <t>05553747000190 </t>
  </si>
  <si>
    <t>34477133000175 </t>
  </si>
  <si>
    <t>03344057000104 </t>
  </si>
  <si>
    <t>53553859000194 </t>
  </si>
  <si>
    <t>84569250000137 </t>
  </si>
  <si>
    <t>04980557000197 </t>
  </si>
  <si>
    <t>03876451000185 </t>
  </si>
  <si>
    <t>02278249000199 </t>
  </si>
  <si>
    <t>13050283000128 </t>
  </si>
  <si>
    <t>07217926000182 </t>
  </si>
  <si>
    <t>10560331000130 </t>
  </si>
  <si>
    <t>09664649000181 </t>
  </si>
  <si>
    <t>10767688000193 </t>
  </si>
  <si>
    <t>10460274000117 </t>
  </si>
  <si>
    <t>14077628000108 </t>
  </si>
  <si>
    <t>44579656000186 </t>
  </si>
  <si>
    <t>58974263000181 </t>
  </si>
  <si>
    <t>22569775000115 </t>
  </si>
  <si>
    <t>00133124000145 </t>
  </si>
  <si>
    <t>08317826000190 </t>
  </si>
  <si>
    <t>07576074000110 </t>
  </si>
  <si>
    <t>31170141000186 </t>
  </si>
  <si>
    <t>07344581000128 </t>
  </si>
  <si>
    <t>05662237000151 </t>
  </si>
  <si>
    <t>26747626000150 </t>
  </si>
  <si>
    <t>05161216000152 </t>
  </si>
  <si>
    <t>03721602000126 </t>
  </si>
  <si>
    <t>28161149000414 </t>
  </si>
  <si>
    <t>46319598000187 </t>
  </si>
  <si>
    <t>03450477000167 </t>
  </si>
  <si>
    <t>27473669000823 </t>
  </si>
  <si>
    <t>17630850000176 </t>
  </si>
  <si>
    <t>03806187000103 </t>
  </si>
  <si>
    <t>27874317000103 </t>
  </si>
  <si>
    <t>57620311000170 </t>
  </si>
  <si>
    <t>36447686000100 </t>
  </si>
  <si>
    <t>29106405000190 </t>
  </si>
  <si>
    <t>39713504000194 </t>
  </si>
  <si>
    <t>32268033000294 </t>
  </si>
  <si>
    <t>28237867000184 </t>
  </si>
  <si>
    <t>06945459000144 </t>
  </si>
  <si>
    <t>39320254000122 </t>
  </si>
  <si>
    <t>35502416000192 </t>
  </si>
  <si>
    <t>61432912000127 </t>
  </si>
  <si>
    <t>19181282000107 </t>
  </si>
  <si>
    <t>00212745000114 </t>
  </si>
  <si>
    <t>35674594000109 </t>
  </si>
  <si>
    <t>56210494000193 </t>
  </si>
  <si>
    <t>31694177000169 </t>
  </si>
  <si>
    <t>10598199000155 </t>
  </si>
  <si>
    <t>52620711000162 </t>
  </si>
  <si>
    <t>27238815000160 </t>
  </si>
  <si>
    <t>14512604000121 </t>
  </si>
  <si>
    <t>04726588000116 </t>
  </si>
  <si>
    <t>21529392000231 </t>
  </si>
  <si>
    <t>09118010000109 </t>
  </si>
  <si>
    <t>06038513000178 </t>
  </si>
  <si>
    <t>64156222000180 </t>
  </si>
  <si>
    <t>09499803000107 </t>
  </si>
  <si>
    <t>48304801000177 </t>
  </si>
  <si>
    <t>09084355000180 </t>
  </si>
  <si>
    <t>10717407000198 </t>
  </si>
  <si>
    <t>45282044000190 </t>
  </si>
  <si>
    <t>36382414000170 </t>
  </si>
  <si>
    <t>11024204000189 </t>
  </si>
  <si>
    <t>05739267000119 </t>
  </si>
  <si>
    <t>05922986000170 </t>
  </si>
  <si>
    <t>34172971000130 </t>
  </si>
  <si>
    <t>37119030000121 </t>
  </si>
  <si>
    <t>38860533000116 </t>
  </si>
  <si>
    <t>09213645000268 </t>
  </si>
  <si>
    <t>27548627000138 </t>
  </si>
  <si>
    <t>38070922000148 </t>
  </si>
  <si>
    <t>39624242000191 </t>
  </si>
  <si>
    <t>11676339000129 </t>
  </si>
  <si>
    <t>05487507000135 </t>
  </si>
  <si>
    <t>05254364000111 </t>
  </si>
  <si>
    <t>36326114000173 </t>
  </si>
  <si>
    <t>37091111000160 </t>
  </si>
  <si>
    <t>21029230000153 </t>
  </si>
  <si>
    <t>12395672000122 </t>
  </si>
  <si>
    <t>05303164000101 </t>
  </si>
  <si>
    <t>04843379000152 </t>
  </si>
  <si>
    <t>61401719000129 </t>
  </si>
  <si>
    <t>01153009000103 </t>
  </si>
  <si>
    <t>10840153000109 </t>
  </si>
  <si>
    <t>07017758000181 </t>
  </si>
  <si>
    <t>01482112000199 </t>
  </si>
  <si>
    <t>50787547000157 </t>
  </si>
  <si>
    <t>00911850000141 </t>
  </si>
  <si>
    <t>07887400000100 </t>
  </si>
  <si>
    <t>09114100000113 </t>
  </si>
  <si>
    <t>20154795000108 </t>
  </si>
  <si>
    <t>05110163000140 </t>
  </si>
  <si>
    <t>04940452000104 </t>
  </si>
  <si>
    <t>31486195000155 </t>
  </si>
  <si>
    <t>09571830000143 </t>
  </si>
  <si>
    <t>01953452000150 </t>
  </si>
  <si>
    <t>07407693000180 </t>
  </si>
  <si>
    <t>07615795000272 </t>
  </si>
  <si>
    <t>40828446000123 </t>
  </si>
  <si>
    <t>07956898000115 </t>
  </si>
  <si>
    <t>65095531000150 </t>
  </si>
  <si>
    <t>21519012000105 </t>
  </si>
  <si>
    <t>01757919000197 </t>
  </si>
  <si>
    <t>19314996000138 </t>
  </si>
  <si>
    <t>09608765000183 </t>
  </si>
  <si>
    <t>34025342000188 </t>
  </si>
  <si>
    <t>20301132000160 </t>
  </si>
  <si>
    <t>10205083000109 </t>
  </si>
  <si>
    <t>26240875000154 </t>
  </si>
  <si>
    <t>10567455000147 </t>
  </si>
  <si>
    <t>17684622000189 </t>
  </si>
  <si>
    <t>21009918000171 </t>
  </si>
  <si>
    <t>42908509000187 </t>
  </si>
  <si>
    <t>05898510000141 </t>
  </si>
  <si>
    <t>33371620000196 </t>
  </si>
  <si>
    <t>42833566000144 </t>
  </si>
  <si>
    <t>06143447000104 </t>
  </si>
  <si>
    <t>04768048000103 </t>
  </si>
  <si>
    <t>11586127000150 </t>
  </si>
  <si>
    <t>28298082000111 </t>
  </si>
  <si>
    <t>12497470000191 </t>
  </si>
  <si>
    <t>24330234000165 </t>
  </si>
  <si>
    <t>55649069000132 </t>
  </si>
  <si>
    <t>11050837000161 </t>
  </si>
  <si>
    <t>66337585000148 </t>
  </si>
  <si>
    <t>05294645000106 </t>
  </si>
  <si>
    <t>01422568000163 </t>
  </si>
  <si>
    <t>30709782000101 </t>
  </si>
  <si>
    <t>00325656000184 </t>
  </si>
  <si>
    <t>03341743000113 </t>
  </si>
  <si>
    <t>23190291000123 </t>
  </si>
  <si>
    <t>10670994000107 </t>
  </si>
  <si>
    <t>28898386000110 </t>
  </si>
  <si>
    <t>21732813000146 </t>
  </si>
  <si>
    <t>04139782000103 </t>
  </si>
  <si>
    <t>25102146001493 </t>
  </si>
  <si>
    <t>86661444000193 </t>
  </si>
  <si>
    <t>06065466000151 </t>
  </si>
  <si>
    <t>27066616000111 </t>
  </si>
  <si>
    <t>10569016000173 </t>
  </si>
  <si>
    <t>18371526000143 </t>
  </si>
  <si>
    <t>26110916000198 </t>
  </si>
  <si>
    <t>25975590000107 </t>
  </si>
  <si>
    <t>19317057000147 </t>
  </si>
  <si>
    <t>03851371000175 </t>
  </si>
  <si>
    <t>04795349000118 </t>
  </si>
  <si>
    <t>11122664000140 </t>
  </si>
  <si>
    <t>05645944000130 </t>
  </si>
  <si>
    <t>41879875000192 </t>
  </si>
  <si>
    <t>21285176000107 </t>
  </si>
  <si>
    <t>42098167000187 </t>
  </si>
  <si>
    <t>07024916000120 </t>
  </si>
  <si>
    <t>07795543000191 </t>
  </si>
  <si>
    <t>26030312000131 </t>
  </si>
  <si>
    <t>23959307000110 </t>
  </si>
  <si>
    <t>00778203000103 </t>
  </si>
  <si>
    <t>68533967000172 </t>
  </si>
  <si>
    <t>22498455000111 </t>
  </si>
  <si>
    <t>20201265000165 </t>
  </si>
  <si>
    <t>07655416000197 </t>
  </si>
  <si>
    <t>26632942000186 </t>
  </si>
  <si>
    <t>46724994000190 </t>
  </si>
  <si>
    <t>08659585000168 </t>
  </si>
  <si>
    <t>06216720000175 </t>
  </si>
  <si>
    <t>31887567000155 </t>
  </si>
  <si>
    <t>19653054000184 </t>
  </si>
  <si>
    <t>22455653000106 </t>
  </si>
  <si>
    <t>05192791000112 </t>
  </si>
  <si>
    <t>11905062000169 </t>
  </si>
  <si>
    <t>15347286000153 </t>
  </si>
  <si>
    <t>38662607000100 </t>
  </si>
  <si>
    <t>00641204000101 </t>
  </si>
  <si>
    <t>22166698000152 </t>
  </si>
  <si>
    <t>00273134000186 </t>
  </si>
  <si>
    <t>71042915000108 </t>
  </si>
  <si>
    <t>22124473000133 </t>
  </si>
  <si>
    <t>05618487000194 </t>
  </si>
  <si>
    <t>35585241000124 </t>
  </si>
  <si>
    <t>32052472000184 </t>
  </si>
  <si>
    <t>08843946000121 </t>
  </si>
  <si>
    <t>19860683001076 </t>
  </si>
  <si>
    <t>14711825000129 </t>
  </si>
  <si>
    <t>18468199000495 </t>
  </si>
  <si>
    <t>25351032000162 </t>
  </si>
  <si>
    <t>21820849000181 </t>
  </si>
  <si>
    <t>01956142000190 </t>
  </si>
  <si>
    <t>23351612000124 </t>
  </si>
  <si>
    <t>02958690000111 </t>
  </si>
  <si>
    <t>20540779000145 </t>
  </si>
  <si>
    <t>10583075000104 </t>
  </si>
  <si>
    <t>26609245000104 </t>
  </si>
  <si>
    <t>03155056000103 </t>
  </si>
  <si>
    <t>03730208000154 </t>
  </si>
  <si>
    <t>10905084000166 </t>
  </si>
  <si>
    <t>02795745000110 </t>
  </si>
  <si>
    <t>33234252000134 </t>
  </si>
  <si>
    <t>04332687000113 </t>
  </si>
  <si>
    <t>05107433000164 </t>
  </si>
  <si>
    <t>08759614000163 </t>
  </si>
  <si>
    <t>28845212000199 </t>
  </si>
  <si>
    <t>05155591000190 </t>
  </si>
  <si>
    <t>26119432000100 </t>
  </si>
  <si>
    <t>06888690000143 </t>
  </si>
  <si>
    <t>33102542000124 </t>
  </si>
  <si>
    <t>09287138000198 </t>
  </si>
  <si>
    <t>13749161000124 </t>
  </si>
  <si>
    <t>00410908000173 </t>
  </si>
  <si>
    <t>15269270000170 </t>
  </si>
  <si>
    <t>11114284011106 </t>
  </si>
  <si>
    <t>04776742000164 </t>
  </si>
  <si>
    <t>05001872000198 </t>
  </si>
  <si>
    <t>23516153000191 </t>
  </si>
  <si>
    <t>72108855000141 </t>
  </si>
  <si>
    <t>30153647000114 </t>
  </si>
  <si>
    <t>04809615000114 </t>
  </si>
  <si>
    <t>27802222000184 </t>
  </si>
  <si>
    <t>13861899000260 </t>
  </si>
  <si>
    <t>36067726000199 </t>
  </si>
  <si>
    <t>20729334000108 </t>
  </si>
  <si>
    <t>09127095000183 </t>
  </si>
  <si>
    <t>00577594000106 </t>
  </si>
  <si>
    <t>29768926000103 </t>
  </si>
  <si>
    <t>52094857000111 </t>
  </si>
  <si>
    <t>04747914000171 </t>
  </si>
  <si>
    <t>08734761000189 </t>
  </si>
  <si>
    <t>09558931000184 </t>
  </si>
  <si>
    <t>19142808000131 </t>
  </si>
  <si>
    <t>21084833000158 </t>
  </si>
  <si>
    <t>24197297000195 </t>
  </si>
  <si>
    <t>42140988000134 </t>
  </si>
  <si>
    <t>13779283000163 </t>
  </si>
  <si>
    <t>23431187000183 </t>
  </si>
  <si>
    <t>07659473000144 </t>
  </si>
  <si>
    <t>03019330000117 </t>
  </si>
  <si>
    <t>56103918000110 </t>
  </si>
  <si>
    <t>97546680000185 </t>
  </si>
  <si>
    <t>09582478000141 </t>
  </si>
  <si>
    <t>45647417000189 </t>
  </si>
  <si>
    <t>12001425000528 </t>
  </si>
  <si>
    <t>31900087000187 </t>
  </si>
  <si>
    <t>12575480000106 </t>
  </si>
  <si>
    <t>31173839000155 </t>
  </si>
  <si>
    <t>21398968000198 </t>
  </si>
  <si>
    <t>00156867000130 </t>
  </si>
  <si>
    <t>09283747000179 </t>
  </si>
  <si>
    <t>28613656000107 </t>
  </si>
  <si>
    <t>35267023000222 </t>
  </si>
  <si>
    <t>05795021000164 </t>
  </si>
  <si>
    <t>32498693000180 </t>
  </si>
  <si>
    <t>30108543000198 </t>
  </si>
  <si>
    <t>10516932000145 </t>
  </si>
  <si>
    <t>39234604000138 </t>
  </si>
  <si>
    <t>57728408000100 </t>
  </si>
  <si>
    <t>10392896000155 </t>
  </si>
  <si>
    <t>41073885000136 </t>
  </si>
  <si>
    <t>54484210000121 </t>
  </si>
  <si>
    <t>03375396000492 </t>
  </si>
  <si>
    <t>02516385000170 </t>
  </si>
  <si>
    <t>49960504000142 </t>
  </si>
  <si>
    <t>01140541000188 </t>
  </si>
  <si>
    <t>18883384000101 </t>
  </si>
  <si>
    <t>17352096000150 </t>
  </si>
  <si>
    <t>05615385000115 </t>
  </si>
  <si>
    <t>37731872000210 </t>
  </si>
  <si>
    <t>34317527000166 </t>
  </si>
  <si>
    <t>50816447000101 </t>
  </si>
  <si>
    <t>34791253000142 </t>
  </si>
  <si>
    <t>42500090000120 </t>
  </si>
  <si>
    <t>33163049000114 </t>
  </si>
  <si>
    <t>17083616000176 </t>
  </si>
  <si>
    <t>32333940000199 </t>
  </si>
  <si>
    <t>42448336000161 </t>
  </si>
  <si>
    <t>43899665000191 </t>
  </si>
  <si>
    <t>42327455000166 </t>
  </si>
  <si>
    <t>54651716001150 </t>
  </si>
  <si>
    <t>22685304000253 </t>
  </si>
  <si>
    <t>45476075000181 </t>
  </si>
  <si>
    <t>27586693000100 </t>
  </si>
  <si>
    <t>44978802000146 </t>
  </si>
  <si>
    <t>50156066000143 </t>
  </si>
  <si>
    <t>33223388000149 </t>
  </si>
  <si>
    <t>17424267000109 </t>
  </si>
  <si>
    <t>56215189000194 </t>
  </si>
  <si>
    <t>65069593000198 </t>
  </si>
  <si>
    <t>19541741000108 </t>
  </si>
  <si>
    <t>55762298000169 </t>
  </si>
  <si>
    <t>38439955000112 </t>
  </si>
  <si>
    <t>50016039000256 </t>
  </si>
  <si>
    <t>09177729000102 </t>
  </si>
  <si>
    <t>03883312000189 </t>
  </si>
  <si>
    <t>33487152000110 </t>
  </si>
  <si>
    <t>47693601000190 </t>
  </si>
  <si>
    <t>59552489000157 </t>
  </si>
  <si>
    <t>10708829000105 </t>
  </si>
  <si>
    <t>64555337000148 </t>
  </si>
  <si>
    <t>34576922000163 </t>
  </si>
  <si>
    <t>16540524000105 </t>
  </si>
  <si>
    <t>27483780000124 </t>
  </si>
  <si>
    <t>01152953000138 </t>
  </si>
  <si>
    <t>51933802000195 </t>
  </si>
  <si>
    <t>42275387000139 </t>
  </si>
  <si>
    <t>59751945000198 </t>
  </si>
  <si>
    <t>11149037000100 </t>
  </si>
  <si>
    <t>03676331000134 </t>
  </si>
  <si>
    <t>56218837000166 </t>
  </si>
  <si>
    <t>28620449000171 </t>
  </si>
  <si>
    <t>31007853000189 </t>
  </si>
  <si>
    <t>17942231000117 </t>
  </si>
  <si>
    <t>03773899000173 </t>
  </si>
  <si>
    <t>41700821000118 </t>
  </si>
  <si>
    <t>71644058000116 </t>
  </si>
  <si>
    <t>52529815000166 </t>
  </si>
  <si>
    <t>54985932000160 </t>
  </si>
  <si>
    <t>22219776000130 </t>
  </si>
  <si>
    <t>50016039008745 </t>
  </si>
  <si>
    <t>48750942000113 </t>
  </si>
  <si>
    <t>36088499000188 </t>
  </si>
  <si>
    <t>68282888000136 </t>
  </si>
  <si>
    <t>55010748000167 </t>
  </si>
  <si>
    <t>24725072000164 </t>
  </si>
  <si>
    <t>49940084000132 </t>
  </si>
  <si>
    <t>96428529000422 </t>
  </si>
  <si>
    <t>03283299000127 </t>
  </si>
  <si>
    <t>27212630000186 </t>
  </si>
  <si>
    <t>02149727000160 </t>
  </si>
  <si>
    <t>44989569000105 </t>
  </si>
  <si>
    <t>46026803000116 </t>
  </si>
  <si>
    <t>07088193000123 </t>
  </si>
  <si>
    <t>00852136000120 </t>
  </si>
  <si>
    <t>47511388000159 </t>
  </si>
  <si>
    <t>24054246000104 </t>
  </si>
  <si>
    <t>51131545000178 </t>
  </si>
  <si>
    <t>04764298000167 </t>
  </si>
  <si>
    <t>47490061000148 </t>
  </si>
  <si>
    <t>07593504000101 </t>
  </si>
  <si>
    <t>31032771000194 </t>
  </si>
  <si>
    <t>54774445000158 </t>
  </si>
  <si>
    <t>46496108000118 </t>
  </si>
  <si>
    <t>08459469000103 </t>
  </si>
  <si>
    <t>01679699000120 </t>
  </si>
  <si>
    <t>72791726000109 </t>
  </si>
  <si>
    <t>41317373000178 </t>
  </si>
  <si>
    <t>48017909000189 </t>
  </si>
  <si>
    <t>64584063000115 </t>
  </si>
  <si>
    <t>62208368000105 </t>
  </si>
  <si>
    <t>33043951000288 </t>
  </si>
  <si>
    <t>17655944000108 </t>
  </si>
  <si>
    <t>67933200000178 </t>
  </si>
  <si>
    <t>05138389000150 </t>
  </si>
  <si>
    <t>24030083000120 </t>
  </si>
  <si>
    <t>25405707000109 </t>
  </si>
  <si>
    <t>10294063000151 </t>
  </si>
  <si>
    <t>02834681000119 </t>
  </si>
  <si>
    <t>04404846000148 </t>
  </si>
  <si>
    <t>51920700000135 </t>
  </si>
  <si>
    <t>11065132000118 </t>
  </si>
  <si>
    <t>33576400000107 </t>
  </si>
  <si>
    <t>43808178000176 </t>
  </si>
  <si>
    <t>49655356000152 </t>
  </si>
  <si>
    <t>26558828000153 </t>
  </si>
  <si>
    <t>46726956000176 </t>
  </si>
  <si>
    <t>12834082000159 </t>
  </si>
  <si>
    <t>55814490000151 </t>
  </si>
  <si>
    <t>00011631000106 </t>
  </si>
  <si>
    <t>11590173000123 </t>
  </si>
  <si>
    <t>67028647000100 </t>
  </si>
  <si>
    <t>14546532000214 </t>
  </si>
  <si>
    <t>02619172000173 </t>
  </si>
  <si>
    <t>67524512000128 </t>
  </si>
  <si>
    <t>25229163000171 </t>
  </si>
  <si>
    <t>07670357000126 </t>
  </si>
  <si>
    <t>15793288000176 </t>
  </si>
  <si>
    <t>08113874000167 </t>
  </si>
  <si>
    <t>09190519000154 </t>
  </si>
  <si>
    <t>49312984000135 </t>
  </si>
  <si>
    <t>07832672000102 </t>
  </si>
  <si>
    <t>17342870000303 </t>
  </si>
  <si>
    <t>32111081000193 </t>
  </si>
  <si>
    <t>41157706000149 </t>
  </si>
  <si>
    <t>31801257000176 </t>
  </si>
  <si>
    <t>04410145000111 </t>
  </si>
  <si>
    <t>03568176000132 </t>
  </si>
  <si>
    <t>28422174000161 </t>
  </si>
  <si>
    <t>08369857000195 </t>
  </si>
  <si>
    <t>76062488000739 </t>
  </si>
  <si>
    <t>30842576000167 </t>
  </si>
  <si>
    <t>53494246000123 </t>
  </si>
  <si>
    <t>10867300000126 </t>
  </si>
  <si>
    <t>19454034000184 </t>
  </si>
  <si>
    <t>40497922000170 </t>
  </si>
  <si>
    <t>10811331000165 </t>
  </si>
  <si>
    <t>85070043000104 </t>
  </si>
  <si>
    <t>10561275000158 </t>
  </si>
  <si>
    <t>08856766000184 </t>
  </si>
  <si>
    <t>08095315000171 </t>
  </si>
  <si>
    <t>11880401000108 </t>
  </si>
  <si>
    <t>82323965000180 </t>
  </si>
  <si>
    <t>04050616000128 </t>
  </si>
  <si>
    <t>02805642000193 </t>
  </si>
  <si>
    <t>52743590000146 </t>
  </si>
  <si>
    <t>23538307000146 </t>
  </si>
  <si>
    <t>24554761000153 </t>
  </si>
  <si>
    <t>86725637000160 </t>
  </si>
  <si>
    <t>85244168001339 </t>
  </si>
  <si>
    <t>80834328000142 </t>
  </si>
  <si>
    <t>75220079000165 </t>
  </si>
  <si>
    <t>48436171000194 </t>
  </si>
  <si>
    <t>52591714000115 </t>
  </si>
  <si>
    <t>01897752000160 </t>
  </si>
  <si>
    <t>02469763000101 </t>
  </si>
  <si>
    <t>82370453000174 </t>
  </si>
  <si>
    <t>47276317000119 </t>
  </si>
  <si>
    <t>11497493000133 </t>
  </si>
  <si>
    <t>09231544000139 </t>
  </si>
  <si>
    <t>89962823000101 </t>
  </si>
  <si>
    <t>14492976000133 </t>
  </si>
  <si>
    <t>91601294000162 </t>
  </si>
  <si>
    <t>73993362000102 </t>
  </si>
  <si>
    <t>15596005000104 </t>
  </si>
  <si>
    <t>90910399000130 </t>
  </si>
  <si>
    <t>89568489000106 </t>
  </si>
  <si>
    <t>03696188000142 </t>
  </si>
  <si>
    <t>12041156000108 </t>
  </si>
  <si>
    <t>23310852000261 </t>
  </si>
  <si>
    <t>86804416000188 </t>
  </si>
  <si>
    <t>07073285000130 </t>
  </si>
  <si>
    <t>09048256000143 </t>
  </si>
  <si>
    <t>28584842000238 </t>
  </si>
  <si>
    <t>35437635000135 </t>
  </si>
  <si>
    <t>02638004000206 </t>
  </si>
  <si>
    <t>30965802000105 </t>
  </si>
  <si>
    <t>14594767000109 </t>
  </si>
  <si>
    <t>21970683000180 </t>
  </si>
  <si>
    <t>01007596000114 </t>
  </si>
  <si>
    <t>06228181000194 </t>
  </si>
  <si>
    <t>95218012000101 </t>
  </si>
  <si>
    <t>29727117000153 </t>
  </si>
  <si>
    <t>94460052000194 </t>
  </si>
  <si>
    <t>03230856000141 </t>
  </si>
  <si>
    <t>91509372000101 </t>
  </si>
  <si>
    <t>00895141000110 </t>
  </si>
  <si>
    <t>39473179000130 </t>
  </si>
  <si>
    <t>10455099000170 </t>
  </si>
  <si>
    <t>24315151000105 </t>
  </si>
  <si>
    <t>91483727000122 </t>
  </si>
  <si>
    <t>09281390000190 </t>
  </si>
  <si>
    <t>00798398000153 </t>
  </si>
  <si>
    <t>27503431000127 </t>
  </si>
  <si>
    <t>93976017000160 </t>
  </si>
  <si>
    <t>05435073000472 </t>
  </si>
  <si>
    <t>08084571000163 </t>
  </si>
  <si>
    <t>19377490000178 </t>
  </si>
  <si>
    <t>06027929000190 </t>
  </si>
  <si>
    <t>76857747000203 </t>
  </si>
  <si>
    <t>78607082000124 </t>
  </si>
  <si>
    <t>05594286000102 </t>
  </si>
  <si>
    <t>08474752000104 </t>
  </si>
  <si>
    <t>03851799000118 </t>
  </si>
  <si>
    <t>10328159000606 </t>
  </si>
  <si>
    <t>75279794000416 </t>
  </si>
  <si>
    <t>07663624000138 </t>
  </si>
  <si>
    <t>00147109000156 </t>
  </si>
  <si>
    <t>02961546000134 </t>
  </si>
  <si>
    <t>03700792000103 </t>
  </si>
  <si>
    <t>42828851000177 </t>
  </si>
  <si>
    <t>63738093000176 </t>
  </si>
  <si>
    <t>01616807000116 </t>
  </si>
  <si>
    <t>83052407000270 </t>
  </si>
  <si>
    <t>07069696000151 </t>
  </si>
  <si>
    <t>02273418000106 </t>
  </si>
  <si>
    <t>10711013000122 </t>
  </si>
  <si>
    <t>04660943000100 </t>
  </si>
  <si>
    <t>29423248000147 </t>
  </si>
  <si>
    <t>31112342000127 </t>
  </si>
  <si>
    <t>83467548000173 </t>
  </si>
  <si>
    <t>79849865000187 </t>
  </si>
  <si>
    <t>Estados (UF)</t>
  </si>
  <si>
    <t>DF, GO, MG, RJ</t>
  </si>
  <si>
    <t>PR, RS, SC</t>
  </si>
  <si>
    <t>AC, AL, AM, AP, BA, CE, MA, PA, PB, PE, PI, RN, RO, RR, SE, TO</t>
  </si>
  <si>
    <t>MS, MT</t>
  </si>
  <si>
    <t>Qtd Clientes</t>
  </si>
  <si>
    <t>Estados</t>
  </si>
  <si>
    <t>Cidades</t>
  </si>
  <si>
    <t>DF, GO, MG</t>
  </si>
  <si>
    <t>MG, RJ</t>
  </si>
  <si>
    <t>GO, MG, RJ</t>
  </si>
  <si>
    <t>PR, RS</t>
  </si>
  <si>
    <t>RS, SC</t>
  </si>
  <si>
    <t>AC, AL, AM, AP, BA, CE, PA, PE</t>
  </si>
  <si>
    <t>AP, BA, CE, MA, PA</t>
  </si>
  <si>
    <t>PA, PB, PE</t>
  </si>
  <si>
    <t>PE, PI, RN, RO, RR, SE,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</si>
</sst>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4"/>
      <color rgb="FF1F4E78"/>
      <name val="Calibri"/>
    </font>
    <font>
      <sz val="12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1"/>
  <sheetViews>
    <sheetView topLeftCell="H1" workbookViewId="0">
      <pane ySplit="1" topLeftCell="A825" activePane="bottomLeft" state="frozen"/>
      <selection pane="bottomLeft" activeCell="O876" sqref="O876"/>
    </sheetView>
  </sheetViews>
  <sheetFormatPr defaultRowHeight="15" x14ac:dyDescent="0.25"/>
  <cols>
    <col min="1" max="1" width="18.85546875" bestFit="1" customWidth="1"/>
    <col min="2" max="2" width="78.42578125" bestFit="1" customWidth="1"/>
    <col min="3" max="4" width="35" customWidth="1"/>
    <col min="5" max="5" width="14" customWidth="1"/>
    <col min="6" max="6" width="6" customWidth="1"/>
    <col min="7" max="7" width="19.85546875" customWidth="1"/>
    <col min="8" max="8" width="30.42578125" customWidth="1"/>
    <col min="9" max="10" width="25" customWidth="1"/>
    <col min="11" max="11" width="12" customWidth="1"/>
    <col min="12" max="12" width="16" customWidth="1"/>
    <col min="13" max="14" width="14" customWidth="1"/>
    <col min="15" max="16" width="12" customWidth="1"/>
    <col min="17" max="17" width="15.5703125" bestFit="1" customWidth="1"/>
    <col min="18" max="18" width="12" customWidth="1"/>
  </cols>
  <sheetData>
    <row r="1" spans="1:18" x14ac:dyDescent="0.25">
      <c r="A1" s="1" t="s">
        <v>3585</v>
      </c>
      <c r="B1" s="1" t="s">
        <v>1</v>
      </c>
      <c r="C1" s="1" t="s">
        <v>3586</v>
      </c>
      <c r="D1" s="1" t="s">
        <v>7</v>
      </c>
      <c r="E1" s="1" t="s">
        <v>2</v>
      </c>
      <c r="F1" s="1" t="s">
        <v>3</v>
      </c>
      <c r="G1" s="1" t="s">
        <v>4465</v>
      </c>
      <c r="H1" s="1" t="s">
        <v>4466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5396</v>
      </c>
      <c r="R1" s="1" t="s">
        <v>12</v>
      </c>
    </row>
    <row r="2" spans="1:18" x14ac:dyDescent="0.25">
      <c r="A2" s="2">
        <v>40448</v>
      </c>
      <c r="B2" s="3" t="s">
        <v>13</v>
      </c>
      <c r="C2" s="2" t="s">
        <v>3587</v>
      </c>
      <c r="D2" s="2" t="s">
        <v>19</v>
      </c>
      <c r="E2" s="3" t="s">
        <v>14</v>
      </c>
      <c r="F2" s="3" t="s">
        <v>15</v>
      </c>
      <c r="G2" s="2" t="s">
        <v>4467</v>
      </c>
      <c r="H2" s="2" t="s">
        <v>4468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2">
        <v>942</v>
      </c>
      <c r="O2" s="3" t="s">
        <v>21</v>
      </c>
      <c r="P2" s="3" t="s">
        <v>22</v>
      </c>
      <c r="Q2" s="2" t="s">
        <v>5397</v>
      </c>
      <c r="R2" s="3" t="s">
        <v>23</v>
      </c>
    </row>
    <row r="3" spans="1:18" x14ac:dyDescent="0.25">
      <c r="A3" s="2">
        <v>21124</v>
      </c>
      <c r="B3" s="3" t="s">
        <v>24</v>
      </c>
      <c r="C3" s="2" t="s">
        <v>3588</v>
      </c>
      <c r="D3" s="2" t="s">
        <v>19</v>
      </c>
      <c r="E3" s="3" t="s">
        <v>14</v>
      </c>
      <c r="F3" s="3" t="s">
        <v>15</v>
      </c>
      <c r="G3" s="2" t="s">
        <v>4467</v>
      </c>
      <c r="H3" s="2" t="s">
        <v>4469</v>
      </c>
      <c r="I3" s="3" t="s">
        <v>16</v>
      </c>
      <c r="J3" s="3" t="s">
        <v>17</v>
      </c>
      <c r="K3" s="3" t="s">
        <v>25</v>
      </c>
      <c r="L3" s="3" t="s">
        <v>19</v>
      </c>
      <c r="M3" s="3" t="s">
        <v>20</v>
      </c>
      <c r="N3" s="2">
        <v>942</v>
      </c>
      <c r="O3" s="3" t="s">
        <v>21</v>
      </c>
      <c r="P3" s="3" t="s">
        <v>22</v>
      </c>
      <c r="Q3" s="2" t="s">
        <v>5398</v>
      </c>
      <c r="R3" s="3" t="s">
        <v>26</v>
      </c>
    </row>
    <row r="4" spans="1:18" x14ac:dyDescent="0.25">
      <c r="A4" s="2">
        <v>39733</v>
      </c>
      <c r="B4" s="3" t="s">
        <v>27</v>
      </c>
      <c r="C4" s="2" t="s">
        <v>3589</v>
      </c>
      <c r="D4" s="2" t="s">
        <v>19</v>
      </c>
      <c r="E4" s="3" t="s">
        <v>14</v>
      </c>
      <c r="F4" s="3" t="s">
        <v>15</v>
      </c>
      <c r="G4" s="2" t="s">
        <v>4467</v>
      </c>
      <c r="H4" s="2" t="s">
        <v>4470</v>
      </c>
      <c r="I4" s="3" t="s">
        <v>28</v>
      </c>
      <c r="J4" s="3" t="s">
        <v>29</v>
      </c>
      <c r="K4" s="3" t="s">
        <v>30</v>
      </c>
      <c r="L4" s="3" t="s">
        <v>19</v>
      </c>
      <c r="M4" s="3" t="s">
        <v>20</v>
      </c>
      <c r="N4" s="2">
        <v>942</v>
      </c>
      <c r="O4" s="3" t="s">
        <v>21</v>
      </c>
      <c r="P4" s="3" t="s">
        <v>22</v>
      </c>
      <c r="Q4" s="2" t="s">
        <v>5399</v>
      </c>
      <c r="R4" s="3" t="s">
        <v>31</v>
      </c>
    </row>
    <row r="5" spans="1:18" x14ac:dyDescent="0.25">
      <c r="A5" s="2">
        <v>39814</v>
      </c>
      <c r="B5" s="3" t="s">
        <v>32</v>
      </c>
      <c r="C5" s="2" t="s">
        <v>3590</v>
      </c>
      <c r="D5" s="2" t="s">
        <v>19</v>
      </c>
      <c r="E5" s="3" t="s">
        <v>14</v>
      </c>
      <c r="F5" s="3" t="s">
        <v>15</v>
      </c>
      <c r="G5" s="2" t="s">
        <v>4467</v>
      </c>
      <c r="H5" s="2" t="s">
        <v>4471</v>
      </c>
      <c r="I5" s="3" t="s">
        <v>28</v>
      </c>
      <c r="J5" s="3" t="s">
        <v>33</v>
      </c>
      <c r="K5" s="3" t="s">
        <v>34</v>
      </c>
      <c r="L5" s="3" t="s">
        <v>19</v>
      </c>
      <c r="M5" s="3" t="s">
        <v>20</v>
      </c>
      <c r="N5" s="2">
        <v>942</v>
      </c>
      <c r="O5" s="3" t="s">
        <v>21</v>
      </c>
      <c r="P5" s="3" t="s">
        <v>22</v>
      </c>
      <c r="Q5" s="2" t="s">
        <v>5400</v>
      </c>
      <c r="R5" s="3" t="s">
        <v>35</v>
      </c>
    </row>
    <row r="6" spans="1:18" x14ac:dyDescent="0.25">
      <c r="A6" s="2">
        <v>35019</v>
      </c>
      <c r="B6" s="3" t="s">
        <v>36</v>
      </c>
      <c r="C6" s="2" t="s">
        <v>3591</v>
      </c>
      <c r="D6" s="2" t="s">
        <v>19</v>
      </c>
      <c r="E6" s="3" t="s">
        <v>14</v>
      </c>
      <c r="F6" s="3" t="s">
        <v>15</v>
      </c>
      <c r="G6" s="2" t="s">
        <v>4467</v>
      </c>
      <c r="H6" s="2" t="s">
        <v>4472</v>
      </c>
      <c r="I6" s="3" t="s">
        <v>16</v>
      </c>
      <c r="J6" s="3" t="s">
        <v>37</v>
      </c>
      <c r="K6" s="3" t="s">
        <v>38</v>
      </c>
      <c r="L6" s="3" t="s">
        <v>19</v>
      </c>
      <c r="M6" s="3" t="s">
        <v>20</v>
      </c>
      <c r="N6" s="2">
        <v>942</v>
      </c>
      <c r="O6" s="3" t="s">
        <v>21</v>
      </c>
      <c r="P6" s="3" t="s">
        <v>22</v>
      </c>
      <c r="Q6" s="2" t="s">
        <v>5401</v>
      </c>
      <c r="R6" s="3" t="s">
        <v>39</v>
      </c>
    </row>
    <row r="7" spans="1:18" x14ac:dyDescent="0.25">
      <c r="A7" s="2">
        <v>36180</v>
      </c>
      <c r="B7" s="3" t="s">
        <v>40</v>
      </c>
      <c r="C7" s="2" t="s">
        <v>3592</v>
      </c>
      <c r="D7" s="2" t="s">
        <v>19</v>
      </c>
      <c r="E7" s="3" t="s">
        <v>14</v>
      </c>
      <c r="F7" s="3" t="s">
        <v>15</v>
      </c>
      <c r="G7" s="2" t="s">
        <v>4467</v>
      </c>
      <c r="H7" s="2" t="s">
        <v>4473</v>
      </c>
      <c r="I7" s="3" t="s">
        <v>16</v>
      </c>
      <c r="J7" s="3" t="s">
        <v>41</v>
      </c>
      <c r="K7" s="3" t="s">
        <v>42</v>
      </c>
      <c r="L7" s="3" t="s">
        <v>19</v>
      </c>
      <c r="M7" s="3" t="s">
        <v>20</v>
      </c>
      <c r="N7" s="2">
        <v>942</v>
      </c>
      <c r="O7" s="3" t="s">
        <v>21</v>
      </c>
      <c r="P7" s="3" t="s">
        <v>22</v>
      </c>
      <c r="Q7" s="2" t="s">
        <v>5402</v>
      </c>
      <c r="R7" s="3" t="s">
        <v>43</v>
      </c>
    </row>
    <row r="8" spans="1:18" x14ac:dyDescent="0.25">
      <c r="A8" s="2">
        <v>37447</v>
      </c>
      <c r="B8" s="3" t="s">
        <v>44</v>
      </c>
      <c r="C8" s="2" t="s">
        <v>3593</v>
      </c>
      <c r="D8" s="2" t="s">
        <v>19</v>
      </c>
      <c r="E8" s="3" t="s">
        <v>14</v>
      </c>
      <c r="F8" s="3" t="s">
        <v>15</v>
      </c>
      <c r="G8" s="2" t="s">
        <v>4467</v>
      </c>
      <c r="H8" s="2" t="s">
        <v>4474</v>
      </c>
      <c r="I8" s="3" t="s">
        <v>28</v>
      </c>
      <c r="J8" s="3" t="s">
        <v>45</v>
      </c>
      <c r="K8" s="3" t="s">
        <v>46</v>
      </c>
      <c r="L8" s="3" t="s">
        <v>19</v>
      </c>
      <c r="M8" s="3" t="s">
        <v>20</v>
      </c>
      <c r="N8" s="2">
        <v>942</v>
      </c>
      <c r="O8" s="3" t="s">
        <v>21</v>
      </c>
      <c r="P8" s="3" t="s">
        <v>22</v>
      </c>
      <c r="Q8" s="2" t="s">
        <v>5403</v>
      </c>
      <c r="R8" s="3" t="s">
        <v>47</v>
      </c>
    </row>
    <row r="9" spans="1:18" x14ac:dyDescent="0.25">
      <c r="A9" s="2">
        <v>16221</v>
      </c>
      <c r="B9" s="3" t="s">
        <v>48</v>
      </c>
      <c r="C9" s="2" t="s">
        <v>3594</v>
      </c>
      <c r="D9" s="2" t="s">
        <v>19</v>
      </c>
      <c r="E9" s="3" t="s">
        <v>14</v>
      </c>
      <c r="F9" s="3" t="s">
        <v>15</v>
      </c>
      <c r="G9" s="2" t="s">
        <v>4467</v>
      </c>
      <c r="H9" s="2" t="s">
        <v>4475</v>
      </c>
      <c r="I9" s="3" t="s">
        <v>16</v>
      </c>
      <c r="J9" s="3" t="s">
        <v>17</v>
      </c>
      <c r="K9" s="3" t="s">
        <v>49</v>
      </c>
      <c r="L9" s="3" t="s">
        <v>19</v>
      </c>
      <c r="M9" s="3" t="s">
        <v>20</v>
      </c>
      <c r="N9" s="2">
        <v>942</v>
      </c>
      <c r="O9" s="3" t="s">
        <v>21</v>
      </c>
      <c r="P9" s="3" t="s">
        <v>22</v>
      </c>
      <c r="Q9" s="2" t="s">
        <v>5404</v>
      </c>
      <c r="R9" s="3" t="s">
        <v>50</v>
      </c>
    </row>
    <row r="10" spans="1:18" x14ac:dyDescent="0.25">
      <c r="A10" s="2">
        <v>36367</v>
      </c>
      <c r="B10" s="3" t="s">
        <v>51</v>
      </c>
      <c r="C10" s="2" t="s">
        <v>3595</v>
      </c>
      <c r="D10" s="2" t="s">
        <v>19</v>
      </c>
      <c r="E10" s="3" t="s">
        <v>14</v>
      </c>
      <c r="F10" s="3" t="s">
        <v>15</v>
      </c>
      <c r="G10" s="2" t="s">
        <v>4467</v>
      </c>
      <c r="H10" s="2" t="s">
        <v>4476</v>
      </c>
      <c r="I10" s="3" t="s">
        <v>16</v>
      </c>
      <c r="J10" s="3" t="s">
        <v>52</v>
      </c>
      <c r="K10" s="3" t="s">
        <v>53</v>
      </c>
      <c r="L10" s="3" t="s">
        <v>19</v>
      </c>
      <c r="M10" s="3" t="s">
        <v>20</v>
      </c>
      <c r="N10" s="2">
        <v>942</v>
      </c>
      <c r="O10" s="3" t="s">
        <v>21</v>
      </c>
      <c r="P10" s="3" t="s">
        <v>22</v>
      </c>
      <c r="Q10" s="2" t="s">
        <v>5405</v>
      </c>
      <c r="R10" s="3" t="s">
        <v>54</v>
      </c>
    </row>
    <row r="11" spans="1:18" x14ac:dyDescent="0.25">
      <c r="A11" s="2">
        <v>31830</v>
      </c>
      <c r="B11" s="3" t="s">
        <v>55</v>
      </c>
      <c r="C11" s="2" t="s">
        <v>3596</v>
      </c>
      <c r="D11" s="2" t="s">
        <v>19</v>
      </c>
      <c r="E11" s="3" t="s">
        <v>14</v>
      </c>
      <c r="F11" s="3" t="s">
        <v>15</v>
      </c>
      <c r="G11" s="2" t="s">
        <v>4467</v>
      </c>
      <c r="H11" s="2" t="s">
        <v>4477</v>
      </c>
      <c r="I11" s="3" t="s">
        <v>16</v>
      </c>
      <c r="J11" s="3" t="s">
        <v>29</v>
      </c>
      <c r="K11" s="3" t="s">
        <v>56</v>
      </c>
      <c r="L11" s="3" t="s">
        <v>19</v>
      </c>
      <c r="M11" s="3" t="s">
        <v>20</v>
      </c>
      <c r="N11" s="2">
        <v>942</v>
      </c>
      <c r="O11" s="3" t="s">
        <v>21</v>
      </c>
      <c r="P11" s="3" t="s">
        <v>22</v>
      </c>
      <c r="Q11" s="2" t="s">
        <v>5406</v>
      </c>
      <c r="R11" s="3" t="s">
        <v>57</v>
      </c>
    </row>
    <row r="12" spans="1:18" x14ac:dyDescent="0.25">
      <c r="A12" s="2">
        <v>24759</v>
      </c>
      <c r="B12" s="3" t="s">
        <v>58</v>
      </c>
      <c r="C12" s="2" t="s">
        <v>3597</v>
      </c>
      <c r="D12" s="2" t="s">
        <v>19</v>
      </c>
      <c r="E12" s="3" t="s">
        <v>14</v>
      </c>
      <c r="F12" s="3" t="s">
        <v>15</v>
      </c>
      <c r="G12" s="2" t="s">
        <v>4467</v>
      </c>
      <c r="H12" s="2" t="s">
        <v>4478</v>
      </c>
      <c r="I12" s="3" t="s">
        <v>16</v>
      </c>
      <c r="J12" s="3" t="s">
        <v>45</v>
      </c>
      <c r="K12" s="3" t="s">
        <v>59</v>
      </c>
      <c r="L12" s="3" t="s">
        <v>19</v>
      </c>
      <c r="M12" s="3" t="s">
        <v>20</v>
      </c>
      <c r="N12" s="2">
        <v>942</v>
      </c>
      <c r="O12" s="3" t="s">
        <v>21</v>
      </c>
      <c r="P12" s="3" t="s">
        <v>22</v>
      </c>
      <c r="Q12" s="2" t="s">
        <v>5407</v>
      </c>
      <c r="R12" s="3" t="s">
        <v>60</v>
      </c>
    </row>
    <row r="13" spans="1:18" x14ac:dyDescent="0.25">
      <c r="A13" s="2">
        <v>22236</v>
      </c>
      <c r="B13" s="3" t="s">
        <v>61</v>
      </c>
      <c r="C13" s="2" t="s">
        <v>3598</v>
      </c>
      <c r="D13" s="2" t="s">
        <v>19</v>
      </c>
      <c r="E13" s="3" t="s">
        <v>14</v>
      </c>
      <c r="F13" s="3" t="s">
        <v>15</v>
      </c>
      <c r="G13" s="2" t="s">
        <v>4467</v>
      </c>
      <c r="H13" s="2" t="s">
        <v>4479</v>
      </c>
      <c r="I13" s="3" t="s">
        <v>16</v>
      </c>
      <c r="J13" s="3" t="s">
        <v>62</v>
      </c>
      <c r="K13" s="3" t="s">
        <v>63</v>
      </c>
      <c r="L13" s="3" t="s">
        <v>19</v>
      </c>
      <c r="M13" s="3" t="s">
        <v>20</v>
      </c>
      <c r="N13" s="2">
        <v>942</v>
      </c>
      <c r="O13" s="3" t="s">
        <v>21</v>
      </c>
      <c r="P13" s="3" t="s">
        <v>22</v>
      </c>
      <c r="Q13" s="2" t="s">
        <v>5408</v>
      </c>
      <c r="R13" s="3" t="s">
        <v>64</v>
      </c>
    </row>
    <row r="14" spans="1:18" x14ac:dyDescent="0.25">
      <c r="A14" s="2">
        <v>18961</v>
      </c>
      <c r="B14" s="3" t="s">
        <v>65</v>
      </c>
      <c r="C14" s="2" t="s">
        <v>3599</v>
      </c>
      <c r="D14" s="2" t="s">
        <v>19</v>
      </c>
      <c r="E14" s="3" t="s">
        <v>14</v>
      </c>
      <c r="F14" s="3" t="s">
        <v>15</v>
      </c>
      <c r="G14" s="2" t="s">
        <v>4467</v>
      </c>
      <c r="H14" s="2" t="s">
        <v>4480</v>
      </c>
      <c r="I14" s="3" t="s">
        <v>16</v>
      </c>
      <c r="J14" s="3" t="s">
        <v>66</v>
      </c>
      <c r="K14" s="3" t="s">
        <v>67</v>
      </c>
      <c r="L14" s="3" t="s">
        <v>19</v>
      </c>
      <c r="M14" s="3" t="s">
        <v>20</v>
      </c>
      <c r="N14" s="2">
        <v>942</v>
      </c>
      <c r="O14" s="3" t="s">
        <v>21</v>
      </c>
      <c r="P14" s="3" t="s">
        <v>22</v>
      </c>
      <c r="Q14" s="2" t="s">
        <v>5409</v>
      </c>
      <c r="R14" s="3" t="s">
        <v>68</v>
      </c>
    </row>
    <row r="15" spans="1:18" x14ac:dyDescent="0.25">
      <c r="A15" s="2">
        <v>25311</v>
      </c>
      <c r="B15" s="3" t="s">
        <v>69</v>
      </c>
      <c r="C15" s="2" t="s">
        <v>3600</v>
      </c>
      <c r="D15" s="2" t="s">
        <v>19</v>
      </c>
      <c r="E15" s="3" t="s">
        <v>14</v>
      </c>
      <c r="F15" s="3" t="s">
        <v>15</v>
      </c>
      <c r="G15" s="2" t="s">
        <v>4467</v>
      </c>
      <c r="H15" s="2" t="s">
        <v>4481</v>
      </c>
      <c r="I15" s="3" t="s">
        <v>16</v>
      </c>
      <c r="J15" s="3" t="s">
        <v>70</v>
      </c>
      <c r="K15" s="3" t="s">
        <v>71</v>
      </c>
      <c r="L15" s="3" t="s">
        <v>19</v>
      </c>
      <c r="M15" s="3" t="s">
        <v>20</v>
      </c>
      <c r="N15" s="2">
        <v>942</v>
      </c>
      <c r="O15" s="3" t="s">
        <v>21</v>
      </c>
      <c r="P15" s="3" t="s">
        <v>22</v>
      </c>
      <c r="Q15" s="2" t="s">
        <v>5410</v>
      </c>
      <c r="R15" s="3" t="s">
        <v>72</v>
      </c>
    </row>
    <row r="16" spans="1:18" x14ac:dyDescent="0.25">
      <c r="A16" s="2">
        <v>39611</v>
      </c>
      <c r="B16" s="3" t="s">
        <v>73</v>
      </c>
      <c r="C16" s="2" t="s">
        <v>3601</v>
      </c>
      <c r="D16" s="2" t="s">
        <v>19</v>
      </c>
      <c r="E16" s="3" t="s">
        <v>14</v>
      </c>
      <c r="F16" s="3" t="s">
        <v>15</v>
      </c>
      <c r="G16" s="2" t="s">
        <v>4467</v>
      </c>
      <c r="H16" s="2" t="s">
        <v>4482</v>
      </c>
      <c r="I16" s="3" t="s">
        <v>28</v>
      </c>
      <c r="J16" s="3" t="s">
        <v>74</v>
      </c>
      <c r="K16" s="3" t="s">
        <v>75</v>
      </c>
      <c r="L16" s="3" t="s">
        <v>19</v>
      </c>
      <c r="M16" s="3" t="s">
        <v>20</v>
      </c>
      <c r="N16" s="2">
        <v>942</v>
      </c>
      <c r="O16" s="3" t="s">
        <v>21</v>
      </c>
      <c r="P16" s="3" t="s">
        <v>22</v>
      </c>
      <c r="Q16" s="2" t="s">
        <v>5411</v>
      </c>
      <c r="R16" s="3" t="s">
        <v>76</v>
      </c>
    </row>
    <row r="17" spans="1:18" x14ac:dyDescent="0.25">
      <c r="A17" s="2">
        <v>41116</v>
      </c>
      <c r="B17" s="3" t="s">
        <v>77</v>
      </c>
      <c r="C17" s="2" t="s">
        <v>3602</v>
      </c>
      <c r="D17" s="2" t="s">
        <v>19</v>
      </c>
      <c r="E17" s="3" t="s">
        <v>14</v>
      </c>
      <c r="F17" s="3" t="s">
        <v>15</v>
      </c>
      <c r="G17" s="2" t="s">
        <v>4467</v>
      </c>
      <c r="H17" s="2" t="s">
        <v>4483</v>
      </c>
      <c r="I17" s="3" t="s">
        <v>16</v>
      </c>
      <c r="J17" s="3" t="s">
        <v>78</v>
      </c>
      <c r="K17" s="3" t="s">
        <v>79</v>
      </c>
      <c r="L17" s="3" t="s">
        <v>19</v>
      </c>
      <c r="M17" s="3" t="s">
        <v>20</v>
      </c>
      <c r="N17" s="2">
        <v>942</v>
      </c>
      <c r="O17" s="3" t="s">
        <v>21</v>
      </c>
      <c r="P17" s="3" t="s">
        <v>22</v>
      </c>
      <c r="Q17" s="2" t="s">
        <v>5412</v>
      </c>
      <c r="R17" s="3" t="s">
        <v>80</v>
      </c>
    </row>
    <row r="18" spans="1:18" x14ac:dyDescent="0.25">
      <c r="A18" s="2">
        <v>40685</v>
      </c>
      <c r="B18" s="3" t="s">
        <v>81</v>
      </c>
      <c r="C18" s="2" t="s">
        <v>3603</v>
      </c>
      <c r="D18" s="2" t="s">
        <v>19</v>
      </c>
      <c r="E18" s="3" t="s">
        <v>14</v>
      </c>
      <c r="F18" s="3" t="s">
        <v>15</v>
      </c>
      <c r="G18" s="2" t="s">
        <v>4467</v>
      </c>
      <c r="H18" s="2" t="s">
        <v>4484</v>
      </c>
      <c r="I18" s="3" t="s">
        <v>16</v>
      </c>
      <c r="J18" s="3" t="s">
        <v>82</v>
      </c>
      <c r="K18" s="3" t="s">
        <v>83</v>
      </c>
      <c r="L18" s="3" t="s">
        <v>19</v>
      </c>
      <c r="M18" s="3" t="s">
        <v>20</v>
      </c>
      <c r="N18" s="2">
        <v>942</v>
      </c>
      <c r="O18" s="3" t="s">
        <v>21</v>
      </c>
      <c r="P18" s="3" t="s">
        <v>22</v>
      </c>
      <c r="Q18" s="2" t="s">
        <v>5413</v>
      </c>
      <c r="R18" s="3" t="s">
        <v>84</v>
      </c>
    </row>
    <row r="19" spans="1:18" x14ac:dyDescent="0.25">
      <c r="A19" s="2">
        <v>37676</v>
      </c>
      <c r="B19" s="3" t="s">
        <v>85</v>
      </c>
      <c r="C19" s="2" t="s">
        <v>3604</v>
      </c>
      <c r="D19" s="2" t="s">
        <v>19</v>
      </c>
      <c r="E19" s="3" t="s">
        <v>14</v>
      </c>
      <c r="F19" s="3" t="s">
        <v>86</v>
      </c>
      <c r="G19" s="2" t="s">
        <v>4485</v>
      </c>
      <c r="H19" s="2" t="s">
        <v>4486</v>
      </c>
      <c r="I19" s="3" t="s">
        <v>87</v>
      </c>
      <c r="J19" s="3" t="s">
        <v>88</v>
      </c>
      <c r="K19" s="3" t="s">
        <v>89</v>
      </c>
      <c r="L19" s="3" t="s">
        <v>19</v>
      </c>
      <c r="M19" s="3" t="s">
        <v>20</v>
      </c>
      <c r="N19" s="2">
        <v>1023</v>
      </c>
      <c r="O19" s="3" t="s">
        <v>21</v>
      </c>
      <c r="P19" s="3" t="s">
        <v>22</v>
      </c>
      <c r="Q19" s="2" t="s">
        <v>5414</v>
      </c>
      <c r="R19" s="3" t="s">
        <v>90</v>
      </c>
    </row>
    <row r="20" spans="1:18" x14ac:dyDescent="0.25">
      <c r="A20" s="2">
        <v>27111</v>
      </c>
      <c r="B20" s="3" t="s">
        <v>91</v>
      </c>
      <c r="C20" s="2" t="s">
        <v>3605</v>
      </c>
      <c r="D20" s="2" t="s">
        <v>19</v>
      </c>
      <c r="E20" s="3" t="s">
        <v>14</v>
      </c>
      <c r="F20" s="3" t="s">
        <v>86</v>
      </c>
      <c r="G20" s="2" t="s">
        <v>4467</v>
      </c>
      <c r="H20" s="2" t="s">
        <v>4487</v>
      </c>
      <c r="I20" s="3" t="s">
        <v>92</v>
      </c>
      <c r="J20" s="3" t="s">
        <v>93</v>
      </c>
      <c r="K20" s="3" t="s">
        <v>94</v>
      </c>
      <c r="L20" s="3" t="s">
        <v>19</v>
      </c>
      <c r="M20" s="3" t="s">
        <v>95</v>
      </c>
      <c r="N20" s="2">
        <v>1023</v>
      </c>
      <c r="O20" s="3" t="s">
        <v>96</v>
      </c>
      <c r="P20" s="3" t="s">
        <v>97</v>
      </c>
      <c r="Q20" s="2" t="s">
        <v>5415</v>
      </c>
      <c r="R20" s="3" t="s">
        <v>98</v>
      </c>
    </row>
    <row r="21" spans="1:18" x14ac:dyDescent="0.25">
      <c r="A21" s="2">
        <v>24513</v>
      </c>
      <c r="B21" s="3" t="s">
        <v>99</v>
      </c>
      <c r="C21" s="2" t="s">
        <v>3606</v>
      </c>
      <c r="D21" s="2" t="s">
        <v>19</v>
      </c>
      <c r="E21" s="3" t="s">
        <v>14</v>
      </c>
      <c r="F21" s="3" t="s">
        <v>86</v>
      </c>
      <c r="G21" s="2" t="s">
        <v>4485</v>
      </c>
      <c r="H21" s="2" t="s">
        <v>4488</v>
      </c>
      <c r="I21" s="3" t="s">
        <v>100</v>
      </c>
      <c r="J21" s="3" t="s">
        <v>101</v>
      </c>
      <c r="K21" s="3" t="s">
        <v>102</v>
      </c>
      <c r="L21" s="3" t="s">
        <v>19</v>
      </c>
      <c r="M21" s="3" t="s">
        <v>20</v>
      </c>
      <c r="N21" s="2">
        <v>1023</v>
      </c>
      <c r="O21" s="3" t="s">
        <v>21</v>
      </c>
      <c r="P21" s="3" t="s">
        <v>22</v>
      </c>
      <c r="Q21" s="2" t="s">
        <v>5416</v>
      </c>
      <c r="R21" s="3" t="s">
        <v>103</v>
      </c>
    </row>
    <row r="22" spans="1:18" x14ac:dyDescent="0.25">
      <c r="A22" s="2">
        <v>13310</v>
      </c>
      <c r="B22" s="3" t="s">
        <v>104</v>
      </c>
      <c r="C22" s="2" t="s">
        <v>3607</v>
      </c>
      <c r="D22" s="2" t="s">
        <v>19</v>
      </c>
      <c r="E22" s="3" t="s">
        <v>14</v>
      </c>
      <c r="F22" s="3" t="s">
        <v>86</v>
      </c>
      <c r="G22" s="2" t="s">
        <v>4485</v>
      </c>
      <c r="H22" s="2" t="s">
        <v>4489</v>
      </c>
      <c r="I22" s="3" t="s">
        <v>87</v>
      </c>
      <c r="J22" s="3" t="s">
        <v>105</v>
      </c>
      <c r="K22" s="3" t="s">
        <v>106</v>
      </c>
      <c r="L22" s="3" t="s">
        <v>19</v>
      </c>
      <c r="M22" s="3" t="s">
        <v>20</v>
      </c>
      <c r="N22" s="2">
        <v>1023</v>
      </c>
      <c r="O22" s="3" t="s">
        <v>21</v>
      </c>
      <c r="P22" s="3" t="s">
        <v>22</v>
      </c>
      <c r="Q22" s="2" t="s">
        <v>5417</v>
      </c>
      <c r="R22" s="3" t="s">
        <v>107</v>
      </c>
    </row>
    <row r="23" spans="1:18" x14ac:dyDescent="0.25">
      <c r="A23" s="2">
        <v>15668</v>
      </c>
      <c r="B23" s="3" t="s">
        <v>108</v>
      </c>
      <c r="C23" s="2" t="s">
        <v>3608</v>
      </c>
      <c r="D23" s="2" t="s">
        <v>19</v>
      </c>
      <c r="E23" s="3" t="s">
        <v>14</v>
      </c>
      <c r="F23" s="3" t="s">
        <v>86</v>
      </c>
      <c r="G23" s="2" t="s">
        <v>4485</v>
      </c>
      <c r="H23" s="2" t="s">
        <v>4490</v>
      </c>
      <c r="I23" s="3" t="s">
        <v>109</v>
      </c>
      <c r="J23" s="3" t="s">
        <v>110</v>
      </c>
      <c r="K23" s="3" t="s">
        <v>111</v>
      </c>
      <c r="L23" s="3" t="s">
        <v>19</v>
      </c>
      <c r="M23" s="3" t="s">
        <v>95</v>
      </c>
      <c r="N23" s="2">
        <v>1023</v>
      </c>
      <c r="O23" s="3" t="s">
        <v>96</v>
      </c>
      <c r="P23" s="3" t="s">
        <v>97</v>
      </c>
      <c r="Q23" s="2" t="s">
        <v>5418</v>
      </c>
      <c r="R23" s="3" t="s">
        <v>112</v>
      </c>
    </row>
    <row r="24" spans="1:18" x14ac:dyDescent="0.25">
      <c r="A24" s="2">
        <v>14028</v>
      </c>
      <c r="B24" s="3" t="s">
        <v>113</v>
      </c>
      <c r="C24" s="2" t="s">
        <v>3609</v>
      </c>
      <c r="D24" s="2" t="s">
        <v>19</v>
      </c>
      <c r="E24" s="3" t="s">
        <v>14</v>
      </c>
      <c r="F24" s="3" t="s">
        <v>86</v>
      </c>
      <c r="G24" s="2" t="s">
        <v>4485</v>
      </c>
      <c r="H24" s="2" t="s">
        <v>4491</v>
      </c>
      <c r="I24" s="3" t="s">
        <v>87</v>
      </c>
      <c r="J24" s="3" t="s">
        <v>88</v>
      </c>
      <c r="K24" s="3" t="s">
        <v>114</v>
      </c>
      <c r="L24" s="3" t="s">
        <v>19</v>
      </c>
      <c r="M24" s="3" t="s">
        <v>20</v>
      </c>
      <c r="N24" s="2">
        <v>1023</v>
      </c>
      <c r="O24" s="3" t="s">
        <v>21</v>
      </c>
      <c r="P24" s="3" t="s">
        <v>22</v>
      </c>
      <c r="Q24" s="2" t="s">
        <v>5419</v>
      </c>
      <c r="R24" s="3" t="s">
        <v>115</v>
      </c>
    </row>
    <row r="25" spans="1:18" x14ac:dyDescent="0.25">
      <c r="A25" s="2">
        <v>37202</v>
      </c>
      <c r="B25" s="3" t="s">
        <v>116</v>
      </c>
      <c r="C25" s="2" t="s">
        <v>3610</v>
      </c>
      <c r="D25" s="2" t="s">
        <v>19</v>
      </c>
      <c r="E25" s="3" t="s">
        <v>14</v>
      </c>
      <c r="F25" s="3" t="s">
        <v>86</v>
      </c>
      <c r="G25" s="2" t="s">
        <v>4485</v>
      </c>
      <c r="H25" s="2" t="s">
        <v>4492</v>
      </c>
      <c r="I25" s="3" t="s">
        <v>87</v>
      </c>
      <c r="J25" s="3" t="s">
        <v>117</v>
      </c>
      <c r="K25" s="3" t="s">
        <v>118</v>
      </c>
      <c r="L25" s="3" t="s">
        <v>19</v>
      </c>
      <c r="M25" s="3" t="s">
        <v>20</v>
      </c>
      <c r="N25" s="2">
        <v>1023</v>
      </c>
      <c r="O25" s="3" t="s">
        <v>21</v>
      </c>
      <c r="P25" s="3" t="s">
        <v>22</v>
      </c>
      <c r="Q25" s="2" t="s">
        <v>5420</v>
      </c>
      <c r="R25" s="3" t="s">
        <v>119</v>
      </c>
    </row>
    <row r="26" spans="1:18" x14ac:dyDescent="0.25">
      <c r="A26" s="2">
        <v>38239</v>
      </c>
      <c r="B26" s="3" t="s">
        <v>120</v>
      </c>
      <c r="C26" s="2" t="s">
        <v>3611</v>
      </c>
      <c r="D26" s="2" t="s">
        <v>19</v>
      </c>
      <c r="E26" s="3" t="s">
        <v>14</v>
      </c>
      <c r="F26" s="3" t="s">
        <v>86</v>
      </c>
      <c r="G26" s="2" t="s">
        <v>4485</v>
      </c>
      <c r="H26" s="2" t="s">
        <v>4493</v>
      </c>
      <c r="I26" s="3" t="s">
        <v>121</v>
      </c>
      <c r="J26" s="3" t="s">
        <v>122</v>
      </c>
      <c r="K26" s="3" t="s">
        <v>123</v>
      </c>
      <c r="L26" s="3" t="s">
        <v>19</v>
      </c>
      <c r="M26" s="3" t="s">
        <v>20</v>
      </c>
      <c r="N26" s="2">
        <v>1023</v>
      </c>
      <c r="O26" s="3" t="s">
        <v>21</v>
      </c>
      <c r="P26" s="3" t="s">
        <v>22</v>
      </c>
      <c r="Q26" s="2" t="s">
        <v>5421</v>
      </c>
      <c r="R26" s="3" t="s">
        <v>124</v>
      </c>
    </row>
    <row r="27" spans="1:18" x14ac:dyDescent="0.25">
      <c r="A27" s="2">
        <v>3211</v>
      </c>
      <c r="B27" s="3" t="s">
        <v>125</v>
      </c>
      <c r="C27" s="2" t="s">
        <v>3612</v>
      </c>
      <c r="D27" s="2" t="s">
        <v>19</v>
      </c>
      <c r="E27" s="3" t="s">
        <v>14</v>
      </c>
      <c r="F27" s="3" t="s">
        <v>86</v>
      </c>
      <c r="G27" s="2" t="s">
        <v>4485</v>
      </c>
      <c r="H27" s="2" t="s">
        <v>4494</v>
      </c>
      <c r="I27" s="3" t="s">
        <v>87</v>
      </c>
      <c r="J27" s="3" t="s">
        <v>88</v>
      </c>
      <c r="K27" s="3" t="s">
        <v>126</v>
      </c>
      <c r="L27" s="3" t="s">
        <v>19</v>
      </c>
      <c r="M27" s="3" t="s">
        <v>20</v>
      </c>
      <c r="N27" s="2">
        <v>1023</v>
      </c>
      <c r="O27" s="3" t="s">
        <v>21</v>
      </c>
      <c r="P27" s="3" t="s">
        <v>22</v>
      </c>
      <c r="Q27" s="2" t="s">
        <v>5422</v>
      </c>
      <c r="R27" s="3" t="s">
        <v>127</v>
      </c>
    </row>
    <row r="28" spans="1:18" x14ac:dyDescent="0.25">
      <c r="A28" s="2">
        <v>40768</v>
      </c>
      <c r="B28" s="3" t="s">
        <v>128</v>
      </c>
      <c r="C28" s="2" t="s">
        <v>3613</v>
      </c>
      <c r="D28" s="2" t="s">
        <v>19</v>
      </c>
      <c r="E28" s="3" t="s">
        <v>14</v>
      </c>
      <c r="F28" s="3" t="s">
        <v>86</v>
      </c>
      <c r="G28" s="2" t="s">
        <v>4485</v>
      </c>
      <c r="H28" s="2" t="s">
        <v>4495</v>
      </c>
      <c r="I28" s="3" t="s">
        <v>100</v>
      </c>
      <c r="J28" s="3" t="s">
        <v>129</v>
      </c>
      <c r="K28" s="3" t="s">
        <v>130</v>
      </c>
      <c r="L28" s="3" t="s">
        <v>19</v>
      </c>
      <c r="M28" s="3" t="s">
        <v>20</v>
      </c>
      <c r="N28" s="2">
        <v>1023</v>
      </c>
      <c r="O28" s="3" t="s">
        <v>21</v>
      </c>
      <c r="P28" s="3" t="s">
        <v>22</v>
      </c>
      <c r="Q28" s="2" t="s">
        <v>5423</v>
      </c>
      <c r="R28" s="3" t="s">
        <v>131</v>
      </c>
    </row>
    <row r="29" spans="1:18" x14ac:dyDescent="0.25">
      <c r="A29" s="2">
        <v>37974</v>
      </c>
      <c r="B29" s="3" t="s">
        <v>132</v>
      </c>
      <c r="C29" s="2" t="s">
        <v>3614</v>
      </c>
      <c r="D29" s="2" t="s">
        <v>19</v>
      </c>
      <c r="E29" s="3" t="s">
        <v>14</v>
      </c>
      <c r="F29" s="3" t="s">
        <v>86</v>
      </c>
      <c r="G29" s="2" t="s">
        <v>4485</v>
      </c>
      <c r="H29" s="2" t="s">
        <v>4496</v>
      </c>
      <c r="I29" s="3" t="s">
        <v>121</v>
      </c>
      <c r="J29" s="3" t="s">
        <v>133</v>
      </c>
      <c r="K29" s="3" t="s">
        <v>134</v>
      </c>
      <c r="L29" s="3" t="s">
        <v>19</v>
      </c>
      <c r="M29" s="3" t="s">
        <v>20</v>
      </c>
      <c r="N29" s="2">
        <v>1023</v>
      </c>
      <c r="O29" s="3" t="s">
        <v>21</v>
      </c>
      <c r="P29" s="3" t="s">
        <v>22</v>
      </c>
      <c r="Q29" s="2" t="s">
        <v>5424</v>
      </c>
      <c r="R29" s="3" t="s">
        <v>135</v>
      </c>
    </row>
    <row r="30" spans="1:18" x14ac:dyDescent="0.25">
      <c r="A30" s="2">
        <v>35859</v>
      </c>
      <c r="B30" s="3" t="s">
        <v>136</v>
      </c>
      <c r="C30" s="2" t="s">
        <v>3615</v>
      </c>
      <c r="D30" s="2" t="s">
        <v>19</v>
      </c>
      <c r="E30" s="3" t="s">
        <v>14</v>
      </c>
      <c r="F30" s="3" t="s">
        <v>86</v>
      </c>
      <c r="G30" s="2" t="s">
        <v>4497</v>
      </c>
      <c r="H30" s="2" t="s">
        <v>4498</v>
      </c>
      <c r="I30" s="3" t="s">
        <v>137</v>
      </c>
      <c r="J30" s="3" t="s">
        <v>138</v>
      </c>
      <c r="K30" s="3" t="s">
        <v>139</v>
      </c>
      <c r="L30" s="3" t="s">
        <v>19</v>
      </c>
      <c r="M30" s="3" t="s">
        <v>95</v>
      </c>
      <c r="N30" s="2">
        <v>1023</v>
      </c>
      <c r="O30" s="3" t="s">
        <v>96</v>
      </c>
      <c r="P30" s="3" t="s">
        <v>97</v>
      </c>
      <c r="Q30" s="2" t="s">
        <v>5425</v>
      </c>
      <c r="R30" s="3" t="s">
        <v>140</v>
      </c>
    </row>
    <row r="31" spans="1:18" x14ac:dyDescent="0.25">
      <c r="A31" s="2">
        <v>36004</v>
      </c>
      <c r="B31" s="3" t="s">
        <v>141</v>
      </c>
      <c r="C31" s="2" t="s">
        <v>3616</v>
      </c>
      <c r="D31" s="2" t="s">
        <v>19</v>
      </c>
      <c r="E31" s="3" t="s">
        <v>14</v>
      </c>
      <c r="F31" s="3" t="s">
        <v>86</v>
      </c>
      <c r="G31" s="2" t="s">
        <v>4485</v>
      </c>
      <c r="H31" s="2" t="s">
        <v>4499</v>
      </c>
      <c r="I31" s="3" t="s">
        <v>142</v>
      </c>
      <c r="J31" s="3" t="s">
        <v>143</v>
      </c>
      <c r="K31" s="3" t="s">
        <v>144</v>
      </c>
      <c r="L31" s="3" t="s">
        <v>19</v>
      </c>
      <c r="M31" s="3" t="s">
        <v>95</v>
      </c>
      <c r="N31" s="2">
        <v>1023</v>
      </c>
      <c r="O31" s="3" t="s">
        <v>96</v>
      </c>
      <c r="P31" s="3" t="s">
        <v>97</v>
      </c>
      <c r="Q31" s="2" t="s">
        <v>5426</v>
      </c>
      <c r="R31" s="3" t="s">
        <v>145</v>
      </c>
    </row>
    <row r="32" spans="1:18" x14ac:dyDescent="0.25">
      <c r="A32" s="2">
        <v>15322</v>
      </c>
      <c r="B32" s="3" t="s">
        <v>146</v>
      </c>
      <c r="C32" s="2" t="s">
        <v>3617</v>
      </c>
      <c r="D32" s="2" t="s">
        <v>19</v>
      </c>
      <c r="E32" s="3" t="s">
        <v>14</v>
      </c>
      <c r="F32" s="3" t="s">
        <v>86</v>
      </c>
      <c r="G32" s="2" t="s">
        <v>4485</v>
      </c>
      <c r="H32" s="2" t="s">
        <v>4500</v>
      </c>
      <c r="I32" s="3" t="s">
        <v>147</v>
      </c>
      <c r="J32" s="3" t="s">
        <v>138</v>
      </c>
      <c r="K32" s="3" t="s">
        <v>148</v>
      </c>
      <c r="L32" s="3" t="s">
        <v>19</v>
      </c>
      <c r="M32" s="3" t="s">
        <v>95</v>
      </c>
      <c r="N32" s="2">
        <v>1023</v>
      </c>
      <c r="O32" s="3" t="s">
        <v>96</v>
      </c>
      <c r="P32" s="3" t="s">
        <v>97</v>
      </c>
      <c r="Q32" s="2" t="s">
        <v>5427</v>
      </c>
      <c r="R32" s="3" t="s">
        <v>149</v>
      </c>
    </row>
    <row r="33" spans="1:18" x14ac:dyDescent="0.25">
      <c r="A33" s="2">
        <v>22777</v>
      </c>
      <c r="B33" s="3" t="s">
        <v>150</v>
      </c>
      <c r="C33" s="2" t="s">
        <v>3618</v>
      </c>
      <c r="D33" s="2" t="s">
        <v>19</v>
      </c>
      <c r="E33" s="3" t="s">
        <v>14</v>
      </c>
      <c r="F33" s="3" t="s">
        <v>86</v>
      </c>
      <c r="G33" s="2" t="s">
        <v>4485</v>
      </c>
      <c r="H33" s="2" t="s">
        <v>4501</v>
      </c>
      <c r="I33" s="3" t="s">
        <v>100</v>
      </c>
      <c r="J33" s="3" t="s">
        <v>151</v>
      </c>
      <c r="K33" s="3" t="s">
        <v>152</v>
      </c>
      <c r="L33" s="3" t="s">
        <v>19</v>
      </c>
      <c r="M33" s="3" t="s">
        <v>20</v>
      </c>
      <c r="N33" s="2">
        <v>1023</v>
      </c>
      <c r="O33" s="3" t="s">
        <v>21</v>
      </c>
      <c r="P33" s="3" t="s">
        <v>22</v>
      </c>
      <c r="Q33" s="2" t="s">
        <v>5428</v>
      </c>
      <c r="R33" s="3" t="s">
        <v>153</v>
      </c>
    </row>
    <row r="34" spans="1:18" x14ac:dyDescent="0.25">
      <c r="A34" s="2">
        <v>36316</v>
      </c>
      <c r="B34" s="3" t="s">
        <v>154</v>
      </c>
      <c r="C34" s="2" t="s">
        <v>3619</v>
      </c>
      <c r="D34" s="2" t="s">
        <v>19</v>
      </c>
      <c r="E34" s="3" t="s">
        <v>14</v>
      </c>
      <c r="F34" s="3" t="s">
        <v>86</v>
      </c>
      <c r="G34" s="2" t="s">
        <v>4485</v>
      </c>
      <c r="H34" s="2" t="s">
        <v>4502</v>
      </c>
      <c r="I34" s="3" t="s">
        <v>121</v>
      </c>
      <c r="J34" s="3" t="s">
        <v>155</v>
      </c>
      <c r="K34" s="3" t="s">
        <v>156</v>
      </c>
      <c r="L34" s="3" t="s">
        <v>19</v>
      </c>
      <c r="M34" s="3" t="s">
        <v>20</v>
      </c>
      <c r="N34" s="2">
        <v>1023</v>
      </c>
      <c r="O34" s="3" t="s">
        <v>21</v>
      </c>
      <c r="P34" s="3" t="s">
        <v>22</v>
      </c>
      <c r="Q34" s="2" t="s">
        <v>5429</v>
      </c>
      <c r="R34" s="3" t="s">
        <v>157</v>
      </c>
    </row>
    <row r="35" spans="1:18" x14ac:dyDescent="0.25">
      <c r="A35" s="2">
        <v>25263</v>
      </c>
      <c r="B35" s="3" t="s">
        <v>158</v>
      </c>
      <c r="C35" s="2" t="s">
        <v>3620</v>
      </c>
      <c r="D35" s="2" t="s">
        <v>19</v>
      </c>
      <c r="E35" s="3" t="s">
        <v>14</v>
      </c>
      <c r="F35" s="3" t="s">
        <v>86</v>
      </c>
      <c r="G35" s="2" t="s">
        <v>4485</v>
      </c>
      <c r="H35" s="2" t="s">
        <v>4503</v>
      </c>
      <c r="I35" s="3" t="s">
        <v>109</v>
      </c>
      <c r="J35" s="3" t="s">
        <v>159</v>
      </c>
      <c r="K35" s="3" t="s">
        <v>160</v>
      </c>
      <c r="L35" s="3" t="s">
        <v>19</v>
      </c>
      <c r="M35" s="3" t="s">
        <v>95</v>
      </c>
      <c r="N35" s="2">
        <v>1023</v>
      </c>
      <c r="O35" s="3" t="s">
        <v>96</v>
      </c>
      <c r="P35" s="3" t="s">
        <v>97</v>
      </c>
      <c r="Q35" s="2" t="s">
        <v>5430</v>
      </c>
      <c r="R35" s="3" t="s">
        <v>161</v>
      </c>
    </row>
    <row r="36" spans="1:18" x14ac:dyDescent="0.25">
      <c r="A36" s="2">
        <v>7068</v>
      </c>
      <c r="B36" s="3" t="s">
        <v>162</v>
      </c>
      <c r="C36" s="2" t="s">
        <v>3621</v>
      </c>
      <c r="D36" s="2" t="s">
        <v>19</v>
      </c>
      <c r="E36" s="3" t="s">
        <v>14</v>
      </c>
      <c r="F36" s="3" t="s">
        <v>86</v>
      </c>
      <c r="G36" s="2" t="s">
        <v>4485</v>
      </c>
      <c r="H36" s="2" t="s">
        <v>4504</v>
      </c>
      <c r="I36" s="3" t="s">
        <v>163</v>
      </c>
      <c r="J36" s="3" t="s">
        <v>88</v>
      </c>
      <c r="K36" s="3" t="s">
        <v>164</v>
      </c>
      <c r="L36" s="3" t="s">
        <v>19</v>
      </c>
      <c r="M36" s="3" t="s">
        <v>95</v>
      </c>
      <c r="N36" s="2">
        <v>1023</v>
      </c>
      <c r="O36" s="3" t="s">
        <v>96</v>
      </c>
      <c r="P36" s="3" t="s">
        <v>97</v>
      </c>
      <c r="Q36" s="2" t="s">
        <v>5431</v>
      </c>
      <c r="R36" s="3" t="s">
        <v>165</v>
      </c>
    </row>
    <row r="37" spans="1:18" x14ac:dyDescent="0.25">
      <c r="A37" s="2">
        <v>18331</v>
      </c>
      <c r="B37" s="3" t="s">
        <v>166</v>
      </c>
      <c r="C37" s="2" t="s">
        <v>3622</v>
      </c>
      <c r="D37" s="2" t="s">
        <v>19</v>
      </c>
      <c r="E37" s="3" t="s">
        <v>14</v>
      </c>
      <c r="F37" s="3" t="s">
        <v>86</v>
      </c>
      <c r="G37" s="2" t="s">
        <v>4485</v>
      </c>
      <c r="H37" s="2" t="s">
        <v>4505</v>
      </c>
      <c r="I37" s="3" t="s">
        <v>100</v>
      </c>
      <c r="J37" s="3" t="s">
        <v>167</v>
      </c>
      <c r="K37" s="3" t="s">
        <v>168</v>
      </c>
      <c r="L37" s="3" t="s">
        <v>19</v>
      </c>
      <c r="M37" s="3" t="s">
        <v>20</v>
      </c>
      <c r="N37" s="2">
        <v>1023</v>
      </c>
      <c r="O37" s="3" t="s">
        <v>21</v>
      </c>
      <c r="P37" s="3" t="s">
        <v>22</v>
      </c>
      <c r="Q37" s="2" t="s">
        <v>5432</v>
      </c>
      <c r="R37" s="3" t="s">
        <v>169</v>
      </c>
    </row>
    <row r="38" spans="1:18" x14ac:dyDescent="0.25">
      <c r="A38" s="2">
        <v>24272</v>
      </c>
      <c r="B38" s="3" t="s">
        <v>170</v>
      </c>
      <c r="C38" s="2" t="s">
        <v>3623</v>
      </c>
      <c r="D38" s="2" t="s">
        <v>19</v>
      </c>
      <c r="E38" s="3" t="s">
        <v>14</v>
      </c>
      <c r="F38" s="3" t="s">
        <v>86</v>
      </c>
      <c r="G38" s="2" t="s">
        <v>4467</v>
      </c>
      <c r="H38" s="2" t="s">
        <v>4506</v>
      </c>
      <c r="I38" s="3" t="s">
        <v>171</v>
      </c>
      <c r="J38" s="3" t="s">
        <v>138</v>
      </c>
      <c r="K38" s="3" t="s">
        <v>172</v>
      </c>
      <c r="L38" s="3" t="s">
        <v>19</v>
      </c>
      <c r="M38" s="3" t="s">
        <v>95</v>
      </c>
      <c r="N38" s="2">
        <v>1023</v>
      </c>
      <c r="O38" s="3" t="s">
        <v>96</v>
      </c>
      <c r="P38" s="3" t="s">
        <v>97</v>
      </c>
      <c r="Q38" s="2" t="s">
        <v>5433</v>
      </c>
      <c r="R38" s="3" t="s">
        <v>173</v>
      </c>
    </row>
    <row r="39" spans="1:18" x14ac:dyDescent="0.25">
      <c r="A39" s="2">
        <v>25244</v>
      </c>
      <c r="B39" s="3" t="s">
        <v>174</v>
      </c>
      <c r="C39" s="2" t="s">
        <v>3624</v>
      </c>
      <c r="D39" s="2" t="s">
        <v>19</v>
      </c>
      <c r="E39" s="3" t="s">
        <v>14</v>
      </c>
      <c r="F39" s="3" t="s">
        <v>86</v>
      </c>
      <c r="G39" s="2" t="s">
        <v>4485</v>
      </c>
      <c r="H39" s="2" t="s">
        <v>4507</v>
      </c>
      <c r="I39" s="3" t="s">
        <v>87</v>
      </c>
      <c r="J39" s="3" t="s">
        <v>175</v>
      </c>
      <c r="K39" s="3" t="s">
        <v>176</v>
      </c>
      <c r="L39" s="3" t="s">
        <v>19</v>
      </c>
      <c r="M39" s="3" t="s">
        <v>20</v>
      </c>
      <c r="N39" s="2">
        <v>1023</v>
      </c>
      <c r="O39" s="3" t="s">
        <v>21</v>
      </c>
      <c r="P39" s="3" t="s">
        <v>22</v>
      </c>
      <c r="Q39" s="2" t="s">
        <v>5434</v>
      </c>
      <c r="R39" s="3" t="s">
        <v>177</v>
      </c>
    </row>
    <row r="40" spans="1:18" x14ac:dyDescent="0.25">
      <c r="A40" s="2">
        <v>24187</v>
      </c>
      <c r="B40" s="3" t="s">
        <v>178</v>
      </c>
      <c r="C40" s="2" t="s">
        <v>3625</v>
      </c>
      <c r="D40" s="2" t="s">
        <v>19</v>
      </c>
      <c r="E40" s="3" t="s">
        <v>14</v>
      </c>
      <c r="F40" s="3" t="s">
        <v>86</v>
      </c>
      <c r="G40" s="2" t="s">
        <v>4485</v>
      </c>
      <c r="H40" s="2" t="s">
        <v>4508</v>
      </c>
      <c r="I40" s="3" t="s">
        <v>87</v>
      </c>
      <c r="J40" s="3" t="s">
        <v>179</v>
      </c>
      <c r="K40" s="3" t="s">
        <v>180</v>
      </c>
      <c r="L40" s="3" t="s">
        <v>19</v>
      </c>
      <c r="M40" s="3" t="s">
        <v>20</v>
      </c>
      <c r="N40" s="2">
        <v>1023</v>
      </c>
      <c r="O40" s="3" t="s">
        <v>21</v>
      </c>
      <c r="P40" s="3" t="s">
        <v>22</v>
      </c>
      <c r="Q40" s="2" t="s">
        <v>5435</v>
      </c>
      <c r="R40" s="3" t="s">
        <v>181</v>
      </c>
    </row>
    <row r="41" spans="1:18" x14ac:dyDescent="0.25">
      <c r="A41" s="2">
        <v>29807</v>
      </c>
      <c r="B41" s="3" t="s">
        <v>182</v>
      </c>
      <c r="C41" s="2" t="s">
        <v>3626</v>
      </c>
      <c r="D41" s="2" t="s">
        <v>19</v>
      </c>
      <c r="E41" s="3" t="s">
        <v>14</v>
      </c>
      <c r="F41" s="3" t="s">
        <v>86</v>
      </c>
      <c r="G41" s="2" t="s">
        <v>4467</v>
      </c>
      <c r="H41" s="2" t="s">
        <v>4509</v>
      </c>
      <c r="I41" s="3" t="s">
        <v>183</v>
      </c>
      <c r="J41" s="3" t="s">
        <v>184</v>
      </c>
      <c r="K41" s="3" t="s">
        <v>185</v>
      </c>
      <c r="L41" s="3" t="s">
        <v>19</v>
      </c>
      <c r="M41" s="3" t="s">
        <v>95</v>
      </c>
      <c r="N41" s="2">
        <v>1023</v>
      </c>
      <c r="O41" s="3" t="s">
        <v>96</v>
      </c>
      <c r="P41" s="3" t="s">
        <v>97</v>
      </c>
      <c r="Q41" s="2" t="s">
        <v>5436</v>
      </c>
      <c r="R41" s="3" t="s">
        <v>186</v>
      </c>
    </row>
    <row r="42" spans="1:18" x14ac:dyDescent="0.25">
      <c r="A42" s="2">
        <v>38943</v>
      </c>
      <c r="B42" s="3" t="s">
        <v>187</v>
      </c>
      <c r="C42" s="2" t="s">
        <v>3627</v>
      </c>
      <c r="D42" s="2" t="s">
        <v>19</v>
      </c>
      <c r="E42" s="3" t="s">
        <v>14</v>
      </c>
      <c r="F42" s="3" t="s">
        <v>86</v>
      </c>
      <c r="G42" s="2" t="s">
        <v>4485</v>
      </c>
      <c r="H42" s="2" t="s">
        <v>4510</v>
      </c>
      <c r="I42" s="3" t="s">
        <v>188</v>
      </c>
      <c r="J42" s="3" t="s">
        <v>189</v>
      </c>
      <c r="K42" s="3" t="s">
        <v>190</v>
      </c>
      <c r="L42" s="3" t="s">
        <v>19</v>
      </c>
      <c r="M42" s="3" t="s">
        <v>95</v>
      </c>
      <c r="N42" s="2">
        <v>1023</v>
      </c>
      <c r="O42" s="3" t="s">
        <v>96</v>
      </c>
      <c r="P42" s="3" t="s">
        <v>97</v>
      </c>
      <c r="Q42" s="2" t="s">
        <v>5437</v>
      </c>
      <c r="R42" s="3" t="s">
        <v>191</v>
      </c>
    </row>
    <row r="43" spans="1:18" x14ac:dyDescent="0.25">
      <c r="A43" s="2">
        <v>41594</v>
      </c>
      <c r="B43" s="3" t="s">
        <v>192</v>
      </c>
      <c r="C43" s="2" t="s">
        <v>3628</v>
      </c>
      <c r="D43" s="2" t="s">
        <v>19</v>
      </c>
      <c r="E43" s="3" t="s">
        <v>14</v>
      </c>
      <c r="F43" s="3" t="s">
        <v>86</v>
      </c>
      <c r="G43" s="2" t="s">
        <v>4485</v>
      </c>
      <c r="H43" s="2" t="s">
        <v>4511</v>
      </c>
      <c r="I43" s="3" t="s">
        <v>100</v>
      </c>
      <c r="J43" s="3" t="s">
        <v>193</v>
      </c>
      <c r="K43" s="3" t="s">
        <v>168</v>
      </c>
      <c r="L43" s="3" t="s">
        <v>19</v>
      </c>
      <c r="M43" s="3" t="s">
        <v>20</v>
      </c>
      <c r="N43" s="2">
        <v>1023</v>
      </c>
      <c r="O43" s="3" t="s">
        <v>21</v>
      </c>
      <c r="P43" s="3" t="s">
        <v>22</v>
      </c>
      <c r="Q43" s="2" t="s">
        <v>5438</v>
      </c>
      <c r="R43" s="3" t="s">
        <v>194</v>
      </c>
    </row>
    <row r="44" spans="1:18" x14ac:dyDescent="0.25">
      <c r="A44" s="2">
        <v>23438</v>
      </c>
      <c r="B44" s="3" t="s">
        <v>195</v>
      </c>
      <c r="C44" s="2" t="s">
        <v>3629</v>
      </c>
      <c r="D44" s="2" t="s">
        <v>19</v>
      </c>
      <c r="E44" s="3" t="s">
        <v>14</v>
      </c>
      <c r="F44" s="3" t="s">
        <v>86</v>
      </c>
      <c r="G44" s="2" t="s">
        <v>4485</v>
      </c>
      <c r="H44" s="2" t="s">
        <v>4512</v>
      </c>
      <c r="I44" s="3" t="s">
        <v>196</v>
      </c>
      <c r="J44" s="3" t="s">
        <v>197</v>
      </c>
      <c r="K44" s="3" t="s">
        <v>198</v>
      </c>
      <c r="L44" s="3" t="s">
        <v>19</v>
      </c>
      <c r="M44" s="3" t="s">
        <v>95</v>
      </c>
      <c r="N44" s="2">
        <v>1023</v>
      </c>
      <c r="O44" s="3" t="s">
        <v>96</v>
      </c>
      <c r="P44" s="3" t="s">
        <v>97</v>
      </c>
      <c r="Q44" s="2" t="s">
        <v>5439</v>
      </c>
      <c r="R44" s="3" t="s">
        <v>199</v>
      </c>
    </row>
    <row r="45" spans="1:18" x14ac:dyDescent="0.25">
      <c r="A45" s="2">
        <v>13403</v>
      </c>
      <c r="B45" s="3" t="s">
        <v>200</v>
      </c>
      <c r="C45" s="2" t="s">
        <v>3630</v>
      </c>
      <c r="D45" s="2" t="s">
        <v>19</v>
      </c>
      <c r="E45" s="3" t="s">
        <v>14</v>
      </c>
      <c r="F45" s="3" t="s">
        <v>86</v>
      </c>
      <c r="G45" s="2" t="s">
        <v>4485</v>
      </c>
      <c r="H45" s="2" t="s">
        <v>4513</v>
      </c>
      <c r="I45" s="3" t="s">
        <v>87</v>
      </c>
      <c r="J45" s="3" t="s">
        <v>201</v>
      </c>
      <c r="K45" s="3" t="s">
        <v>202</v>
      </c>
      <c r="L45" s="3" t="s">
        <v>19</v>
      </c>
      <c r="M45" s="3" t="s">
        <v>20</v>
      </c>
      <c r="N45" s="2">
        <v>1023</v>
      </c>
      <c r="O45" s="3" t="s">
        <v>21</v>
      </c>
      <c r="P45" s="3" t="s">
        <v>22</v>
      </c>
      <c r="Q45" s="2" t="s">
        <v>5440</v>
      </c>
      <c r="R45" s="3" t="s">
        <v>203</v>
      </c>
    </row>
    <row r="46" spans="1:18" x14ac:dyDescent="0.25">
      <c r="A46" s="2">
        <v>19231</v>
      </c>
      <c r="B46" s="3" t="s">
        <v>204</v>
      </c>
      <c r="C46" s="2" t="s">
        <v>3631</v>
      </c>
      <c r="D46" s="2" t="s">
        <v>19</v>
      </c>
      <c r="E46" s="3" t="s">
        <v>14</v>
      </c>
      <c r="F46" s="3" t="s">
        <v>86</v>
      </c>
      <c r="G46" s="2" t="s">
        <v>4485</v>
      </c>
      <c r="H46" s="2" t="s">
        <v>4514</v>
      </c>
      <c r="I46" s="3" t="s">
        <v>205</v>
      </c>
      <c r="J46" s="3" t="s">
        <v>206</v>
      </c>
      <c r="K46" s="3" t="s">
        <v>207</v>
      </c>
      <c r="L46" s="3" t="s">
        <v>19</v>
      </c>
      <c r="M46" s="3" t="s">
        <v>95</v>
      </c>
      <c r="N46" s="2">
        <v>1023</v>
      </c>
      <c r="O46" s="3" t="s">
        <v>96</v>
      </c>
      <c r="P46" s="3" t="s">
        <v>97</v>
      </c>
      <c r="Q46" s="2" t="s">
        <v>5441</v>
      </c>
      <c r="R46" s="3" t="s">
        <v>208</v>
      </c>
    </row>
    <row r="47" spans="1:18" x14ac:dyDescent="0.25">
      <c r="A47" s="2">
        <v>38707</v>
      </c>
      <c r="B47" s="3" t="s">
        <v>209</v>
      </c>
      <c r="C47" s="2" t="s">
        <v>3632</v>
      </c>
      <c r="D47" s="2" t="s">
        <v>19</v>
      </c>
      <c r="E47" s="3" t="s">
        <v>14</v>
      </c>
      <c r="F47" s="3" t="s">
        <v>86</v>
      </c>
      <c r="G47" s="2" t="s">
        <v>4485</v>
      </c>
      <c r="H47" s="2" t="s">
        <v>4515</v>
      </c>
      <c r="I47" s="3" t="s">
        <v>210</v>
      </c>
      <c r="J47" s="3" t="s">
        <v>211</v>
      </c>
      <c r="K47" s="3" t="s">
        <v>212</v>
      </c>
      <c r="L47" s="3" t="s">
        <v>19</v>
      </c>
      <c r="M47" s="3" t="s">
        <v>95</v>
      </c>
      <c r="N47" s="2">
        <v>1023</v>
      </c>
      <c r="O47" s="3" t="s">
        <v>96</v>
      </c>
      <c r="P47" s="3" t="s">
        <v>97</v>
      </c>
      <c r="Q47" s="2" t="s">
        <v>5442</v>
      </c>
      <c r="R47" s="3" t="s">
        <v>213</v>
      </c>
    </row>
    <row r="48" spans="1:18" x14ac:dyDescent="0.25">
      <c r="A48" s="2">
        <v>36569</v>
      </c>
      <c r="B48" s="3" t="s">
        <v>214</v>
      </c>
      <c r="C48" s="2" t="s">
        <v>3633</v>
      </c>
      <c r="D48" s="2" t="s">
        <v>19</v>
      </c>
      <c r="E48" s="3" t="s">
        <v>14</v>
      </c>
      <c r="F48" s="3" t="s">
        <v>86</v>
      </c>
      <c r="G48" s="2" t="s">
        <v>4467</v>
      </c>
      <c r="H48" s="2" t="s">
        <v>4516</v>
      </c>
      <c r="I48" s="3" t="s">
        <v>92</v>
      </c>
      <c r="J48" s="3" t="s">
        <v>215</v>
      </c>
      <c r="K48" s="3" t="s">
        <v>216</v>
      </c>
      <c r="L48" s="3" t="s">
        <v>19</v>
      </c>
      <c r="M48" s="3" t="s">
        <v>95</v>
      </c>
      <c r="N48" s="2">
        <v>1023</v>
      </c>
      <c r="O48" s="3" t="s">
        <v>96</v>
      </c>
      <c r="P48" s="3" t="s">
        <v>97</v>
      </c>
      <c r="Q48" s="2" t="s">
        <v>5443</v>
      </c>
      <c r="R48" s="3" t="s">
        <v>217</v>
      </c>
    </row>
    <row r="49" spans="1:18" x14ac:dyDescent="0.25">
      <c r="A49" s="2">
        <v>37294</v>
      </c>
      <c r="B49" s="3" t="s">
        <v>218</v>
      </c>
      <c r="C49" s="2" t="s">
        <v>3634</v>
      </c>
      <c r="D49" s="2" t="s">
        <v>19</v>
      </c>
      <c r="E49" s="3" t="s">
        <v>14</v>
      </c>
      <c r="F49" s="3" t="s">
        <v>86</v>
      </c>
      <c r="G49" s="2" t="s">
        <v>4485</v>
      </c>
      <c r="H49" s="2" t="s">
        <v>4517</v>
      </c>
      <c r="I49" s="3" t="s">
        <v>87</v>
      </c>
      <c r="J49" s="3" t="s">
        <v>219</v>
      </c>
      <c r="K49" s="3" t="s">
        <v>220</v>
      </c>
      <c r="L49" s="3" t="s">
        <v>19</v>
      </c>
      <c r="M49" s="3" t="s">
        <v>20</v>
      </c>
      <c r="N49" s="2">
        <v>1023</v>
      </c>
      <c r="O49" s="3" t="s">
        <v>21</v>
      </c>
      <c r="P49" s="3" t="s">
        <v>22</v>
      </c>
      <c r="Q49" s="2" t="s">
        <v>5444</v>
      </c>
      <c r="R49" s="3" t="s">
        <v>221</v>
      </c>
    </row>
    <row r="50" spans="1:18" x14ac:dyDescent="0.25">
      <c r="A50" s="2">
        <v>40679</v>
      </c>
      <c r="B50" s="3" t="s">
        <v>222</v>
      </c>
      <c r="C50" s="2" t="s">
        <v>3635</v>
      </c>
      <c r="D50" s="2" t="s">
        <v>19</v>
      </c>
      <c r="E50" s="3" t="s">
        <v>14</v>
      </c>
      <c r="F50" s="3" t="s">
        <v>86</v>
      </c>
      <c r="G50" s="2" t="s">
        <v>4518</v>
      </c>
      <c r="H50" s="2" t="s">
        <v>4519</v>
      </c>
      <c r="I50" s="3" t="s">
        <v>223</v>
      </c>
      <c r="J50" s="3" t="s">
        <v>224</v>
      </c>
      <c r="K50" s="3" t="s">
        <v>225</v>
      </c>
      <c r="L50" s="3" t="s">
        <v>19</v>
      </c>
      <c r="M50" s="3" t="s">
        <v>95</v>
      </c>
      <c r="N50" s="2">
        <v>1023</v>
      </c>
      <c r="O50" s="3" t="s">
        <v>96</v>
      </c>
      <c r="P50" s="3" t="s">
        <v>97</v>
      </c>
      <c r="Q50" s="2" t="s">
        <v>5445</v>
      </c>
      <c r="R50" s="3" t="s">
        <v>226</v>
      </c>
    </row>
    <row r="51" spans="1:18" x14ac:dyDescent="0.25">
      <c r="A51" s="2">
        <v>21851</v>
      </c>
      <c r="B51" s="3" t="s">
        <v>227</v>
      </c>
      <c r="C51" s="2" t="s">
        <v>3636</v>
      </c>
      <c r="D51" s="2" t="s">
        <v>19</v>
      </c>
      <c r="E51" s="3" t="s">
        <v>14</v>
      </c>
      <c r="F51" s="3" t="s">
        <v>86</v>
      </c>
      <c r="G51" s="2" t="s">
        <v>4485</v>
      </c>
      <c r="H51" s="2" t="s">
        <v>4520</v>
      </c>
      <c r="I51" s="3" t="s">
        <v>87</v>
      </c>
      <c r="J51" s="3" t="s">
        <v>105</v>
      </c>
      <c r="K51" s="3" t="s">
        <v>228</v>
      </c>
      <c r="L51" s="3" t="s">
        <v>19</v>
      </c>
      <c r="M51" s="3" t="s">
        <v>20</v>
      </c>
      <c r="N51" s="2">
        <v>1023</v>
      </c>
      <c r="O51" s="3" t="s">
        <v>21</v>
      </c>
      <c r="P51" s="3" t="s">
        <v>22</v>
      </c>
      <c r="Q51" s="2" t="s">
        <v>5446</v>
      </c>
      <c r="R51" s="3" t="s">
        <v>229</v>
      </c>
    </row>
    <row r="52" spans="1:18" x14ac:dyDescent="0.25">
      <c r="A52" s="2">
        <v>20681</v>
      </c>
      <c r="B52" s="3" t="s">
        <v>230</v>
      </c>
      <c r="C52" s="2" t="s">
        <v>3637</v>
      </c>
      <c r="D52" s="2" t="s">
        <v>234</v>
      </c>
      <c r="E52" s="3" t="s">
        <v>14</v>
      </c>
      <c r="F52" s="3" t="s">
        <v>231</v>
      </c>
      <c r="G52" s="2" t="s">
        <v>4521</v>
      </c>
      <c r="H52" s="2" t="s">
        <v>4522</v>
      </c>
      <c r="I52" s="3" t="s">
        <v>232</v>
      </c>
      <c r="J52" s="3" t="s">
        <v>138</v>
      </c>
      <c r="K52" s="3" t="s">
        <v>233</v>
      </c>
      <c r="L52" s="3" t="s">
        <v>234</v>
      </c>
      <c r="M52" s="3" t="s">
        <v>95</v>
      </c>
      <c r="N52" s="2">
        <v>1494</v>
      </c>
      <c r="O52" s="3" t="s">
        <v>21</v>
      </c>
      <c r="P52" s="3" t="s">
        <v>97</v>
      </c>
      <c r="Q52" s="2" t="s">
        <v>5447</v>
      </c>
      <c r="R52" s="3" t="s">
        <v>235</v>
      </c>
    </row>
    <row r="53" spans="1:18" x14ac:dyDescent="0.25">
      <c r="A53" s="2">
        <v>18720</v>
      </c>
      <c r="B53" s="3" t="s">
        <v>236</v>
      </c>
      <c r="C53" s="2" t="s">
        <v>3638</v>
      </c>
      <c r="D53" s="2" t="s">
        <v>234</v>
      </c>
      <c r="E53" s="3" t="s">
        <v>14</v>
      </c>
      <c r="F53" s="3" t="s">
        <v>231</v>
      </c>
      <c r="G53" s="2" t="s">
        <v>4521</v>
      </c>
      <c r="H53" s="2" t="s">
        <v>4523</v>
      </c>
      <c r="I53" s="3" t="s">
        <v>232</v>
      </c>
      <c r="J53" s="3" t="s">
        <v>237</v>
      </c>
      <c r="K53" s="3" t="s">
        <v>238</v>
      </c>
      <c r="L53" s="3" t="s">
        <v>234</v>
      </c>
      <c r="M53" s="3" t="s">
        <v>95</v>
      </c>
      <c r="N53" s="2">
        <v>1494</v>
      </c>
      <c r="O53" s="3" t="s">
        <v>21</v>
      </c>
      <c r="P53" s="3" t="s">
        <v>97</v>
      </c>
      <c r="Q53" s="2" t="s">
        <v>5448</v>
      </c>
      <c r="R53" s="3" t="s">
        <v>239</v>
      </c>
    </row>
    <row r="54" spans="1:18" x14ac:dyDescent="0.25">
      <c r="A54" s="2">
        <v>24776</v>
      </c>
      <c r="B54" s="3" t="s">
        <v>240</v>
      </c>
      <c r="C54" s="2" t="s">
        <v>3639</v>
      </c>
      <c r="D54" s="2" t="s">
        <v>234</v>
      </c>
      <c r="E54" s="3" t="s">
        <v>14</v>
      </c>
      <c r="F54" s="3" t="s">
        <v>231</v>
      </c>
      <c r="G54" s="2" t="s">
        <v>4521</v>
      </c>
      <c r="H54" s="2" t="s">
        <v>4524</v>
      </c>
      <c r="I54" s="3" t="s">
        <v>241</v>
      </c>
      <c r="J54" s="3" t="s">
        <v>242</v>
      </c>
      <c r="K54" s="3" t="s">
        <v>243</v>
      </c>
      <c r="L54" s="3" t="s">
        <v>234</v>
      </c>
      <c r="M54" s="3" t="s">
        <v>95</v>
      </c>
      <c r="N54" s="2">
        <v>1494</v>
      </c>
      <c r="O54" s="3" t="s">
        <v>244</v>
      </c>
      <c r="P54" s="3" t="s">
        <v>97</v>
      </c>
      <c r="Q54" s="2" t="s">
        <v>5449</v>
      </c>
      <c r="R54" s="3" t="s">
        <v>245</v>
      </c>
    </row>
    <row r="55" spans="1:18" x14ac:dyDescent="0.25">
      <c r="A55" s="2">
        <v>3088</v>
      </c>
      <c r="B55" s="3" t="s">
        <v>246</v>
      </c>
      <c r="C55" s="2" t="s">
        <v>3640</v>
      </c>
      <c r="D55" s="2" t="s">
        <v>234</v>
      </c>
      <c r="E55" s="3" t="s">
        <v>14</v>
      </c>
      <c r="F55" s="3" t="s">
        <v>231</v>
      </c>
      <c r="G55" s="2" t="s">
        <v>4521</v>
      </c>
      <c r="H55" s="2" t="s">
        <v>4525</v>
      </c>
      <c r="I55" s="3" t="s">
        <v>247</v>
      </c>
      <c r="J55" s="3" t="s">
        <v>138</v>
      </c>
      <c r="K55" s="3" t="s">
        <v>248</v>
      </c>
      <c r="L55" s="3" t="s">
        <v>234</v>
      </c>
      <c r="M55" s="3" t="s">
        <v>95</v>
      </c>
      <c r="N55" s="2">
        <v>1494</v>
      </c>
      <c r="O55" s="3" t="s">
        <v>244</v>
      </c>
      <c r="P55" s="3" t="s">
        <v>97</v>
      </c>
      <c r="Q55" s="2" t="s">
        <v>5450</v>
      </c>
      <c r="R55" s="3" t="s">
        <v>249</v>
      </c>
    </row>
    <row r="56" spans="1:18" x14ac:dyDescent="0.25">
      <c r="A56" s="2">
        <v>36588</v>
      </c>
      <c r="B56" s="3" t="s">
        <v>250</v>
      </c>
      <c r="C56" s="2" t="s">
        <v>3641</v>
      </c>
      <c r="D56" s="2" t="s">
        <v>234</v>
      </c>
      <c r="E56" s="3" t="s">
        <v>14</v>
      </c>
      <c r="F56" s="3" t="s">
        <v>231</v>
      </c>
      <c r="G56" s="2" t="s">
        <v>4521</v>
      </c>
      <c r="H56" s="2" t="s">
        <v>4526</v>
      </c>
      <c r="I56" s="3" t="s">
        <v>232</v>
      </c>
      <c r="J56" s="3" t="s">
        <v>251</v>
      </c>
      <c r="K56" s="3" t="s">
        <v>252</v>
      </c>
      <c r="L56" s="3" t="s">
        <v>234</v>
      </c>
      <c r="M56" s="3" t="s">
        <v>95</v>
      </c>
      <c r="N56" s="2">
        <v>1494</v>
      </c>
      <c r="O56" s="3" t="s">
        <v>21</v>
      </c>
      <c r="P56" s="3" t="s">
        <v>97</v>
      </c>
      <c r="Q56" s="2" t="s">
        <v>5451</v>
      </c>
      <c r="R56" s="3" t="s">
        <v>253</v>
      </c>
    </row>
    <row r="57" spans="1:18" x14ac:dyDescent="0.25">
      <c r="A57" s="2">
        <v>23017</v>
      </c>
      <c r="B57" s="3" t="s">
        <v>254</v>
      </c>
      <c r="C57" s="2" t="s">
        <v>3642</v>
      </c>
      <c r="D57" s="2" t="s">
        <v>234</v>
      </c>
      <c r="E57" s="3" t="s">
        <v>14</v>
      </c>
      <c r="F57" s="3" t="s">
        <v>231</v>
      </c>
      <c r="G57" s="2" t="s">
        <v>4521</v>
      </c>
      <c r="H57" s="2" t="s">
        <v>4527</v>
      </c>
      <c r="I57" s="3" t="s">
        <v>232</v>
      </c>
      <c r="J57" s="3" t="s">
        <v>255</v>
      </c>
      <c r="K57" s="3" t="s">
        <v>256</v>
      </c>
      <c r="L57" s="3" t="s">
        <v>234</v>
      </c>
      <c r="M57" s="3" t="s">
        <v>95</v>
      </c>
      <c r="N57" s="2">
        <v>1494</v>
      </c>
      <c r="O57" s="3" t="s">
        <v>21</v>
      </c>
      <c r="P57" s="3" t="s">
        <v>97</v>
      </c>
      <c r="Q57" s="2" t="s">
        <v>5452</v>
      </c>
      <c r="R57" s="3" t="s">
        <v>257</v>
      </c>
    </row>
    <row r="58" spans="1:18" x14ac:dyDescent="0.25">
      <c r="A58" s="2">
        <v>39412</v>
      </c>
      <c r="B58" s="3" t="s">
        <v>258</v>
      </c>
      <c r="C58" s="2" t="s">
        <v>3643</v>
      </c>
      <c r="D58" s="2" t="s">
        <v>234</v>
      </c>
      <c r="E58" s="3" t="s">
        <v>14</v>
      </c>
      <c r="F58" s="3" t="s">
        <v>231</v>
      </c>
      <c r="G58" s="2" t="s">
        <v>4521</v>
      </c>
      <c r="H58" s="2" t="s">
        <v>4528</v>
      </c>
      <c r="I58" s="3" t="s">
        <v>232</v>
      </c>
      <c r="J58" s="3" t="s">
        <v>259</v>
      </c>
      <c r="K58" s="3" t="s">
        <v>260</v>
      </c>
      <c r="L58" s="3" t="s">
        <v>234</v>
      </c>
      <c r="M58" s="3" t="s">
        <v>95</v>
      </c>
      <c r="N58" s="2">
        <v>1494</v>
      </c>
      <c r="O58" s="3" t="s">
        <v>21</v>
      </c>
      <c r="P58" s="3" t="s">
        <v>97</v>
      </c>
      <c r="Q58" s="2" t="s">
        <v>5453</v>
      </c>
      <c r="R58" s="3" t="s">
        <v>261</v>
      </c>
    </row>
    <row r="59" spans="1:18" x14ac:dyDescent="0.25">
      <c r="A59" s="2">
        <v>18228</v>
      </c>
      <c r="B59" s="3" t="s">
        <v>262</v>
      </c>
      <c r="C59" s="2" t="s">
        <v>3644</v>
      </c>
      <c r="D59" s="2" t="s">
        <v>234</v>
      </c>
      <c r="E59" s="3" t="s">
        <v>14</v>
      </c>
      <c r="F59" s="3" t="s">
        <v>263</v>
      </c>
      <c r="G59" s="2" t="s">
        <v>4529</v>
      </c>
      <c r="H59" s="2" t="s">
        <v>4530</v>
      </c>
      <c r="I59" s="3" t="s">
        <v>264</v>
      </c>
      <c r="J59" s="3" t="s">
        <v>265</v>
      </c>
      <c r="K59" s="3" t="s">
        <v>266</v>
      </c>
      <c r="L59" s="3" t="s">
        <v>234</v>
      </c>
      <c r="M59" s="3" t="s">
        <v>95</v>
      </c>
      <c r="N59" s="2">
        <v>1747</v>
      </c>
      <c r="O59" s="3" t="s">
        <v>244</v>
      </c>
      <c r="P59" s="3" t="s">
        <v>97</v>
      </c>
      <c r="Q59" s="2" t="s">
        <v>5454</v>
      </c>
      <c r="R59" s="3" t="s">
        <v>267</v>
      </c>
    </row>
    <row r="60" spans="1:18" x14ac:dyDescent="0.25">
      <c r="A60" s="2">
        <v>19599</v>
      </c>
      <c r="B60" s="3" t="s">
        <v>268</v>
      </c>
      <c r="C60" s="2" t="s">
        <v>3645</v>
      </c>
      <c r="D60" s="2" t="s">
        <v>234</v>
      </c>
      <c r="E60" s="3" t="s">
        <v>14</v>
      </c>
      <c r="F60" s="3" t="s">
        <v>263</v>
      </c>
      <c r="G60" s="2" t="s">
        <v>4529</v>
      </c>
      <c r="H60" s="2" t="s">
        <v>4531</v>
      </c>
      <c r="I60" s="3" t="s">
        <v>264</v>
      </c>
      <c r="J60" s="3" t="s">
        <v>269</v>
      </c>
      <c r="K60" s="3" t="s">
        <v>270</v>
      </c>
      <c r="L60" s="3" t="s">
        <v>234</v>
      </c>
      <c r="M60" s="3" t="s">
        <v>95</v>
      </c>
      <c r="N60" s="2">
        <v>1747</v>
      </c>
      <c r="O60" s="3" t="s">
        <v>271</v>
      </c>
      <c r="P60" s="3" t="s">
        <v>97</v>
      </c>
      <c r="Q60" s="2" t="s">
        <v>5455</v>
      </c>
      <c r="R60" s="3" t="s">
        <v>272</v>
      </c>
    </row>
    <row r="61" spans="1:18" x14ac:dyDescent="0.25">
      <c r="A61" s="2">
        <v>4781</v>
      </c>
      <c r="B61" s="3" t="s">
        <v>273</v>
      </c>
      <c r="C61" s="2" t="s">
        <v>3646</v>
      </c>
      <c r="D61" s="2" t="s">
        <v>234</v>
      </c>
      <c r="E61" s="3" t="s">
        <v>14</v>
      </c>
      <c r="F61" s="3" t="s">
        <v>263</v>
      </c>
      <c r="G61" s="2" t="s">
        <v>4529</v>
      </c>
      <c r="H61" s="2" t="s">
        <v>4532</v>
      </c>
      <c r="I61" s="3" t="s">
        <v>274</v>
      </c>
      <c r="J61" s="3" t="s">
        <v>275</v>
      </c>
      <c r="K61" s="3" t="s">
        <v>276</v>
      </c>
      <c r="L61" s="3" t="s">
        <v>234</v>
      </c>
      <c r="M61" s="3" t="s">
        <v>95</v>
      </c>
      <c r="N61" s="2">
        <v>1747</v>
      </c>
      <c r="O61" s="3" t="s">
        <v>244</v>
      </c>
      <c r="P61" s="3" t="s">
        <v>97</v>
      </c>
      <c r="Q61" s="2" t="s">
        <v>5456</v>
      </c>
      <c r="R61" s="3" t="s">
        <v>277</v>
      </c>
    </row>
    <row r="62" spans="1:18" x14ac:dyDescent="0.25">
      <c r="A62" s="2">
        <v>25419</v>
      </c>
      <c r="B62" s="3" t="s">
        <v>278</v>
      </c>
      <c r="C62" s="2" t="s">
        <v>3647</v>
      </c>
      <c r="D62" s="2" t="s">
        <v>234</v>
      </c>
      <c r="E62" s="3" t="s">
        <v>14</v>
      </c>
      <c r="F62" s="3" t="s">
        <v>263</v>
      </c>
      <c r="G62" s="2" t="s">
        <v>4529</v>
      </c>
      <c r="H62" s="2" t="s">
        <v>4533</v>
      </c>
      <c r="I62" s="3" t="s">
        <v>279</v>
      </c>
      <c r="J62" s="3" t="s">
        <v>280</v>
      </c>
      <c r="K62" s="3" t="s">
        <v>281</v>
      </c>
      <c r="L62" s="3" t="s">
        <v>234</v>
      </c>
      <c r="M62" s="3" t="s">
        <v>95</v>
      </c>
      <c r="N62" s="2">
        <v>1747</v>
      </c>
      <c r="O62" s="3" t="s">
        <v>96</v>
      </c>
      <c r="P62" s="3" t="s">
        <v>97</v>
      </c>
      <c r="Q62" s="2" t="s">
        <v>5457</v>
      </c>
      <c r="R62" s="3" t="s">
        <v>282</v>
      </c>
    </row>
    <row r="63" spans="1:18" x14ac:dyDescent="0.25">
      <c r="A63" s="2">
        <v>40526</v>
      </c>
      <c r="B63" s="3" t="s">
        <v>283</v>
      </c>
      <c r="C63" s="2" t="s">
        <v>3648</v>
      </c>
      <c r="D63" s="2" t="s">
        <v>234</v>
      </c>
      <c r="E63" s="3" t="s">
        <v>14</v>
      </c>
      <c r="F63" s="3" t="s">
        <v>263</v>
      </c>
      <c r="G63" s="2" t="s">
        <v>4529</v>
      </c>
      <c r="H63" s="2" t="s">
        <v>4534</v>
      </c>
      <c r="I63" s="3" t="s">
        <v>284</v>
      </c>
      <c r="J63" s="3" t="s">
        <v>138</v>
      </c>
      <c r="K63" s="3" t="s">
        <v>285</v>
      </c>
      <c r="L63" s="3" t="s">
        <v>234</v>
      </c>
      <c r="M63" s="3" t="s">
        <v>95</v>
      </c>
      <c r="N63" s="2">
        <v>1747</v>
      </c>
      <c r="O63" s="3" t="s">
        <v>244</v>
      </c>
      <c r="P63" s="3" t="s">
        <v>97</v>
      </c>
      <c r="Q63" s="2" t="s">
        <v>5458</v>
      </c>
      <c r="R63" s="3" t="s">
        <v>286</v>
      </c>
    </row>
    <row r="64" spans="1:18" x14ac:dyDescent="0.25">
      <c r="A64" s="2">
        <v>7552</v>
      </c>
      <c r="B64" s="3" t="s">
        <v>287</v>
      </c>
      <c r="C64" s="2" t="s">
        <v>3649</v>
      </c>
      <c r="D64" s="2" t="s">
        <v>234</v>
      </c>
      <c r="E64" s="3" t="s">
        <v>14</v>
      </c>
      <c r="F64" s="3" t="s">
        <v>263</v>
      </c>
      <c r="G64" s="2" t="s">
        <v>4529</v>
      </c>
      <c r="H64" s="2" t="s">
        <v>4535</v>
      </c>
      <c r="I64" s="3" t="s">
        <v>288</v>
      </c>
      <c r="J64" s="3" t="s">
        <v>138</v>
      </c>
      <c r="K64" s="3" t="s">
        <v>289</v>
      </c>
      <c r="L64" s="3" t="s">
        <v>234</v>
      </c>
      <c r="M64" s="3" t="s">
        <v>95</v>
      </c>
      <c r="N64" s="2">
        <v>1747</v>
      </c>
      <c r="O64" s="3" t="s">
        <v>271</v>
      </c>
      <c r="P64" s="3" t="s">
        <v>97</v>
      </c>
      <c r="Q64" s="2" t="s">
        <v>5459</v>
      </c>
      <c r="R64" s="3" t="s">
        <v>290</v>
      </c>
    </row>
    <row r="65" spans="1:18" x14ac:dyDescent="0.25">
      <c r="A65" s="2">
        <v>17407</v>
      </c>
      <c r="B65" s="3" t="s">
        <v>291</v>
      </c>
      <c r="C65" s="2" t="s">
        <v>3650</v>
      </c>
      <c r="D65" s="2" t="s">
        <v>234</v>
      </c>
      <c r="E65" s="3" t="s">
        <v>14</v>
      </c>
      <c r="F65" s="3" t="s">
        <v>263</v>
      </c>
      <c r="G65" s="2" t="s">
        <v>4529</v>
      </c>
      <c r="H65" s="2" t="s">
        <v>4536</v>
      </c>
      <c r="I65" s="3" t="s">
        <v>292</v>
      </c>
      <c r="J65" s="3" t="s">
        <v>293</v>
      </c>
      <c r="K65" s="3" t="s">
        <v>294</v>
      </c>
      <c r="L65" s="3" t="s">
        <v>234</v>
      </c>
      <c r="M65" s="3" t="s">
        <v>95</v>
      </c>
      <c r="N65" s="2">
        <v>1747</v>
      </c>
      <c r="O65" s="3" t="s">
        <v>96</v>
      </c>
      <c r="P65" s="3" t="s">
        <v>97</v>
      </c>
      <c r="Q65" s="2" t="s">
        <v>5460</v>
      </c>
      <c r="R65" s="3" t="s">
        <v>295</v>
      </c>
    </row>
    <row r="66" spans="1:18" x14ac:dyDescent="0.25">
      <c r="A66" s="2">
        <v>5463</v>
      </c>
      <c r="B66" s="3" t="s">
        <v>296</v>
      </c>
      <c r="C66" s="2" t="s">
        <v>3651</v>
      </c>
      <c r="D66" s="2" t="s">
        <v>234</v>
      </c>
      <c r="E66" s="3" t="s">
        <v>14</v>
      </c>
      <c r="F66" s="3" t="s">
        <v>263</v>
      </c>
      <c r="G66" s="2" t="s">
        <v>4529</v>
      </c>
      <c r="H66" s="2" t="s">
        <v>4537</v>
      </c>
      <c r="I66" s="3" t="s">
        <v>297</v>
      </c>
      <c r="J66" s="3" t="s">
        <v>138</v>
      </c>
      <c r="K66" s="3" t="s">
        <v>298</v>
      </c>
      <c r="L66" s="3" t="s">
        <v>234</v>
      </c>
      <c r="M66" s="3" t="s">
        <v>95</v>
      </c>
      <c r="N66" s="2">
        <v>1747</v>
      </c>
      <c r="O66" s="3" t="s">
        <v>96</v>
      </c>
      <c r="P66" s="3" t="s">
        <v>97</v>
      </c>
      <c r="Q66" s="2" t="s">
        <v>5461</v>
      </c>
      <c r="R66" s="3" t="s">
        <v>299</v>
      </c>
    </row>
    <row r="67" spans="1:18" x14ac:dyDescent="0.25">
      <c r="A67" s="2">
        <v>27779</v>
      </c>
      <c r="B67" s="3" t="s">
        <v>300</v>
      </c>
      <c r="C67" s="2" t="s">
        <v>3652</v>
      </c>
      <c r="D67" s="2" t="s">
        <v>234</v>
      </c>
      <c r="E67" s="3" t="s">
        <v>14</v>
      </c>
      <c r="F67" s="3" t="s">
        <v>263</v>
      </c>
      <c r="G67" s="2" t="s">
        <v>4529</v>
      </c>
      <c r="H67" s="2" t="s">
        <v>4538</v>
      </c>
      <c r="I67" s="3" t="s">
        <v>279</v>
      </c>
      <c r="J67" s="3" t="s">
        <v>301</v>
      </c>
      <c r="K67" s="3" t="s">
        <v>302</v>
      </c>
      <c r="L67" s="3" t="s">
        <v>234</v>
      </c>
      <c r="M67" s="3" t="s">
        <v>95</v>
      </c>
      <c r="N67" s="2">
        <v>1747</v>
      </c>
      <c r="O67" s="3" t="s">
        <v>96</v>
      </c>
      <c r="P67" s="3" t="s">
        <v>97</v>
      </c>
      <c r="Q67" s="2" t="s">
        <v>5462</v>
      </c>
      <c r="R67" s="3" t="s">
        <v>303</v>
      </c>
    </row>
    <row r="68" spans="1:18" x14ac:dyDescent="0.25">
      <c r="A68" s="2">
        <v>40439</v>
      </c>
      <c r="B68" s="3" t="s">
        <v>304</v>
      </c>
      <c r="C68" s="2" t="s">
        <v>3653</v>
      </c>
      <c r="D68" s="2" t="s">
        <v>234</v>
      </c>
      <c r="E68" s="3" t="s">
        <v>14</v>
      </c>
      <c r="F68" s="3" t="s">
        <v>263</v>
      </c>
      <c r="G68" s="2" t="s">
        <v>4529</v>
      </c>
      <c r="H68" s="2" t="s">
        <v>4539</v>
      </c>
      <c r="I68" s="3" t="s">
        <v>297</v>
      </c>
      <c r="J68" s="3" t="s">
        <v>305</v>
      </c>
      <c r="K68" s="3" t="s">
        <v>306</v>
      </c>
      <c r="L68" s="3" t="s">
        <v>234</v>
      </c>
      <c r="M68" s="3" t="s">
        <v>95</v>
      </c>
      <c r="N68" s="2">
        <v>1747</v>
      </c>
      <c r="O68" s="3" t="s">
        <v>96</v>
      </c>
      <c r="P68" s="3" t="s">
        <v>97</v>
      </c>
      <c r="Q68" s="2" t="s">
        <v>5463</v>
      </c>
      <c r="R68" s="3" t="s">
        <v>307</v>
      </c>
    </row>
    <row r="69" spans="1:18" x14ac:dyDescent="0.25">
      <c r="A69" s="2">
        <v>14394</v>
      </c>
      <c r="B69" s="3" t="s">
        <v>308</v>
      </c>
      <c r="C69" s="2" t="s">
        <v>3654</v>
      </c>
      <c r="D69" s="2" t="s">
        <v>234</v>
      </c>
      <c r="E69" s="3" t="s">
        <v>14</v>
      </c>
      <c r="F69" s="3" t="s">
        <v>263</v>
      </c>
      <c r="G69" s="2" t="s">
        <v>4529</v>
      </c>
      <c r="H69" s="2" t="s">
        <v>4540</v>
      </c>
      <c r="I69" s="3" t="s">
        <v>309</v>
      </c>
      <c r="J69" s="3" t="s">
        <v>138</v>
      </c>
      <c r="K69" s="3" t="s">
        <v>310</v>
      </c>
      <c r="L69" s="3" t="s">
        <v>234</v>
      </c>
      <c r="M69" s="3" t="s">
        <v>95</v>
      </c>
      <c r="N69" s="2">
        <v>1747</v>
      </c>
      <c r="O69" s="3" t="s">
        <v>96</v>
      </c>
      <c r="P69" s="3" t="s">
        <v>97</v>
      </c>
      <c r="Q69" s="2" t="s">
        <v>5464</v>
      </c>
      <c r="R69" s="3" t="s">
        <v>311</v>
      </c>
    </row>
    <row r="70" spans="1:18" x14ac:dyDescent="0.25">
      <c r="A70" s="2">
        <v>15795</v>
      </c>
      <c r="B70" s="3" t="s">
        <v>312</v>
      </c>
      <c r="C70" s="2" t="s">
        <v>3655</v>
      </c>
      <c r="D70" s="2" t="s">
        <v>234</v>
      </c>
      <c r="E70" s="3" t="s">
        <v>14</v>
      </c>
      <c r="F70" s="3" t="s">
        <v>263</v>
      </c>
      <c r="G70" s="2" t="s">
        <v>4529</v>
      </c>
      <c r="H70" s="2" t="s">
        <v>4541</v>
      </c>
      <c r="I70" s="3" t="s">
        <v>292</v>
      </c>
      <c r="J70" s="3" t="s">
        <v>313</v>
      </c>
      <c r="K70" s="3" t="s">
        <v>314</v>
      </c>
      <c r="L70" s="3" t="s">
        <v>234</v>
      </c>
      <c r="M70" s="3" t="s">
        <v>95</v>
      </c>
      <c r="N70" s="2">
        <v>1747</v>
      </c>
      <c r="O70" s="3" t="s">
        <v>96</v>
      </c>
      <c r="P70" s="3" t="s">
        <v>97</v>
      </c>
      <c r="Q70" s="2" t="s">
        <v>5465</v>
      </c>
      <c r="R70" s="3" t="s">
        <v>315</v>
      </c>
    </row>
    <row r="71" spans="1:18" x14ac:dyDescent="0.25">
      <c r="A71" s="2">
        <v>17466</v>
      </c>
      <c r="B71" s="3" t="s">
        <v>316</v>
      </c>
      <c r="C71" s="2" t="s">
        <v>3656</v>
      </c>
      <c r="D71" s="2" t="s">
        <v>234</v>
      </c>
      <c r="E71" s="3" t="s">
        <v>14</v>
      </c>
      <c r="F71" s="3" t="s">
        <v>263</v>
      </c>
      <c r="G71" s="2" t="s">
        <v>4529</v>
      </c>
      <c r="H71" s="2" t="s">
        <v>4542</v>
      </c>
      <c r="I71" s="3" t="s">
        <v>297</v>
      </c>
      <c r="J71" s="3" t="s">
        <v>317</v>
      </c>
      <c r="K71" s="3" t="s">
        <v>318</v>
      </c>
      <c r="L71" s="3" t="s">
        <v>234</v>
      </c>
      <c r="M71" s="3" t="s">
        <v>95</v>
      </c>
      <c r="N71" s="2">
        <v>1747</v>
      </c>
      <c r="O71" s="3" t="s">
        <v>96</v>
      </c>
      <c r="P71" s="3" t="s">
        <v>97</v>
      </c>
      <c r="Q71" s="2" t="s">
        <v>5466</v>
      </c>
      <c r="R71" s="3" t="s">
        <v>319</v>
      </c>
    </row>
    <row r="72" spans="1:18" x14ac:dyDescent="0.25">
      <c r="A72" s="2">
        <v>35694</v>
      </c>
      <c r="B72" s="3" t="s">
        <v>320</v>
      </c>
      <c r="C72" s="2" t="s">
        <v>3657</v>
      </c>
      <c r="D72" s="2" t="s">
        <v>234</v>
      </c>
      <c r="E72" s="3" t="s">
        <v>14</v>
      </c>
      <c r="F72" s="3" t="s">
        <v>263</v>
      </c>
      <c r="G72" s="2" t="s">
        <v>4529</v>
      </c>
      <c r="H72" s="2" t="s">
        <v>4543</v>
      </c>
      <c r="I72" s="3" t="s">
        <v>264</v>
      </c>
      <c r="J72" s="3" t="s">
        <v>321</v>
      </c>
      <c r="K72" s="3" t="s">
        <v>322</v>
      </c>
      <c r="L72" s="3" t="s">
        <v>234</v>
      </c>
      <c r="M72" s="3" t="s">
        <v>95</v>
      </c>
      <c r="N72" s="2">
        <v>1747</v>
      </c>
      <c r="O72" s="3" t="s">
        <v>271</v>
      </c>
      <c r="P72" s="3" t="s">
        <v>97</v>
      </c>
      <c r="Q72" s="2" t="s">
        <v>5467</v>
      </c>
      <c r="R72" s="3" t="s">
        <v>323</v>
      </c>
    </row>
    <row r="73" spans="1:18" x14ac:dyDescent="0.25">
      <c r="A73" s="2">
        <v>23122</v>
      </c>
      <c r="B73" s="3" t="s">
        <v>324</v>
      </c>
      <c r="C73" s="2" t="s">
        <v>3658</v>
      </c>
      <c r="D73" s="2" t="s">
        <v>234</v>
      </c>
      <c r="E73" s="3" t="s">
        <v>14</v>
      </c>
      <c r="F73" s="3" t="s">
        <v>263</v>
      </c>
      <c r="G73" s="2" t="s">
        <v>4529</v>
      </c>
      <c r="H73" s="2" t="s">
        <v>4544</v>
      </c>
      <c r="I73" s="3" t="s">
        <v>325</v>
      </c>
      <c r="J73" s="3" t="s">
        <v>138</v>
      </c>
      <c r="K73" s="3" t="s">
        <v>326</v>
      </c>
      <c r="L73" s="3" t="s">
        <v>234</v>
      </c>
      <c r="M73" s="3" t="s">
        <v>95</v>
      </c>
      <c r="N73" s="2">
        <v>1747</v>
      </c>
      <c r="O73" s="3" t="s">
        <v>271</v>
      </c>
      <c r="P73" s="3" t="s">
        <v>97</v>
      </c>
      <c r="Q73" s="2" t="s">
        <v>5468</v>
      </c>
      <c r="R73" s="3" t="s">
        <v>327</v>
      </c>
    </row>
    <row r="74" spans="1:18" x14ac:dyDescent="0.25">
      <c r="A74" s="2">
        <v>21640</v>
      </c>
      <c r="B74" s="3" t="s">
        <v>328</v>
      </c>
      <c r="C74" s="2" t="s">
        <v>3659</v>
      </c>
      <c r="D74" s="2" t="s">
        <v>234</v>
      </c>
      <c r="E74" s="3" t="s">
        <v>14</v>
      </c>
      <c r="F74" s="3" t="s">
        <v>263</v>
      </c>
      <c r="G74" s="2" t="s">
        <v>4529</v>
      </c>
      <c r="H74" s="2" t="s">
        <v>4545</v>
      </c>
      <c r="I74" s="3" t="s">
        <v>329</v>
      </c>
      <c r="J74" s="3" t="s">
        <v>138</v>
      </c>
      <c r="K74" s="3" t="s">
        <v>330</v>
      </c>
      <c r="L74" s="3" t="s">
        <v>234</v>
      </c>
      <c r="M74" s="3" t="s">
        <v>95</v>
      </c>
      <c r="N74" s="2">
        <v>1747</v>
      </c>
      <c r="O74" s="3" t="s">
        <v>271</v>
      </c>
      <c r="P74" s="3" t="s">
        <v>97</v>
      </c>
      <c r="Q74" s="2" t="s">
        <v>5469</v>
      </c>
      <c r="R74" s="3" t="s">
        <v>331</v>
      </c>
    </row>
    <row r="75" spans="1:18" x14ac:dyDescent="0.25">
      <c r="A75" s="2">
        <v>23359</v>
      </c>
      <c r="B75" s="3" t="s">
        <v>332</v>
      </c>
      <c r="C75" s="2" t="s">
        <v>3660</v>
      </c>
      <c r="D75" s="2" t="s">
        <v>338</v>
      </c>
      <c r="E75" s="3" t="s">
        <v>333</v>
      </c>
      <c r="F75" s="3" t="s">
        <v>334</v>
      </c>
      <c r="G75" s="2" t="s">
        <v>4546</v>
      </c>
      <c r="H75" s="2" t="s">
        <v>4547</v>
      </c>
      <c r="I75" s="3" t="s">
        <v>335</v>
      </c>
      <c r="J75" s="3" t="s">
        <v>336</v>
      </c>
      <c r="K75" s="3" t="s">
        <v>337</v>
      </c>
      <c r="L75" s="3" t="s">
        <v>338</v>
      </c>
      <c r="M75" s="3" t="s">
        <v>95</v>
      </c>
      <c r="N75" s="2">
        <v>201</v>
      </c>
      <c r="O75" s="3" t="s">
        <v>21</v>
      </c>
      <c r="P75" s="3" t="s">
        <v>97</v>
      </c>
      <c r="Q75" s="2" t="s">
        <v>5470</v>
      </c>
      <c r="R75" s="3" t="s">
        <v>339</v>
      </c>
    </row>
    <row r="76" spans="1:18" x14ac:dyDescent="0.25">
      <c r="A76" s="2">
        <v>36416</v>
      </c>
      <c r="B76" s="3" t="s">
        <v>340</v>
      </c>
      <c r="C76" s="2" t="s">
        <v>3661</v>
      </c>
      <c r="D76" s="2" t="s">
        <v>338</v>
      </c>
      <c r="E76" s="3" t="s">
        <v>333</v>
      </c>
      <c r="F76" s="3" t="s">
        <v>334</v>
      </c>
      <c r="G76" s="2" t="s">
        <v>4546</v>
      </c>
      <c r="H76" s="2" t="s">
        <v>4548</v>
      </c>
      <c r="I76" s="3" t="s">
        <v>341</v>
      </c>
      <c r="J76" s="3" t="s">
        <v>138</v>
      </c>
      <c r="K76" s="3" t="s">
        <v>342</v>
      </c>
      <c r="L76" s="3" t="s">
        <v>338</v>
      </c>
      <c r="M76" s="3" t="s">
        <v>95</v>
      </c>
      <c r="N76" s="2">
        <v>201</v>
      </c>
      <c r="O76" s="3" t="s">
        <v>21</v>
      </c>
      <c r="P76" s="3" t="s">
        <v>97</v>
      </c>
      <c r="Q76" s="2" t="s">
        <v>5471</v>
      </c>
      <c r="R76" s="3" t="s">
        <v>343</v>
      </c>
    </row>
    <row r="77" spans="1:18" x14ac:dyDescent="0.25">
      <c r="A77" s="2">
        <v>10028</v>
      </c>
      <c r="B77" s="3" t="s">
        <v>344</v>
      </c>
      <c r="C77" s="2" t="s">
        <v>3662</v>
      </c>
      <c r="D77" s="2" t="s">
        <v>338</v>
      </c>
      <c r="E77" s="3" t="s">
        <v>333</v>
      </c>
      <c r="F77" s="3" t="s">
        <v>334</v>
      </c>
      <c r="G77" s="2" t="s">
        <v>4546</v>
      </c>
      <c r="H77" s="2" t="s">
        <v>4549</v>
      </c>
      <c r="I77" s="3" t="s">
        <v>345</v>
      </c>
      <c r="J77" s="3" t="s">
        <v>346</v>
      </c>
      <c r="K77" s="3" t="s">
        <v>347</v>
      </c>
      <c r="L77" s="3" t="s">
        <v>338</v>
      </c>
      <c r="M77" s="3" t="s">
        <v>95</v>
      </c>
      <c r="N77" s="2">
        <v>201</v>
      </c>
      <c r="O77" s="3" t="s">
        <v>21</v>
      </c>
      <c r="P77" s="3" t="s">
        <v>97</v>
      </c>
      <c r="Q77" s="2" t="s">
        <v>5472</v>
      </c>
      <c r="R77" s="3" t="s">
        <v>348</v>
      </c>
    </row>
    <row r="78" spans="1:18" x14ac:dyDescent="0.25">
      <c r="A78" s="2">
        <v>4286</v>
      </c>
      <c r="B78" s="3" t="s">
        <v>349</v>
      </c>
      <c r="C78" s="2" t="s">
        <v>3663</v>
      </c>
      <c r="D78" s="2" t="s">
        <v>338</v>
      </c>
      <c r="E78" s="3" t="s">
        <v>333</v>
      </c>
      <c r="F78" s="3" t="s">
        <v>334</v>
      </c>
      <c r="G78" s="2" t="s">
        <v>4546</v>
      </c>
      <c r="H78" s="2" t="s">
        <v>4550</v>
      </c>
      <c r="I78" s="3" t="s">
        <v>350</v>
      </c>
      <c r="J78" s="3" t="s">
        <v>138</v>
      </c>
      <c r="K78" s="3" t="s">
        <v>351</v>
      </c>
      <c r="L78" s="3" t="s">
        <v>338</v>
      </c>
      <c r="M78" s="3" t="s">
        <v>95</v>
      </c>
      <c r="N78" s="2">
        <v>201</v>
      </c>
      <c r="O78" s="3" t="s">
        <v>21</v>
      </c>
      <c r="P78" s="3" t="s">
        <v>97</v>
      </c>
      <c r="Q78" s="2" t="s">
        <v>5473</v>
      </c>
      <c r="R78" s="3" t="s">
        <v>352</v>
      </c>
    </row>
    <row r="79" spans="1:18" x14ac:dyDescent="0.25">
      <c r="A79" s="2">
        <v>15203</v>
      </c>
      <c r="B79" s="3" t="s">
        <v>353</v>
      </c>
      <c r="C79" s="2" t="s">
        <v>3664</v>
      </c>
      <c r="D79" s="2" t="s">
        <v>338</v>
      </c>
      <c r="E79" s="3" t="s">
        <v>333</v>
      </c>
      <c r="F79" s="3" t="s">
        <v>334</v>
      </c>
      <c r="G79" s="2" t="s">
        <v>4546</v>
      </c>
      <c r="H79" s="2" t="s">
        <v>4551</v>
      </c>
      <c r="I79" s="3" t="s">
        <v>350</v>
      </c>
      <c r="J79" s="3" t="s">
        <v>138</v>
      </c>
      <c r="K79" s="3" t="s">
        <v>354</v>
      </c>
      <c r="L79" s="3" t="s">
        <v>338</v>
      </c>
      <c r="M79" s="3" t="s">
        <v>95</v>
      </c>
      <c r="N79" s="2">
        <v>201</v>
      </c>
      <c r="O79" s="3" t="s">
        <v>21</v>
      </c>
      <c r="P79" s="3" t="s">
        <v>97</v>
      </c>
      <c r="Q79" s="2" t="s">
        <v>5474</v>
      </c>
      <c r="R79" s="3" t="s">
        <v>355</v>
      </c>
    </row>
    <row r="80" spans="1:18" x14ac:dyDescent="0.25">
      <c r="A80" s="2">
        <v>13179</v>
      </c>
      <c r="B80" s="3" t="s">
        <v>356</v>
      </c>
      <c r="C80" s="2" t="s">
        <v>3665</v>
      </c>
      <c r="D80" s="2" t="s">
        <v>338</v>
      </c>
      <c r="E80" s="3" t="s">
        <v>333</v>
      </c>
      <c r="F80" s="3" t="s">
        <v>334</v>
      </c>
      <c r="G80" s="2" t="s">
        <v>4546</v>
      </c>
      <c r="H80" s="2" t="s">
        <v>4552</v>
      </c>
      <c r="I80" s="3" t="s">
        <v>335</v>
      </c>
      <c r="J80" s="3" t="s">
        <v>138</v>
      </c>
      <c r="K80" s="3" t="s">
        <v>357</v>
      </c>
      <c r="L80" s="3" t="s">
        <v>338</v>
      </c>
      <c r="M80" s="3" t="s">
        <v>95</v>
      </c>
      <c r="N80" s="2">
        <v>201</v>
      </c>
      <c r="O80" s="3" t="s">
        <v>21</v>
      </c>
      <c r="P80" s="3" t="s">
        <v>97</v>
      </c>
      <c r="Q80" s="2" t="s">
        <v>5475</v>
      </c>
      <c r="R80" s="3" t="s">
        <v>358</v>
      </c>
    </row>
    <row r="81" spans="1:18" x14ac:dyDescent="0.25">
      <c r="A81" s="2">
        <v>17506</v>
      </c>
      <c r="B81" s="3" t="s">
        <v>359</v>
      </c>
      <c r="C81" s="2" t="s">
        <v>3666</v>
      </c>
      <c r="D81" s="2" t="s">
        <v>338</v>
      </c>
      <c r="E81" s="3" t="s">
        <v>333</v>
      </c>
      <c r="F81" s="3" t="s">
        <v>334</v>
      </c>
      <c r="G81" s="2" t="s">
        <v>4546</v>
      </c>
      <c r="H81" s="2" t="s">
        <v>4553</v>
      </c>
      <c r="I81" s="3" t="s">
        <v>335</v>
      </c>
      <c r="J81" s="3" t="s">
        <v>138</v>
      </c>
      <c r="K81" s="3" t="s">
        <v>360</v>
      </c>
      <c r="L81" s="3" t="s">
        <v>338</v>
      </c>
      <c r="M81" s="3" t="s">
        <v>95</v>
      </c>
      <c r="N81" s="2">
        <v>201</v>
      </c>
      <c r="O81" s="3" t="s">
        <v>21</v>
      </c>
      <c r="P81" s="3" t="s">
        <v>97</v>
      </c>
      <c r="Q81" s="2" t="s">
        <v>5476</v>
      </c>
      <c r="R81" s="3" t="s">
        <v>361</v>
      </c>
    </row>
    <row r="82" spans="1:18" x14ac:dyDescent="0.25">
      <c r="A82" s="2">
        <v>25680</v>
      </c>
      <c r="B82" s="3" t="s">
        <v>362</v>
      </c>
      <c r="C82" s="2" t="s">
        <v>3667</v>
      </c>
      <c r="D82" s="2" t="s">
        <v>338</v>
      </c>
      <c r="E82" s="3" t="s">
        <v>333</v>
      </c>
      <c r="F82" s="3" t="s">
        <v>334</v>
      </c>
      <c r="G82" s="2" t="s">
        <v>4546</v>
      </c>
      <c r="H82" s="2" t="s">
        <v>4554</v>
      </c>
      <c r="I82" s="3" t="s">
        <v>363</v>
      </c>
      <c r="J82" s="3" t="s">
        <v>364</v>
      </c>
      <c r="K82" s="3" t="s">
        <v>365</v>
      </c>
      <c r="L82" s="3" t="s">
        <v>338</v>
      </c>
      <c r="M82" s="3" t="s">
        <v>95</v>
      </c>
      <c r="N82" s="2">
        <v>201</v>
      </c>
      <c r="O82" s="3" t="s">
        <v>21</v>
      </c>
      <c r="P82" s="3" t="s">
        <v>97</v>
      </c>
      <c r="Q82" s="2" t="s">
        <v>5477</v>
      </c>
      <c r="R82" s="3" t="s">
        <v>366</v>
      </c>
    </row>
    <row r="83" spans="1:18" x14ac:dyDescent="0.25">
      <c r="A83" s="2">
        <v>15564</v>
      </c>
      <c r="B83" s="3" t="s">
        <v>367</v>
      </c>
      <c r="C83" s="2" t="s">
        <v>3668</v>
      </c>
      <c r="D83" s="2" t="s">
        <v>338</v>
      </c>
      <c r="E83" s="3" t="s">
        <v>333</v>
      </c>
      <c r="F83" s="3" t="s">
        <v>334</v>
      </c>
      <c r="G83" s="2" t="s">
        <v>4546</v>
      </c>
      <c r="H83" s="2" t="s">
        <v>4555</v>
      </c>
      <c r="I83" s="3" t="s">
        <v>368</v>
      </c>
      <c r="J83" s="3" t="s">
        <v>138</v>
      </c>
      <c r="K83" s="3" t="s">
        <v>369</v>
      </c>
      <c r="L83" s="3" t="s">
        <v>338</v>
      </c>
      <c r="M83" s="3" t="s">
        <v>95</v>
      </c>
      <c r="N83" s="2">
        <v>201</v>
      </c>
      <c r="O83" s="3" t="s">
        <v>21</v>
      </c>
      <c r="P83" s="3" t="s">
        <v>97</v>
      </c>
      <c r="Q83" s="2" t="s">
        <v>5478</v>
      </c>
      <c r="R83" s="3" t="s">
        <v>370</v>
      </c>
    </row>
    <row r="84" spans="1:18" x14ac:dyDescent="0.25">
      <c r="A84" s="2">
        <v>28148</v>
      </c>
      <c r="B84" s="3" t="s">
        <v>371</v>
      </c>
      <c r="C84" s="2" t="s">
        <v>3669</v>
      </c>
      <c r="D84" s="2" t="s">
        <v>338</v>
      </c>
      <c r="E84" s="3" t="s">
        <v>333</v>
      </c>
      <c r="F84" s="3" t="s">
        <v>334</v>
      </c>
      <c r="G84" s="2" t="s">
        <v>4546</v>
      </c>
      <c r="H84" s="2" t="s">
        <v>4556</v>
      </c>
      <c r="I84" s="3" t="s">
        <v>350</v>
      </c>
      <c r="J84" s="3" t="s">
        <v>138</v>
      </c>
      <c r="K84" s="3" t="s">
        <v>372</v>
      </c>
      <c r="L84" s="3" t="s">
        <v>338</v>
      </c>
      <c r="M84" s="3" t="s">
        <v>95</v>
      </c>
      <c r="N84" s="2">
        <v>201</v>
      </c>
      <c r="O84" s="3" t="s">
        <v>21</v>
      </c>
      <c r="P84" s="3" t="s">
        <v>97</v>
      </c>
      <c r="Q84" s="2" t="s">
        <v>5479</v>
      </c>
      <c r="R84" s="3" t="s">
        <v>373</v>
      </c>
    </row>
    <row r="85" spans="1:18" x14ac:dyDescent="0.25">
      <c r="A85" s="2">
        <v>24185</v>
      </c>
      <c r="B85" s="3" t="s">
        <v>374</v>
      </c>
      <c r="C85" s="2" t="s">
        <v>3670</v>
      </c>
      <c r="D85" s="2" t="s">
        <v>338</v>
      </c>
      <c r="E85" s="3" t="s">
        <v>333</v>
      </c>
      <c r="F85" s="3" t="s">
        <v>334</v>
      </c>
      <c r="G85" s="2" t="s">
        <v>4557</v>
      </c>
      <c r="H85" s="2" t="s">
        <v>4558</v>
      </c>
      <c r="I85" s="3" t="s">
        <v>375</v>
      </c>
      <c r="J85" s="3" t="s">
        <v>138</v>
      </c>
      <c r="K85" s="3" t="s">
        <v>376</v>
      </c>
      <c r="L85" s="3" t="s">
        <v>338</v>
      </c>
      <c r="M85" s="3" t="s">
        <v>95</v>
      </c>
      <c r="N85" s="2">
        <v>201</v>
      </c>
      <c r="O85" s="3" t="s">
        <v>21</v>
      </c>
      <c r="P85" s="3" t="s">
        <v>97</v>
      </c>
      <c r="Q85" s="2" t="s">
        <v>5480</v>
      </c>
      <c r="R85" s="3" t="s">
        <v>377</v>
      </c>
    </row>
    <row r="86" spans="1:18" x14ac:dyDescent="0.25">
      <c r="A86" s="2">
        <v>36506</v>
      </c>
      <c r="B86" s="3" t="s">
        <v>378</v>
      </c>
      <c r="C86" s="2" t="s">
        <v>3671</v>
      </c>
      <c r="D86" s="2" t="s">
        <v>338</v>
      </c>
      <c r="E86" s="3" t="s">
        <v>333</v>
      </c>
      <c r="F86" s="3" t="s">
        <v>334</v>
      </c>
      <c r="G86" s="2" t="s">
        <v>4546</v>
      </c>
      <c r="H86" s="2" t="s">
        <v>4559</v>
      </c>
      <c r="I86" s="3" t="s">
        <v>345</v>
      </c>
      <c r="J86" s="3" t="s">
        <v>138</v>
      </c>
      <c r="K86" s="3" t="s">
        <v>379</v>
      </c>
      <c r="L86" s="3" t="s">
        <v>338</v>
      </c>
      <c r="M86" s="3" t="s">
        <v>95</v>
      </c>
      <c r="N86" s="2">
        <v>201</v>
      </c>
      <c r="O86" s="3" t="s">
        <v>21</v>
      </c>
      <c r="P86" s="3" t="s">
        <v>97</v>
      </c>
      <c r="Q86" s="2" t="s">
        <v>5481</v>
      </c>
      <c r="R86" s="3" t="s">
        <v>380</v>
      </c>
    </row>
    <row r="87" spans="1:18" x14ac:dyDescent="0.25">
      <c r="A87" s="2">
        <v>36335</v>
      </c>
      <c r="B87" s="3" t="s">
        <v>381</v>
      </c>
      <c r="C87" s="2" t="s">
        <v>3672</v>
      </c>
      <c r="D87" s="2" t="s">
        <v>338</v>
      </c>
      <c r="E87" s="3" t="s">
        <v>333</v>
      </c>
      <c r="F87" s="3" t="s">
        <v>334</v>
      </c>
      <c r="G87" s="2" t="s">
        <v>4546</v>
      </c>
      <c r="H87" s="2" t="s">
        <v>4560</v>
      </c>
      <c r="I87" s="3" t="s">
        <v>335</v>
      </c>
      <c r="J87" s="3" t="s">
        <v>382</v>
      </c>
      <c r="K87" s="3" t="s">
        <v>383</v>
      </c>
      <c r="L87" s="3" t="s">
        <v>338</v>
      </c>
      <c r="M87" s="3" t="s">
        <v>95</v>
      </c>
      <c r="N87" s="2">
        <v>201</v>
      </c>
      <c r="O87" s="3" t="s">
        <v>21</v>
      </c>
      <c r="P87" s="3" t="s">
        <v>97</v>
      </c>
      <c r="Q87" s="2" t="s">
        <v>5482</v>
      </c>
      <c r="R87" s="3" t="s">
        <v>384</v>
      </c>
    </row>
    <row r="88" spans="1:18" x14ac:dyDescent="0.25">
      <c r="A88" s="2">
        <v>21413</v>
      </c>
      <c r="B88" s="3" t="s">
        <v>385</v>
      </c>
      <c r="C88" s="2" t="s">
        <v>3673</v>
      </c>
      <c r="D88" s="2" t="s">
        <v>338</v>
      </c>
      <c r="E88" s="3" t="s">
        <v>333</v>
      </c>
      <c r="F88" s="3" t="s">
        <v>334</v>
      </c>
      <c r="G88" s="2" t="s">
        <v>4546</v>
      </c>
      <c r="H88" s="2" t="s">
        <v>4561</v>
      </c>
      <c r="I88" s="3" t="s">
        <v>386</v>
      </c>
      <c r="J88" s="3" t="s">
        <v>138</v>
      </c>
      <c r="K88" s="3" t="s">
        <v>387</v>
      </c>
      <c r="L88" s="3" t="s">
        <v>338</v>
      </c>
      <c r="M88" s="3" t="s">
        <v>95</v>
      </c>
      <c r="N88" s="2">
        <v>201</v>
      </c>
      <c r="O88" s="3" t="s">
        <v>21</v>
      </c>
      <c r="P88" s="3" t="s">
        <v>97</v>
      </c>
      <c r="Q88" s="2" t="s">
        <v>5483</v>
      </c>
      <c r="R88" s="3" t="s">
        <v>388</v>
      </c>
    </row>
    <row r="89" spans="1:18" x14ac:dyDescent="0.25">
      <c r="A89" s="2">
        <v>22698</v>
      </c>
      <c r="B89" s="3" t="s">
        <v>389</v>
      </c>
      <c r="C89" s="2" t="s">
        <v>3674</v>
      </c>
      <c r="D89" s="2" t="s">
        <v>338</v>
      </c>
      <c r="E89" s="3" t="s">
        <v>333</v>
      </c>
      <c r="F89" s="3" t="s">
        <v>334</v>
      </c>
      <c r="G89" s="2" t="s">
        <v>4546</v>
      </c>
      <c r="H89" s="2" t="s">
        <v>4562</v>
      </c>
      <c r="I89" s="3" t="s">
        <v>390</v>
      </c>
      <c r="J89" s="3" t="s">
        <v>138</v>
      </c>
      <c r="K89" s="3" t="s">
        <v>391</v>
      </c>
      <c r="L89" s="3" t="s">
        <v>338</v>
      </c>
      <c r="M89" s="3" t="s">
        <v>95</v>
      </c>
      <c r="N89" s="2">
        <v>201</v>
      </c>
      <c r="O89" s="3" t="s">
        <v>21</v>
      </c>
      <c r="P89" s="3" t="s">
        <v>97</v>
      </c>
      <c r="Q89" s="2" t="s">
        <v>5484</v>
      </c>
      <c r="R89" s="3" t="s">
        <v>392</v>
      </c>
    </row>
    <row r="90" spans="1:18" x14ac:dyDescent="0.25">
      <c r="A90" s="2">
        <v>17312</v>
      </c>
      <c r="B90" s="3" t="s">
        <v>393</v>
      </c>
      <c r="C90" s="2" t="s">
        <v>3675</v>
      </c>
      <c r="D90" s="2" t="s">
        <v>338</v>
      </c>
      <c r="E90" s="3" t="s">
        <v>333</v>
      </c>
      <c r="F90" s="3" t="s">
        <v>334</v>
      </c>
      <c r="G90" s="2" t="s">
        <v>4546</v>
      </c>
      <c r="H90" s="2" t="s">
        <v>4563</v>
      </c>
      <c r="I90" s="3" t="s">
        <v>394</v>
      </c>
      <c r="J90" s="3" t="s">
        <v>138</v>
      </c>
      <c r="K90" s="3" t="s">
        <v>395</v>
      </c>
      <c r="L90" s="3" t="s">
        <v>338</v>
      </c>
      <c r="M90" s="3" t="s">
        <v>95</v>
      </c>
      <c r="N90" s="2">
        <v>201</v>
      </c>
      <c r="O90" s="3" t="s">
        <v>21</v>
      </c>
      <c r="P90" s="3" t="s">
        <v>97</v>
      </c>
      <c r="Q90" s="2" t="s">
        <v>5485</v>
      </c>
      <c r="R90" s="3" t="s">
        <v>396</v>
      </c>
    </row>
    <row r="91" spans="1:18" x14ac:dyDescent="0.25">
      <c r="A91" s="2">
        <v>21910</v>
      </c>
      <c r="B91" s="3" t="s">
        <v>397</v>
      </c>
      <c r="C91" s="2" t="s">
        <v>3676</v>
      </c>
      <c r="D91" s="2" t="s">
        <v>338</v>
      </c>
      <c r="E91" s="3" t="s">
        <v>333</v>
      </c>
      <c r="F91" s="3" t="s">
        <v>334</v>
      </c>
      <c r="G91" s="2" t="s">
        <v>4546</v>
      </c>
      <c r="H91" s="2" t="s">
        <v>4564</v>
      </c>
      <c r="I91" s="3" t="s">
        <v>375</v>
      </c>
      <c r="J91" s="3" t="s">
        <v>138</v>
      </c>
      <c r="K91" s="3" t="s">
        <v>376</v>
      </c>
      <c r="L91" s="3" t="s">
        <v>338</v>
      </c>
      <c r="M91" s="3" t="s">
        <v>95</v>
      </c>
      <c r="N91" s="2">
        <v>201</v>
      </c>
      <c r="O91" s="3" t="s">
        <v>21</v>
      </c>
      <c r="P91" s="3" t="s">
        <v>97</v>
      </c>
      <c r="Q91" s="2" t="s">
        <v>5486</v>
      </c>
      <c r="R91" s="3" t="s">
        <v>398</v>
      </c>
    </row>
    <row r="92" spans="1:18" x14ac:dyDescent="0.25">
      <c r="A92" s="2">
        <v>23290</v>
      </c>
      <c r="B92" s="3" t="s">
        <v>399</v>
      </c>
      <c r="C92" s="2" t="s">
        <v>3677</v>
      </c>
      <c r="D92" s="2" t="s">
        <v>338</v>
      </c>
      <c r="E92" s="3" t="s">
        <v>333</v>
      </c>
      <c r="F92" s="3" t="s">
        <v>334</v>
      </c>
      <c r="G92" s="2" t="s">
        <v>4546</v>
      </c>
      <c r="H92" s="2" t="s">
        <v>4565</v>
      </c>
      <c r="I92" s="3" t="s">
        <v>394</v>
      </c>
      <c r="J92" s="3" t="s">
        <v>138</v>
      </c>
      <c r="K92" s="3" t="s">
        <v>395</v>
      </c>
      <c r="L92" s="3" t="s">
        <v>338</v>
      </c>
      <c r="M92" s="3" t="s">
        <v>95</v>
      </c>
      <c r="N92" s="2">
        <v>201</v>
      </c>
      <c r="O92" s="3" t="s">
        <v>21</v>
      </c>
      <c r="P92" s="3" t="s">
        <v>97</v>
      </c>
      <c r="Q92" s="2" t="s">
        <v>5487</v>
      </c>
      <c r="R92" s="3" t="s">
        <v>400</v>
      </c>
    </row>
    <row r="93" spans="1:18" x14ac:dyDescent="0.25">
      <c r="A93" s="2">
        <v>23242</v>
      </c>
      <c r="B93" s="3" t="s">
        <v>401</v>
      </c>
      <c r="C93" s="2" t="s">
        <v>3678</v>
      </c>
      <c r="D93" s="2" t="s">
        <v>338</v>
      </c>
      <c r="E93" s="3" t="s">
        <v>333</v>
      </c>
      <c r="F93" s="3" t="s">
        <v>334</v>
      </c>
      <c r="G93" s="2" t="s">
        <v>4546</v>
      </c>
      <c r="H93" s="2" t="s">
        <v>4566</v>
      </c>
      <c r="I93" s="3" t="s">
        <v>350</v>
      </c>
      <c r="J93" s="3" t="s">
        <v>138</v>
      </c>
      <c r="K93" s="3" t="s">
        <v>402</v>
      </c>
      <c r="L93" s="3" t="s">
        <v>338</v>
      </c>
      <c r="M93" s="3" t="s">
        <v>95</v>
      </c>
      <c r="N93" s="2">
        <v>201</v>
      </c>
      <c r="O93" s="3" t="s">
        <v>21</v>
      </c>
      <c r="P93" s="3" t="s">
        <v>97</v>
      </c>
      <c r="Q93" s="2" t="s">
        <v>5488</v>
      </c>
      <c r="R93" s="3" t="s">
        <v>403</v>
      </c>
    </row>
    <row r="94" spans="1:18" x14ac:dyDescent="0.25">
      <c r="A94" s="2">
        <v>18853</v>
      </c>
      <c r="B94" s="3" t="s">
        <v>404</v>
      </c>
      <c r="C94" s="2" t="s">
        <v>3679</v>
      </c>
      <c r="D94" s="2" t="s">
        <v>338</v>
      </c>
      <c r="E94" s="3" t="s">
        <v>333</v>
      </c>
      <c r="F94" s="3" t="s">
        <v>405</v>
      </c>
      <c r="G94" s="2" t="s">
        <v>4557</v>
      </c>
      <c r="H94" s="2" t="s">
        <v>4567</v>
      </c>
      <c r="I94" s="3" t="s">
        <v>406</v>
      </c>
      <c r="J94" s="3" t="s">
        <v>138</v>
      </c>
      <c r="K94" s="3" t="s">
        <v>407</v>
      </c>
      <c r="L94" s="3" t="s">
        <v>338</v>
      </c>
      <c r="M94" s="3" t="s">
        <v>95</v>
      </c>
      <c r="N94" s="2">
        <v>675</v>
      </c>
      <c r="O94" s="3" t="s">
        <v>244</v>
      </c>
      <c r="P94" s="3" t="s">
        <v>97</v>
      </c>
      <c r="Q94" s="2" t="s">
        <v>5489</v>
      </c>
      <c r="R94" s="3" t="s">
        <v>408</v>
      </c>
    </row>
    <row r="95" spans="1:18" x14ac:dyDescent="0.25">
      <c r="A95" s="2">
        <v>22745</v>
      </c>
      <c r="B95" s="3" t="s">
        <v>409</v>
      </c>
      <c r="C95" s="2" t="s">
        <v>3680</v>
      </c>
      <c r="D95" s="2" t="s">
        <v>338</v>
      </c>
      <c r="E95" s="3" t="s">
        <v>333</v>
      </c>
      <c r="F95" s="3" t="s">
        <v>405</v>
      </c>
      <c r="G95" s="2" t="s">
        <v>4557</v>
      </c>
      <c r="H95" s="2" t="s">
        <v>4568</v>
      </c>
      <c r="I95" s="3" t="s">
        <v>406</v>
      </c>
      <c r="J95" s="3" t="s">
        <v>410</v>
      </c>
      <c r="K95" s="3" t="s">
        <v>411</v>
      </c>
      <c r="L95" s="3" t="s">
        <v>338</v>
      </c>
      <c r="M95" s="3" t="s">
        <v>95</v>
      </c>
      <c r="N95" s="2">
        <v>675</v>
      </c>
      <c r="O95" s="3" t="s">
        <v>244</v>
      </c>
      <c r="P95" s="3" t="s">
        <v>97</v>
      </c>
      <c r="Q95" s="2" t="s">
        <v>5490</v>
      </c>
      <c r="R95" s="3" t="s">
        <v>412</v>
      </c>
    </row>
    <row r="96" spans="1:18" x14ac:dyDescent="0.25">
      <c r="A96" s="2">
        <v>34359</v>
      </c>
      <c r="B96" s="3" t="s">
        <v>413</v>
      </c>
      <c r="C96" s="2" t="s">
        <v>3681</v>
      </c>
      <c r="D96" s="2" t="s">
        <v>338</v>
      </c>
      <c r="E96" s="3" t="s">
        <v>333</v>
      </c>
      <c r="F96" s="3" t="s">
        <v>405</v>
      </c>
      <c r="G96" s="2" t="s">
        <v>4557</v>
      </c>
      <c r="H96" s="2" t="s">
        <v>4569</v>
      </c>
      <c r="I96" s="3" t="s">
        <v>414</v>
      </c>
      <c r="J96" s="3" t="s">
        <v>138</v>
      </c>
      <c r="K96" s="3" t="s">
        <v>415</v>
      </c>
      <c r="L96" s="3" t="s">
        <v>338</v>
      </c>
      <c r="M96" s="3" t="s">
        <v>95</v>
      </c>
      <c r="N96" s="2">
        <v>675</v>
      </c>
      <c r="O96" s="3" t="s">
        <v>244</v>
      </c>
      <c r="P96" s="3" t="s">
        <v>97</v>
      </c>
      <c r="Q96" s="2" t="s">
        <v>5491</v>
      </c>
      <c r="R96" s="3" t="s">
        <v>416</v>
      </c>
    </row>
    <row r="97" spans="1:18" x14ac:dyDescent="0.25">
      <c r="A97" s="2">
        <v>36585</v>
      </c>
      <c r="B97" s="3" t="s">
        <v>417</v>
      </c>
      <c r="C97" s="2" t="s">
        <v>3682</v>
      </c>
      <c r="D97" s="2" t="s">
        <v>338</v>
      </c>
      <c r="E97" s="3" t="s">
        <v>333</v>
      </c>
      <c r="F97" s="3" t="s">
        <v>405</v>
      </c>
      <c r="G97" s="2" t="s">
        <v>4557</v>
      </c>
      <c r="H97" s="2" t="s">
        <v>4570</v>
      </c>
      <c r="I97" s="3" t="s">
        <v>418</v>
      </c>
      <c r="J97" s="3" t="s">
        <v>138</v>
      </c>
      <c r="K97" s="3" t="s">
        <v>419</v>
      </c>
      <c r="L97" s="3" t="s">
        <v>338</v>
      </c>
      <c r="M97" s="3" t="s">
        <v>95</v>
      </c>
      <c r="N97" s="2">
        <v>675</v>
      </c>
      <c r="O97" s="3" t="s">
        <v>244</v>
      </c>
      <c r="P97" s="3" t="s">
        <v>97</v>
      </c>
      <c r="Q97" s="2" t="s">
        <v>5492</v>
      </c>
      <c r="R97" s="3" t="s">
        <v>420</v>
      </c>
    </row>
    <row r="98" spans="1:18" x14ac:dyDescent="0.25">
      <c r="A98" s="2">
        <v>40860</v>
      </c>
      <c r="B98" s="3" t="s">
        <v>421</v>
      </c>
      <c r="C98" s="2" t="s">
        <v>3683</v>
      </c>
      <c r="D98" s="2" t="s">
        <v>338</v>
      </c>
      <c r="E98" s="3" t="s">
        <v>333</v>
      </c>
      <c r="F98" s="3" t="s">
        <v>405</v>
      </c>
      <c r="G98" s="2" t="s">
        <v>4557</v>
      </c>
      <c r="H98" s="2" t="s">
        <v>4571</v>
      </c>
      <c r="I98" s="3" t="s">
        <v>422</v>
      </c>
      <c r="J98" s="3" t="s">
        <v>423</v>
      </c>
      <c r="K98" s="3" t="s">
        <v>424</v>
      </c>
      <c r="L98" s="3" t="s">
        <v>338</v>
      </c>
      <c r="M98" s="3" t="s">
        <v>20</v>
      </c>
      <c r="N98" s="2">
        <v>675</v>
      </c>
      <c r="O98" s="3" t="s">
        <v>21</v>
      </c>
      <c r="P98" s="3" t="s">
        <v>22</v>
      </c>
      <c r="Q98" s="2" t="s">
        <v>5493</v>
      </c>
      <c r="R98" s="3" t="s">
        <v>425</v>
      </c>
    </row>
    <row r="99" spans="1:18" x14ac:dyDescent="0.25">
      <c r="A99" s="2">
        <v>2175</v>
      </c>
      <c r="B99" s="3" t="s">
        <v>426</v>
      </c>
      <c r="C99" s="2" t="s">
        <v>3684</v>
      </c>
      <c r="D99" s="2" t="s">
        <v>338</v>
      </c>
      <c r="E99" s="3" t="s">
        <v>333</v>
      </c>
      <c r="F99" s="3" t="s">
        <v>405</v>
      </c>
      <c r="G99" s="2" t="s">
        <v>4557</v>
      </c>
      <c r="H99" s="2" t="s">
        <v>4572</v>
      </c>
      <c r="I99" s="3" t="s">
        <v>427</v>
      </c>
      <c r="J99" s="3" t="s">
        <v>138</v>
      </c>
      <c r="K99" s="3" t="s">
        <v>428</v>
      </c>
      <c r="L99" s="3" t="s">
        <v>338</v>
      </c>
      <c r="M99" s="3" t="s">
        <v>95</v>
      </c>
      <c r="N99" s="2">
        <v>675</v>
      </c>
      <c r="O99" s="3" t="s">
        <v>244</v>
      </c>
      <c r="P99" s="3" t="s">
        <v>97</v>
      </c>
      <c r="Q99" s="2" t="s">
        <v>5494</v>
      </c>
      <c r="R99" s="3" t="s">
        <v>429</v>
      </c>
    </row>
    <row r="100" spans="1:18" x14ac:dyDescent="0.25">
      <c r="A100" s="2">
        <v>19703</v>
      </c>
      <c r="B100" s="3" t="s">
        <v>430</v>
      </c>
      <c r="C100" s="2" t="s">
        <v>3685</v>
      </c>
      <c r="D100" s="2" t="s">
        <v>338</v>
      </c>
      <c r="E100" s="3" t="s">
        <v>333</v>
      </c>
      <c r="F100" s="3" t="s">
        <v>405</v>
      </c>
      <c r="G100" s="2" t="s">
        <v>4557</v>
      </c>
      <c r="H100" s="2" t="s">
        <v>4573</v>
      </c>
      <c r="I100" s="3" t="s">
        <v>422</v>
      </c>
      <c r="J100" s="3" t="s">
        <v>431</v>
      </c>
      <c r="K100" s="3" t="s">
        <v>432</v>
      </c>
      <c r="L100" s="3" t="s">
        <v>338</v>
      </c>
      <c r="M100" s="3" t="s">
        <v>20</v>
      </c>
      <c r="N100" s="2">
        <v>675</v>
      </c>
      <c r="O100" s="3" t="s">
        <v>21</v>
      </c>
      <c r="P100" s="3" t="s">
        <v>22</v>
      </c>
      <c r="Q100" s="2" t="s">
        <v>5495</v>
      </c>
      <c r="R100" s="3" t="s">
        <v>433</v>
      </c>
    </row>
    <row r="101" spans="1:18" x14ac:dyDescent="0.25">
      <c r="A101" s="2">
        <v>24630</v>
      </c>
      <c r="B101" s="3" t="s">
        <v>434</v>
      </c>
      <c r="C101" s="2" t="s">
        <v>3686</v>
      </c>
      <c r="D101" s="2" t="s">
        <v>338</v>
      </c>
      <c r="E101" s="3" t="s">
        <v>333</v>
      </c>
      <c r="F101" s="3" t="s">
        <v>405</v>
      </c>
      <c r="G101" s="2" t="s">
        <v>4557</v>
      </c>
      <c r="H101" s="2" t="s">
        <v>4574</v>
      </c>
      <c r="I101" s="3" t="s">
        <v>435</v>
      </c>
      <c r="J101" s="3" t="s">
        <v>138</v>
      </c>
      <c r="K101" s="3" t="s">
        <v>436</v>
      </c>
      <c r="L101" s="3" t="s">
        <v>338</v>
      </c>
      <c r="M101" s="3" t="s">
        <v>95</v>
      </c>
      <c r="N101" s="2">
        <v>675</v>
      </c>
      <c r="O101" s="3" t="s">
        <v>244</v>
      </c>
      <c r="P101" s="3" t="s">
        <v>97</v>
      </c>
      <c r="Q101" s="2" t="s">
        <v>5496</v>
      </c>
      <c r="R101" s="3" t="s">
        <v>437</v>
      </c>
    </row>
    <row r="102" spans="1:18" x14ac:dyDescent="0.25">
      <c r="A102" s="2">
        <v>38007</v>
      </c>
      <c r="B102" s="3" t="s">
        <v>438</v>
      </c>
      <c r="C102" s="2" t="s">
        <v>3687</v>
      </c>
      <c r="D102" s="2" t="s">
        <v>338</v>
      </c>
      <c r="E102" s="3" t="s">
        <v>333</v>
      </c>
      <c r="F102" s="3" t="s">
        <v>405</v>
      </c>
      <c r="G102" s="2" t="s">
        <v>4575</v>
      </c>
      <c r="H102" s="2" t="s">
        <v>4576</v>
      </c>
      <c r="I102" s="3" t="s">
        <v>439</v>
      </c>
      <c r="J102" s="3" t="s">
        <v>440</v>
      </c>
      <c r="K102" s="3" t="s">
        <v>441</v>
      </c>
      <c r="L102" s="3" t="s">
        <v>338</v>
      </c>
      <c r="M102" s="3" t="s">
        <v>95</v>
      </c>
      <c r="N102" s="2">
        <v>675</v>
      </c>
      <c r="O102" s="3" t="s">
        <v>244</v>
      </c>
      <c r="P102" s="3" t="s">
        <v>97</v>
      </c>
      <c r="Q102" s="2" t="s">
        <v>5497</v>
      </c>
      <c r="R102" s="3" t="s">
        <v>442</v>
      </c>
    </row>
    <row r="103" spans="1:18" x14ac:dyDescent="0.25">
      <c r="A103" s="2">
        <v>34742</v>
      </c>
      <c r="B103" s="3" t="s">
        <v>443</v>
      </c>
      <c r="C103" s="2" t="s">
        <v>3688</v>
      </c>
      <c r="D103" s="2" t="s">
        <v>338</v>
      </c>
      <c r="E103" s="3" t="s">
        <v>333</v>
      </c>
      <c r="F103" s="3" t="s">
        <v>405</v>
      </c>
      <c r="G103" s="2" t="s">
        <v>4557</v>
      </c>
      <c r="H103" s="2" t="s">
        <v>4577</v>
      </c>
      <c r="I103" s="3" t="s">
        <v>444</v>
      </c>
      <c r="J103" s="3" t="s">
        <v>138</v>
      </c>
      <c r="K103" s="3" t="s">
        <v>445</v>
      </c>
      <c r="L103" s="3" t="s">
        <v>338</v>
      </c>
      <c r="M103" s="3" t="s">
        <v>95</v>
      </c>
      <c r="N103" s="2">
        <v>675</v>
      </c>
      <c r="O103" s="3" t="s">
        <v>244</v>
      </c>
      <c r="P103" s="3" t="s">
        <v>97</v>
      </c>
      <c r="Q103" s="2" t="s">
        <v>5498</v>
      </c>
      <c r="R103" s="3" t="s">
        <v>446</v>
      </c>
    </row>
    <row r="104" spans="1:18" x14ac:dyDescent="0.25">
      <c r="A104" s="2">
        <v>2737</v>
      </c>
      <c r="B104" s="3" t="s">
        <v>447</v>
      </c>
      <c r="C104" s="2" t="s">
        <v>3689</v>
      </c>
      <c r="D104" s="2" t="s">
        <v>338</v>
      </c>
      <c r="E104" s="3" t="s">
        <v>333</v>
      </c>
      <c r="F104" s="3" t="s">
        <v>405</v>
      </c>
      <c r="G104" s="2" t="s">
        <v>4557</v>
      </c>
      <c r="H104" s="2" t="s">
        <v>4578</v>
      </c>
      <c r="I104" s="3" t="s">
        <v>448</v>
      </c>
      <c r="J104" s="3" t="s">
        <v>138</v>
      </c>
      <c r="K104" s="3" t="s">
        <v>449</v>
      </c>
      <c r="L104" s="3" t="s">
        <v>338</v>
      </c>
      <c r="M104" s="3" t="s">
        <v>95</v>
      </c>
      <c r="N104" s="2">
        <v>675</v>
      </c>
      <c r="O104" s="3" t="s">
        <v>244</v>
      </c>
      <c r="P104" s="3" t="s">
        <v>97</v>
      </c>
      <c r="Q104" s="2" t="s">
        <v>5499</v>
      </c>
      <c r="R104" s="3" t="s">
        <v>450</v>
      </c>
    </row>
    <row r="105" spans="1:18" x14ac:dyDescent="0.25">
      <c r="A105" s="2">
        <v>13178</v>
      </c>
      <c r="B105" s="3" t="s">
        <v>451</v>
      </c>
      <c r="C105" s="2" t="s">
        <v>3690</v>
      </c>
      <c r="D105" s="2" t="s">
        <v>338</v>
      </c>
      <c r="E105" s="3" t="s">
        <v>333</v>
      </c>
      <c r="F105" s="3" t="s">
        <v>405</v>
      </c>
      <c r="G105" s="2" t="s">
        <v>4557</v>
      </c>
      <c r="H105" s="2" t="s">
        <v>4579</v>
      </c>
      <c r="I105" s="3" t="s">
        <v>452</v>
      </c>
      <c r="J105" s="3" t="s">
        <v>138</v>
      </c>
      <c r="K105" s="3" t="s">
        <v>453</v>
      </c>
      <c r="L105" s="3" t="s">
        <v>338</v>
      </c>
      <c r="M105" s="3" t="s">
        <v>95</v>
      </c>
      <c r="N105" s="2">
        <v>675</v>
      </c>
      <c r="O105" s="3" t="s">
        <v>244</v>
      </c>
      <c r="P105" s="3" t="s">
        <v>97</v>
      </c>
      <c r="Q105" s="2" t="s">
        <v>5500</v>
      </c>
      <c r="R105" s="3" t="s">
        <v>454</v>
      </c>
    </row>
    <row r="106" spans="1:18" x14ac:dyDescent="0.25">
      <c r="A106" s="2">
        <v>11804</v>
      </c>
      <c r="B106" s="3" t="s">
        <v>455</v>
      </c>
      <c r="C106" s="2" t="s">
        <v>3691</v>
      </c>
      <c r="D106" s="2" t="s">
        <v>338</v>
      </c>
      <c r="E106" s="3" t="s">
        <v>333</v>
      </c>
      <c r="F106" s="3" t="s">
        <v>405</v>
      </c>
      <c r="G106" s="2" t="s">
        <v>4557</v>
      </c>
      <c r="H106" s="2" t="s">
        <v>4580</v>
      </c>
      <c r="I106" s="3" t="s">
        <v>418</v>
      </c>
      <c r="J106" s="3" t="s">
        <v>138</v>
      </c>
      <c r="K106" s="3" t="s">
        <v>419</v>
      </c>
      <c r="L106" s="3" t="s">
        <v>338</v>
      </c>
      <c r="M106" s="3" t="s">
        <v>95</v>
      </c>
      <c r="N106" s="2">
        <v>675</v>
      </c>
      <c r="O106" s="3" t="s">
        <v>244</v>
      </c>
      <c r="P106" s="3" t="s">
        <v>97</v>
      </c>
      <c r="Q106" s="2" t="s">
        <v>5501</v>
      </c>
      <c r="R106" s="3" t="s">
        <v>456</v>
      </c>
    </row>
    <row r="107" spans="1:18" x14ac:dyDescent="0.25">
      <c r="A107" s="2">
        <v>20220</v>
      </c>
      <c r="B107" s="3" t="s">
        <v>457</v>
      </c>
      <c r="C107" s="2" t="s">
        <v>3692</v>
      </c>
      <c r="D107" s="2" t="s">
        <v>338</v>
      </c>
      <c r="E107" s="3" t="s">
        <v>333</v>
      </c>
      <c r="F107" s="3" t="s">
        <v>405</v>
      </c>
      <c r="G107" s="2" t="s">
        <v>4557</v>
      </c>
      <c r="H107" s="2" t="s">
        <v>4581</v>
      </c>
      <c r="I107" s="3" t="s">
        <v>458</v>
      </c>
      <c r="J107" s="3" t="s">
        <v>459</v>
      </c>
      <c r="K107" s="3" t="s">
        <v>460</v>
      </c>
      <c r="L107" s="3" t="s">
        <v>338</v>
      </c>
      <c r="M107" s="3" t="s">
        <v>95</v>
      </c>
      <c r="N107" s="2">
        <v>675</v>
      </c>
      <c r="O107" s="3" t="s">
        <v>244</v>
      </c>
      <c r="P107" s="3" t="s">
        <v>97</v>
      </c>
      <c r="Q107" s="2" t="s">
        <v>5502</v>
      </c>
      <c r="R107" s="3" t="s">
        <v>461</v>
      </c>
    </row>
    <row r="108" spans="1:18" x14ac:dyDescent="0.25">
      <c r="A108" s="2">
        <v>40987</v>
      </c>
      <c r="B108" s="3" t="s">
        <v>462</v>
      </c>
      <c r="C108" s="2" t="s">
        <v>3693</v>
      </c>
      <c r="D108" s="2" t="s">
        <v>338</v>
      </c>
      <c r="E108" s="3" t="s">
        <v>333</v>
      </c>
      <c r="F108" s="3" t="s">
        <v>405</v>
      </c>
      <c r="G108" s="2" t="s">
        <v>4557</v>
      </c>
      <c r="H108" s="2" t="s">
        <v>4582</v>
      </c>
      <c r="I108" s="3" t="s">
        <v>463</v>
      </c>
      <c r="J108" s="3" t="s">
        <v>138</v>
      </c>
      <c r="K108" s="3" t="s">
        <v>464</v>
      </c>
      <c r="L108" s="3" t="s">
        <v>338</v>
      </c>
      <c r="M108" s="3" t="s">
        <v>95</v>
      </c>
      <c r="N108" s="2">
        <v>675</v>
      </c>
      <c r="O108" s="3" t="s">
        <v>244</v>
      </c>
      <c r="P108" s="3" t="s">
        <v>97</v>
      </c>
      <c r="Q108" s="2" t="s">
        <v>5503</v>
      </c>
      <c r="R108" s="3" t="s">
        <v>465</v>
      </c>
    </row>
    <row r="109" spans="1:18" x14ac:dyDescent="0.25">
      <c r="A109" s="2">
        <v>40546</v>
      </c>
      <c r="B109" s="3" t="s">
        <v>466</v>
      </c>
      <c r="C109" s="2" t="s">
        <v>3694</v>
      </c>
      <c r="D109" s="2" t="s">
        <v>338</v>
      </c>
      <c r="E109" s="3" t="s">
        <v>333</v>
      </c>
      <c r="F109" s="3" t="s">
        <v>405</v>
      </c>
      <c r="G109" s="2" t="s">
        <v>4557</v>
      </c>
      <c r="H109" s="2" t="s">
        <v>4583</v>
      </c>
      <c r="I109" s="3" t="s">
        <v>467</v>
      </c>
      <c r="J109" s="3" t="s">
        <v>138</v>
      </c>
      <c r="K109" s="3" t="s">
        <v>468</v>
      </c>
      <c r="L109" s="3" t="s">
        <v>338</v>
      </c>
      <c r="M109" s="3" t="s">
        <v>95</v>
      </c>
      <c r="N109" s="2">
        <v>675</v>
      </c>
      <c r="O109" s="3" t="s">
        <v>244</v>
      </c>
      <c r="P109" s="3" t="s">
        <v>97</v>
      </c>
      <c r="Q109" s="2" t="s">
        <v>5504</v>
      </c>
      <c r="R109" s="3" t="s">
        <v>469</v>
      </c>
    </row>
    <row r="110" spans="1:18" x14ac:dyDescent="0.25">
      <c r="A110" s="2">
        <v>39357</v>
      </c>
      <c r="B110" s="3" t="s">
        <v>470</v>
      </c>
      <c r="C110" s="2" t="s">
        <v>3695</v>
      </c>
      <c r="D110" s="2" t="s">
        <v>338</v>
      </c>
      <c r="E110" s="3" t="s">
        <v>333</v>
      </c>
      <c r="F110" s="3" t="s">
        <v>405</v>
      </c>
      <c r="G110" s="2" t="s">
        <v>4557</v>
      </c>
      <c r="H110" s="2" t="s">
        <v>4584</v>
      </c>
      <c r="I110" s="3" t="s">
        <v>471</v>
      </c>
      <c r="J110" s="3" t="s">
        <v>138</v>
      </c>
      <c r="K110" s="3" t="s">
        <v>472</v>
      </c>
      <c r="L110" s="3" t="s">
        <v>338</v>
      </c>
      <c r="M110" s="3" t="s">
        <v>95</v>
      </c>
      <c r="N110" s="2">
        <v>675</v>
      </c>
      <c r="O110" s="3" t="s">
        <v>244</v>
      </c>
      <c r="P110" s="3" t="s">
        <v>97</v>
      </c>
      <c r="Q110" s="2" t="s">
        <v>5505</v>
      </c>
      <c r="R110" s="3" t="s">
        <v>473</v>
      </c>
    </row>
    <row r="111" spans="1:18" x14ac:dyDescent="0.25">
      <c r="A111" s="2">
        <v>26521</v>
      </c>
      <c r="B111" s="3" t="s">
        <v>474</v>
      </c>
      <c r="C111" s="2" t="s">
        <v>3696</v>
      </c>
      <c r="D111" s="2" t="s">
        <v>338</v>
      </c>
      <c r="E111" s="3" t="s">
        <v>333</v>
      </c>
      <c r="F111" s="3" t="s">
        <v>405</v>
      </c>
      <c r="G111" s="2" t="s">
        <v>4557</v>
      </c>
      <c r="H111" s="2" t="s">
        <v>4585</v>
      </c>
      <c r="I111" s="3" t="s">
        <v>418</v>
      </c>
      <c r="J111" s="3" t="s">
        <v>475</v>
      </c>
      <c r="K111" s="3" t="s">
        <v>419</v>
      </c>
      <c r="L111" s="3" t="s">
        <v>338</v>
      </c>
      <c r="M111" s="3" t="s">
        <v>95</v>
      </c>
      <c r="N111" s="2">
        <v>675</v>
      </c>
      <c r="O111" s="3" t="s">
        <v>244</v>
      </c>
      <c r="P111" s="3" t="s">
        <v>97</v>
      </c>
      <c r="Q111" s="2" t="s">
        <v>5506</v>
      </c>
      <c r="R111" s="3" t="s">
        <v>476</v>
      </c>
    </row>
    <row r="112" spans="1:18" x14ac:dyDescent="0.25">
      <c r="A112" s="2">
        <v>23988</v>
      </c>
      <c r="B112" s="3" t="s">
        <v>477</v>
      </c>
      <c r="C112" s="2" t="s">
        <v>3697</v>
      </c>
      <c r="D112" s="2" t="s">
        <v>338</v>
      </c>
      <c r="E112" s="3" t="s">
        <v>333</v>
      </c>
      <c r="F112" s="3" t="s">
        <v>405</v>
      </c>
      <c r="G112" s="2" t="s">
        <v>4586</v>
      </c>
      <c r="H112" s="2" t="s">
        <v>4587</v>
      </c>
      <c r="I112" s="3" t="s">
        <v>478</v>
      </c>
      <c r="J112" s="3" t="s">
        <v>479</v>
      </c>
      <c r="K112" s="3" t="s">
        <v>480</v>
      </c>
      <c r="L112" s="3" t="s">
        <v>338</v>
      </c>
      <c r="M112" s="3" t="s">
        <v>95</v>
      </c>
      <c r="N112" s="2">
        <v>675</v>
      </c>
      <c r="O112" s="3" t="s">
        <v>244</v>
      </c>
      <c r="P112" s="3" t="s">
        <v>97</v>
      </c>
      <c r="Q112" s="2" t="s">
        <v>5507</v>
      </c>
      <c r="R112" s="3" t="s">
        <v>481</v>
      </c>
    </row>
    <row r="113" spans="1:18" x14ac:dyDescent="0.25">
      <c r="A113" s="2">
        <v>41282</v>
      </c>
      <c r="B113" s="3" t="s">
        <v>482</v>
      </c>
      <c r="C113" s="2" t="s">
        <v>3698</v>
      </c>
      <c r="D113" s="2" t="s">
        <v>338</v>
      </c>
      <c r="E113" s="3" t="s">
        <v>333</v>
      </c>
      <c r="F113" s="3" t="s">
        <v>405</v>
      </c>
      <c r="G113" s="2" t="s">
        <v>4557</v>
      </c>
      <c r="H113" s="2" t="s">
        <v>4588</v>
      </c>
      <c r="I113" s="3" t="s">
        <v>483</v>
      </c>
      <c r="J113" s="3" t="s">
        <v>138</v>
      </c>
      <c r="K113" s="3" t="s">
        <v>484</v>
      </c>
      <c r="L113" s="3" t="s">
        <v>338</v>
      </c>
      <c r="M113" s="3" t="s">
        <v>95</v>
      </c>
      <c r="N113" s="2">
        <v>675</v>
      </c>
      <c r="O113" s="3" t="s">
        <v>244</v>
      </c>
      <c r="P113" s="3" t="s">
        <v>97</v>
      </c>
      <c r="Q113" s="2" t="s">
        <v>5508</v>
      </c>
      <c r="R113" s="3" t="s">
        <v>485</v>
      </c>
    </row>
    <row r="114" spans="1:18" x14ac:dyDescent="0.25">
      <c r="A114" s="2">
        <v>1138</v>
      </c>
      <c r="B114" s="3" t="s">
        <v>486</v>
      </c>
      <c r="C114" s="2" t="s">
        <v>3699</v>
      </c>
      <c r="D114" s="2" t="s">
        <v>338</v>
      </c>
      <c r="E114" s="3" t="s">
        <v>333</v>
      </c>
      <c r="F114" s="3" t="s">
        <v>405</v>
      </c>
      <c r="G114" s="2" t="s">
        <v>4557</v>
      </c>
      <c r="H114" s="2" t="s">
        <v>4589</v>
      </c>
      <c r="I114" s="3" t="s">
        <v>487</v>
      </c>
      <c r="J114" s="3" t="s">
        <v>138</v>
      </c>
      <c r="K114" s="3" t="s">
        <v>488</v>
      </c>
      <c r="L114" s="3" t="s">
        <v>338</v>
      </c>
      <c r="M114" s="3" t="s">
        <v>95</v>
      </c>
      <c r="N114" s="2">
        <v>675</v>
      </c>
      <c r="O114" s="3" t="s">
        <v>244</v>
      </c>
      <c r="P114" s="3" t="s">
        <v>97</v>
      </c>
      <c r="Q114" s="2" t="s">
        <v>5509</v>
      </c>
      <c r="R114" s="3" t="s">
        <v>489</v>
      </c>
    </row>
    <row r="115" spans="1:18" x14ac:dyDescent="0.25">
      <c r="A115" s="2">
        <v>19329</v>
      </c>
      <c r="B115" s="3" t="s">
        <v>490</v>
      </c>
      <c r="C115" s="2" t="s">
        <v>3700</v>
      </c>
      <c r="D115" s="2" t="s">
        <v>338</v>
      </c>
      <c r="E115" s="3" t="s">
        <v>333</v>
      </c>
      <c r="F115" s="3" t="s">
        <v>405</v>
      </c>
      <c r="G115" s="2" t="s">
        <v>4557</v>
      </c>
      <c r="H115" s="2" t="s">
        <v>4590</v>
      </c>
      <c r="I115" s="3" t="s">
        <v>422</v>
      </c>
      <c r="J115" s="3" t="s">
        <v>491</v>
      </c>
      <c r="K115" s="3" t="s">
        <v>492</v>
      </c>
      <c r="L115" s="3" t="s">
        <v>338</v>
      </c>
      <c r="M115" s="3" t="s">
        <v>20</v>
      </c>
      <c r="N115" s="2">
        <v>675</v>
      </c>
      <c r="O115" s="3" t="s">
        <v>21</v>
      </c>
      <c r="P115" s="3" t="s">
        <v>22</v>
      </c>
      <c r="Q115" s="2" t="s">
        <v>5510</v>
      </c>
      <c r="R115" s="3" t="s">
        <v>493</v>
      </c>
    </row>
    <row r="116" spans="1:18" x14ac:dyDescent="0.25">
      <c r="A116" s="2">
        <v>996</v>
      </c>
      <c r="B116" s="3" t="s">
        <v>494</v>
      </c>
      <c r="C116" s="2" t="s">
        <v>3701</v>
      </c>
      <c r="D116" s="2" t="s">
        <v>338</v>
      </c>
      <c r="E116" s="3" t="s">
        <v>333</v>
      </c>
      <c r="F116" s="3" t="s">
        <v>405</v>
      </c>
      <c r="G116" s="2" t="s">
        <v>4557</v>
      </c>
      <c r="H116" s="2" t="s">
        <v>4591</v>
      </c>
      <c r="I116" s="3" t="s">
        <v>495</v>
      </c>
      <c r="J116" s="3" t="s">
        <v>138</v>
      </c>
      <c r="K116" s="3" t="s">
        <v>496</v>
      </c>
      <c r="L116" s="3" t="s">
        <v>338</v>
      </c>
      <c r="M116" s="3" t="s">
        <v>95</v>
      </c>
      <c r="N116" s="2">
        <v>675</v>
      </c>
      <c r="O116" s="3" t="s">
        <v>244</v>
      </c>
      <c r="P116" s="3" t="s">
        <v>97</v>
      </c>
      <c r="Q116" s="2" t="s">
        <v>5511</v>
      </c>
      <c r="R116" s="3" t="s">
        <v>497</v>
      </c>
    </row>
    <row r="117" spans="1:18" x14ac:dyDescent="0.25">
      <c r="A117" s="2">
        <v>22831</v>
      </c>
      <c r="B117" s="3" t="s">
        <v>498</v>
      </c>
      <c r="C117" s="2" t="s">
        <v>3702</v>
      </c>
      <c r="D117" s="2" t="s">
        <v>338</v>
      </c>
      <c r="E117" s="3" t="s">
        <v>333</v>
      </c>
      <c r="F117" s="3" t="s">
        <v>405</v>
      </c>
      <c r="G117" s="2" t="s">
        <v>4557</v>
      </c>
      <c r="H117" s="2" t="s">
        <v>4592</v>
      </c>
      <c r="I117" s="3" t="s">
        <v>499</v>
      </c>
      <c r="J117" s="3" t="s">
        <v>138</v>
      </c>
      <c r="K117" s="3" t="s">
        <v>500</v>
      </c>
      <c r="L117" s="3" t="s">
        <v>338</v>
      </c>
      <c r="M117" s="3" t="s">
        <v>95</v>
      </c>
      <c r="N117" s="2">
        <v>675</v>
      </c>
      <c r="O117" s="3" t="s">
        <v>244</v>
      </c>
      <c r="P117" s="3" t="s">
        <v>97</v>
      </c>
      <c r="Q117" s="2" t="s">
        <v>5512</v>
      </c>
      <c r="R117" s="3" t="s">
        <v>501</v>
      </c>
    </row>
    <row r="118" spans="1:18" x14ac:dyDescent="0.25">
      <c r="A118" s="2">
        <v>27230</v>
      </c>
      <c r="B118" s="3" t="s">
        <v>502</v>
      </c>
      <c r="C118" s="2" t="s">
        <v>3703</v>
      </c>
      <c r="D118" s="2" t="s">
        <v>338</v>
      </c>
      <c r="E118" s="3" t="s">
        <v>333</v>
      </c>
      <c r="F118" s="3" t="s">
        <v>405</v>
      </c>
      <c r="G118" s="2" t="s">
        <v>4557</v>
      </c>
      <c r="H118" s="2" t="s">
        <v>4593</v>
      </c>
      <c r="I118" s="3" t="s">
        <v>503</v>
      </c>
      <c r="J118" s="3" t="s">
        <v>138</v>
      </c>
      <c r="K118" s="3" t="s">
        <v>504</v>
      </c>
      <c r="L118" s="3" t="s">
        <v>338</v>
      </c>
      <c r="M118" s="3" t="s">
        <v>95</v>
      </c>
      <c r="N118" s="2">
        <v>675</v>
      </c>
      <c r="O118" s="3" t="s">
        <v>244</v>
      </c>
      <c r="P118" s="3" t="s">
        <v>97</v>
      </c>
      <c r="Q118" s="2" t="s">
        <v>5513</v>
      </c>
      <c r="R118" s="3" t="s">
        <v>505</v>
      </c>
    </row>
    <row r="119" spans="1:18" x14ac:dyDescent="0.25">
      <c r="A119" s="2">
        <v>22089</v>
      </c>
      <c r="B119" s="3" t="s">
        <v>506</v>
      </c>
      <c r="C119" s="2" t="s">
        <v>3704</v>
      </c>
      <c r="D119" s="2" t="s">
        <v>338</v>
      </c>
      <c r="E119" s="3" t="s">
        <v>333</v>
      </c>
      <c r="F119" s="3" t="s">
        <v>405</v>
      </c>
      <c r="G119" s="2" t="s">
        <v>4557</v>
      </c>
      <c r="H119" s="2" t="s">
        <v>4594</v>
      </c>
      <c r="I119" s="3" t="s">
        <v>483</v>
      </c>
      <c r="J119" s="3" t="s">
        <v>138</v>
      </c>
      <c r="K119" s="3" t="s">
        <v>507</v>
      </c>
      <c r="L119" s="3" t="s">
        <v>338</v>
      </c>
      <c r="M119" s="3" t="s">
        <v>95</v>
      </c>
      <c r="N119" s="2">
        <v>675</v>
      </c>
      <c r="O119" s="3" t="s">
        <v>244</v>
      </c>
      <c r="P119" s="3" t="s">
        <v>97</v>
      </c>
      <c r="Q119" s="2" t="s">
        <v>5514</v>
      </c>
      <c r="R119" s="3" t="s">
        <v>508</v>
      </c>
    </row>
    <row r="120" spans="1:18" x14ac:dyDescent="0.25">
      <c r="A120" s="2">
        <v>17072</v>
      </c>
      <c r="B120" s="3" t="s">
        <v>509</v>
      </c>
      <c r="C120" s="2" t="s">
        <v>3705</v>
      </c>
      <c r="D120" s="2" t="s">
        <v>338</v>
      </c>
      <c r="E120" s="3" t="s">
        <v>333</v>
      </c>
      <c r="F120" s="3" t="s">
        <v>405</v>
      </c>
      <c r="G120" s="2" t="s">
        <v>4557</v>
      </c>
      <c r="H120" s="2" t="s">
        <v>4595</v>
      </c>
      <c r="I120" s="3" t="s">
        <v>458</v>
      </c>
      <c r="J120" s="3" t="s">
        <v>138</v>
      </c>
      <c r="K120" s="3" t="s">
        <v>460</v>
      </c>
      <c r="L120" s="3" t="s">
        <v>338</v>
      </c>
      <c r="M120" s="3" t="s">
        <v>95</v>
      </c>
      <c r="N120" s="2">
        <v>675</v>
      </c>
      <c r="O120" s="3" t="s">
        <v>244</v>
      </c>
      <c r="P120" s="3" t="s">
        <v>97</v>
      </c>
      <c r="Q120" s="2" t="s">
        <v>5515</v>
      </c>
      <c r="R120" s="3" t="s">
        <v>510</v>
      </c>
    </row>
    <row r="121" spans="1:18" x14ac:dyDescent="0.25">
      <c r="A121" s="2">
        <v>41462</v>
      </c>
      <c r="B121" s="3" t="s">
        <v>511</v>
      </c>
      <c r="C121" s="2" t="s">
        <v>3706</v>
      </c>
      <c r="D121" s="2" t="s">
        <v>338</v>
      </c>
      <c r="E121" s="3" t="s">
        <v>333</v>
      </c>
      <c r="F121" s="3" t="s">
        <v>405</v>
      </c>
      <c r="G121" s="2" t="s">
        <v>4557</v>
      </c>
      <c r="H121" s="2" t="s">
        <v>4596</v>
      </c>
      <c r="I121" s="3" t="s">
        <v>512</v>
      </c>
      <c r="J121" s="3" t="s">
        <v>138</v>
      </c>
      <c r="K121" s="3" t="s">
        <v>513</v>
      </c>
      <c r="L121" s="3" t="s">
        <v>338</v>
      </c>
      <c r="M121" s="3" t="s">
        <v>95</v>
      </c>
      <c r="N121" s="2">
        <v>675</v>
      </c>
      <c r="O121" s="3" t="s">
        <v>244</v>
      </c>
      <c r="P121" s="3" t="s">
        <v>97</v>
      </c>
      <c r="Q121" s="2" t="s">
        <v>5516</v>
      </c>
      <c r="R121" s="3" t="s">
        <v>514</v>
      </c>
    </row>
    <row r="122" spans="1:18" x14ac:dyDescent="0.25">
      <c r="A122" s="2">
        <v>25073</v>
      </c>
      <c r="B122" s="3" t="s">
        <v>515</v>
      </c>
      <c r="C122" s="2" t="s">
        <v>3707</v>
      </c>
      <c r="D122" s="2" t="s">
        <v>338</v>
      </c>
      <c r="E122" s="3" t="s">
        <v>333</v>
      </c>
      <c r="F122" s="3" t="s">
        <v>405</v>
      </c>
      <c r="G122" s="2" t="s">
        <v>4557</v>
      </c>
      <c r="H122" s="2" t="s">
        <v>4597</v>
      </c>
      <c r="I122" s="3" t="s">
        <v>444</v>
      </c>
      <c r="J122" s="3" t="s">
        <v>138</v>
      </c>
      <c r="K122" s="3" t="s">
        <v>516</v>
      </c>
      <c r="L122" s="3" t="s">
        <v>338</v>
      </c>
      <c r="M122" s="3" t="s">
        <v>95</v>
      </c>
      <c r="N122" s="2">
        <v>675</v>
      </c>
      <c r="O122" s="3" t="s">
        <v>244</v>
      </c>
      <c r="P122" s="3" t="s">
        <v>97</v>
      </c>
      <c r="Q122" s="2" t="s">
        <v>5517</v>
      </c>
      <c r="R122" s="3" t="s">
        <v>517</v>
      </c>
    </row>
    <row r="123" spans="1:18" x14ac:dyDescent="0.25">
      <c r="A123" s="2">
        <v>37058</v>
      </c>
      <c r="B123" s="3" t="s">
        <v>518</v>
      </c>
      <c r="C123" s="2" t="s">
        <v>3708</v>
      </c>
      <c r="D123" s="2" t="s">
        <v>338</v>
      </c>
      <c r="E123" s="3" t="s">
        <v>333</v>
      </c>
      <c r="F123" s="3" t="s">
        <v>405</v>
      </c>
      <c r="G123" s="2" t="s">
        <v>4557</v>
      </c>
      <c r="H123" s="2" t="s">
        <v>4598</v>
      </c>
      <c r="I123" s="3" t="s">
        <v>519</v>
      </c>
      <c r="J123" s="3" t="s">
        <v>138</v>
      </c>
      <c r="K123" s="3" t="s">
        <v>520</v>
      </c>
      <c r="L123" s="3" t="s">
        <v>338</v>
      </c>
      <c r="M123" s="3" t="s">
        <v>95</v>
      </c>
      <c r="N123" s="2">
        <v>675</v>
      </c>
      <c r="O123" s="3" t="s">
        <v>244</v>
      </c>
      <c r="P123" s="3" t="s">
        <v>97</v>
      </c>
      <c r="Q123" s="2" t="s">
        <v>5518</v>
      </c>
      <c r="R123" s="3" t="s">
        <v>521</v>
      </c>
    </row>
    <row r="124" spans="1:18" x14ac:dyDescent="0.25">
      <c r="A124" s="2">
        <v>36252</v>
      </c>
      <c r="B124" s="3" t="s">
        <v>522</v>
      </c>
      <c r="C124" s="2" t="s">
        <v>3709</v>
      </c>
      <c r="D124" s="2" t="s">
        <v>338</v>
      </c>
      <c r="E124" s="3" t="s">
        <v>333</v>
      </c>
      <c r="F124" s="3" t="s">
        <v>405</v>
      </c>
      <c r="G124" s="2" t="s">
        <v>4557</v>
      </c>
      <c r="H124" s="2" t="s">
        <v>4599</v>
      </c>
      <c r="I124" s="3" t="s">
        <v>523</v>
      </c>
      <c r="J124" s="3" t="s">
        <v>524</v>
      </c>
      <c r="K124" s="3" t="s">
        <v>525</v>
      </c>
      <c r="L124" s="3" t="s">
        <v>338</v>
      </c>
      <c r="M124" s="3" t="s">
        <v>95</v>
      </c>
      <c r="N124" s="2">
        <v>675</v>
      </c>
      <c r="O124" s="3" t="s">
        <v>244</v>
      </c>
      <c r="P124" s="3" t="s">
        <v>97</v>
      </c>
      <c r="Q124" s="2" t="s">
        <v>5519</v>
      </c>
      <c r="R124" s="3" t="s">
        <v>526</v>
      </c>
    </row>
    <row r="125" spans="1:18" x14ac:dyDescent="0.25">
      <c r="A125" s="2">
        <v>38299</v>
      </c>
      <c r="B125" s="3" t="s">
        <v>527</v>
      </c>
      <c r="C125" s="2" t="s">
        <v>3710</v>
      </c>
      <c r="D125" s="2" t="s">
        <v>338</v>
      </c>
      <c r="E125" s="3" t="s">
        <v>333</v>
      </c>
      <c r="F125" s="3" t="s">
        <v>405</v>
      </c>
      <c r="G125" s="2" t="s">
        <v>4557</v>
      </c>
      <c r="H125" s="2" t="s">
        <v>4600</v>
      </c>
      <c r="I125" s="3" t="s">
        <v>528</v>
      </c>
      <c r="J125" s="3" t="s">
        <v>138</v>
      </c>
      <c r="K125" s="3" t="s">
        <v>529</v>
      </c>
      <c r="L125" s="3" t="s">
        <v>338</v>
      </c>
      <c r="M125" s="3" t="s">
        <v>95</v>
      </c>
      <c r="N125" s="2">
        <v>675</v>
      </c>
      <c r="O125" s="3" t="s">
        <v>244</v>
      </c>
      <c r="P125" s="3" t="s">
        <v>97</v>
      </c>
      <c r="Q125" s="2" t="s">
        <v>5520</v>
      </c>
      <c r="R125" s="3" t="s">
        <v>530</v>
      </c>
    </row>
    <row r="126" spans="1:18" x14ac:dyDescent="0.25">
      <c r="A126" s="2">
        <v>31879</v>
      </c>
      <c r="B126" s="3" t="s">
        <v>531</v>
      </c>
      <c r="C126" s="2" t="s">
        <v>3711</v>
      </c>
      <c r="D126" s="2" t="s">
        <v>338</v>
      </c>
      <c r="E126" s="3" t="s">
        <v>333</v>
      </c>
      <c r="F126" s="3" t="s">
        <v>405</v>
      </c>
      <c r="G126" s="2" t="s">
        <v>4557</v>
      </c>
      <c r="H126" s="2" t="s">
        <v>4601</v>
      </c>
      <c r="I126" s="3" t="s">
        <v>406</v>
      </c>
      <c r="J126" s="3" t="s">
        <v>138</v>
      </c>
      <c r="K126" s="3" t="s">
        <v>532</v>
      </c>
      <c r="L126" s="3" t="s">
        <v>338</v>
      </c>
      <c r="M126" s="3" t="s">
        <v>95</v>
      </c>
      <c r="N126" s="2">
        <v>675</v>
      </c>
      <c r="O126" s="3" t="s">
        <v>244</v>
      </c>
      <c r="P126" s="3" t="s">
        <v>97</v>
      </c>
      <c r="Q126" s="2" t="s">
        <v>5521</v>
      </c>
      <c r="R126" s="3" t="s">
        <v>533</v>
      </c>
    </row>
    <row r="127" spans="1:18" x14ac:dyDescent="0.25">
      <c r="A127" s="2">
        <v>22809</v>
      </c>
      <c r="B127" s="3" t="s">
        <v>534</v>
      </c>
      <c r="C127" s="2" t="s">
        <v>3712</v>
      </c>
      <c r="D127" s="2" t="s">
        <v>338</v>
      </c>
      <c r="E127" s="3" t="s">
        <v>333</v>
      </c>
      <c r="F127" s="3" t="s">
        <v>405</v>
      </c>
      <c r="G127" s="2" t="s">
        <v>4557</v>
      </c>
      <c r="H127" s="2" t="s">
        <v>4602</v>
      </c>
      <c r="I127" s="3" t="s">
        <v>535</v>
      </c>
      <c r="J127" s="3" t="s">
        <v>138</v>
      </c>
      <c r="K127" s="3" t="s">
        <v>536</v>
      </c>
      <c r="L127" s="3" t="s">
        <v>338</v>
      </c>
      <c r="M127" s="3" t="s">
        <v>95</v>
      </c>
      <c r="N127" s="2">
        <v>675</v>
      </c>
      <c r="O127" s="3" t="s">
        <v>244</v>
      </c>
      <c r="P127" s="3" t="s">
        <v>97</v>
      </c>
      <c r="Q127" s="2" t="s">
        <v>5522</v>
      </c>
      <c r="R127" s="3" t="s">
        <v>537</v>
      </c>
    </row>
    <row r="128" spans="1:18" x14ac:dyDescent="0.25">
      <c r="A128" s="2">
        <v>22719</v>
      </c>
      <c r="B128" s="3" t="s">
        <v>538</v>
      </c>
      <c r="C128" s="2" t="s">
        <v>3713</v>
      </c>
      <c r="D128" s="2" t="s">
        <v>338</v>
      </c>
      <c r="E128" s="3" t="s">
        <v>333</v>
      </c>
      <c r="F128" s="3" t="s">
        <v>405</v>
      </c>
      <c r="G128" s="2" t="s">
        <v>4557</v>
      </c>
      <c r="H128" s="2" t="s">
        <v>4603</v>
      </c>
      <c r="I128" s="3" t="s">
        <v>495</v>
      </c>
      <c r="J128" s="3" t="s">
        <v>539</v>
      </c>
      <c r="K128" s="3" t="s">
        <v>540</v>
      </c>
      <c r="L128" s="3" t="s">
        <v>338</v>
      </c>
      <c r="M128" s="3" t="s">
        <v>95</v>
      </c>
      <c r="N128" s="2">
        <v>675</v>
      </c>
      <c r="O128" s="3" t="s">
        <v>244</v>
      </c>
      <c r="P128" s="3" t="s">
        <v>97</v>
      </c>
      <c r="Q128" s="2" t="s">
        <v>5523</v>
      </c>
      <c r="R128" s="3" t="s">
        <v>541</v>
      </c>
    </row>
    <row r="129" spans="1:18" x14ac:dyDescent="0.25">
      <c r="A129" s="2">
        <v>5687</v>
      </c>
      <c r="B129" s="3" t="s">
        <v>542</v>
      </c>
      <c r="C129" s="2" t="s">
        <v>3714</v>
      </c>
      <c r="D129" s="2" t="s">
        <v>338</v>
      </c>
      <c r="E129" s="3" t="s">
        <v>333</v>
      </c>
      <c r="F129" s="3" t="s">
        <v>405</v>
      </c>
      <c r="G129" s="2" t="s">
        <v>4557</v>
      </c>
      <c r="H129" s="2" t="s">
        <v>4604</v>
      </c>
      <c r="I129" s="3" t="s">
        <v>543</v>
      </c>
      <c r="J129" s="3" t="s">
        <v>544</v>
      </c>
      <c r="K129" s="3" t="s">
        <v>545</v>
      </c>
      <c r="L129" s="3" t="s">
        <v>338</v>
      </c>
      <c r="M129" s="3" t="s">
        <v>20</v>
      </c>
      <c r="N129" s="2">
        <v>675</v>
      </c>
      <c r="O129" s="3" t="s">
        <v>21</v>
      </c>
      <c r="P129" s="3" t="s">
        <v>22</v>
      </c>
      <c r="Q129" s="2" t="s">
        <v>5524</v>
      </c>
      <c r="R129" s="3" t="s">
        <v>546</v>
      </c>
    </row>
    <row r="130" spans="1:18" x14ac:dyDescent="0.25">
      <c r="A130" s="2">
        <v>38051</v>
      </c>
      <c r="B130" s="3" t="s">
        <v>547</v>
      </c>
      <c r="C130" s="2" t="s">
        <v>3715</v>
      </c>
      <c r="D130" s="2" t="s">
        <v>338</v>
      </c>
      <c r="E130" s="3" t="s">
        <v>333</v>
      </c>
      <c r="F130" s="3" t="s">
        <v>548</v>
      </c>
      <c r="G130" s="2" t="s">
        <v>4605</v>
      </c>
      <c r="H130" s="2" t="s">
        <v>4606</v>
      </c>
      <c r="I130" s="3" t="s">
        <v>549</v>
      </c>
      <c r="J130" s="3" t="s">
        <v>550</v>
      </c>
      <c r="K130" s="3" t="s">
        <v>551</v>
      </c>
      <c r="L130" s="3" t="s">
        <v>338</v>
      </c>
      <c r="M130" s="3" t="s">
        <v>95</v>
      </c>
      <c r="N130" s="2">
        <v>628</v>
      </c>
      <c r="O130" s="3" t="s">
        <v>244</v>
      </c>
      <c r="P130" s="3" t="s">
        <v>97</v>
      </c>
      <c r="Q130" s="2" t="s">
        <v>5525</v>
      </c>
      <c r="R130" s="3" t="s">
        <v>552</v>
      </c>
    </row>
    <row r="131" spans="1:18" x14ac:dyDescent="0.25">
      <c r="A131" s="2">
        <v>40876</v>
      </c>
      <c r="B131" s="3" t="s">
        <v>553</v>
      </c>
      <c r="C131" s="2" t="s">
        <v>3716</v>
      </c>
      <c r="D131" s="2" t="s">
        <v>338</v>
      </c>
      <c r="E131" s="3" t="s">
        <v>333</v>
      </c>
      <c r="F131" s="3" t="s">
        <v>548</v>
      </c>
      <c r="G131" s="2" t="s">
        <v>4605</v>
      </c>
      <c r="H131" s="2" t="s">
        <v>4607</v>
      </c>
      <c r="I131" s="3" t="s">
        <v>554</v>
      </c>
      <c r="J131" s="3" t="s">
        <v>138</v>
      </c>
      <c r="K131" s="3" t="s">
        <v>555</v>
      </c>
      <c r="L131" s="3" t="s">
        <v>338</v>
      </c>
      <c r="M131" s="3" t="s">
        <v>95</v>
      </c>
      <c r="N131" s="2">
        <v>628</v>
      </c>
      <c r="O131" s="3" t="s">
        <v>244</v>
      </c>
      <c r="P131" s="3" t="s">
        <v>97</v>
      </c>
      <c r="Q131" s="2" t="s">
        <v>5526</v>
      </c>
      <c r="R131" s="3" t="s">
        <v>556</v>
      </c>
    </row>
    <row r="132" spans="1:18" x14ac:dyDescent="0.25">
      <c r="A132" s="2">
        <v>19069</v>
      </c>
      <c r="B132" s="3" t="s">
        <v>557</v>
      </c>
      <c r="C132" s="2" t="s">
        <v>3717</v>
      </c>
      <c r="D132" s="2" t="s">
        <v>338</v>
      </c>
      <c r="E132" s="3" t="s">
        <v>333</v>
      </c>
      <c r="F132" s="3" t="s">
        <v>548</v>
      </c>
      <c r="G132" s="2" t="s">
        <v>4605</v>
      </c>
      <c r="H132" s="2" t="s">
        <v>4608</v>
      </c>
      <c r="I132" s="3" t="s">
        <v>558</v>
      </c>
      <c r="J132" s="3" t="s">
        <v>138</v>
      </c>
      <c r="K132" s="3" t="s">
        <v>559</v>
      </c>
      <c r="L132" s="3" t="s">
        <v>338</v>
      </c>
      <c r="M132" s="3" t="s">
        <v>20</v>
      </c>
      <c r="N132" s="2">
        <v>628</v>
      </c>
      <c r="O132" s="3" t="s">
        <v>21</v>
      </c>
      <c r="P132" s="3" t="s">
        <v>22</v>
      </c>
      <c r="Q132" s="2" t="s">
        <v>5527</v>
      </c>
      <c r="R132" s="3" t="s">
        <v>560</v>
      </c>
    </row>
    <row r="133" spans="1:18" x14ac:dyDescent="0.25">
      <c r="A133" s="2">
        <v>41291</v>
      </c>
      <c r="B133" s="3" t="s">
        <v>561</v>
      </c>
      <c r="C133" s="2" t="s">
        <v>3718</v>
      </c>
      <c r="D133" s="2" t="s">
        <v>338</v>
      </c>
      <c r="E133" s="3" t="s">
        <v>333</v>
      </c>
      <c r="F133" s="3" t="s">
        <v>548</v>
      </c>
      <c r="G133" s="2" t="s">
        <v>4605</v>
      </c>
      <c r="H133" s="2" t="s">
        <v>4609</v>
      </c>
      <c r="I133" s="3" t="s">
        <v>558</v>
      </c>
      <c r="J133" s="3" t="s">
        <v>562</v>
      </c>
      <c r="K133" s="3" t="s">
        <v>563</v>
      </c>
      <c r="L133" s="3" t="s">
        <v>338</v>
      </c>
      <c r="M133" s="3" t="s">
        <v>20</v>
      </c>
      <c r="N133" s="2">
        <v>628</v>
      </c>
      <c r="O133" s="3" t="s">
        <v>21</v>
      </c>
      <c r="P133" s="3" t="s">
        <v>22</v>
      </c>
      <c r="Q133" s="2" t="s">
        <v>5528</v>
      </c>
      <c r="R133" s="3" t="s">
        <v>564</v>
      </c>
    </row>
    <row r="134" spans="1:18" x14ac:dyDescent="0.25">
      <c r="A134" s="2">
        <v>41098</v>
      </c>
      <c r="B134" s="3" t="s">
        <v>565</v>
      </c>
      <c r="C134" s="2" t="s">
        <v>3719</v>
      </c>
      <c r="D134" s="2" t="s">
        <v>338</v>
      </c>
      <c r="E134" s="3" t="s">
        <v>333</v>
      </c>
      <c r="F134" s="3" t="s">
        <v>548</v>
      </c>
      <c r="G134" s="2" t="s">
        <v>4605</v>
      </c>
      <c r="H134" s="2" t="s">
        <v>4610</v>
      </c>
      <c r="I134" s="3" t="s">
        <v>566</v>
      </c>
      <c r="J134" s="3" t="s">
        <v>567</v>
      </c>
      <c r="K134" s="3" t="s">
        <v>568</v>
      </c>
      <c r="L134" s="3" t="s">
        <v>338</v>
      </c>
      <c r="M134" s="3" t="s">
        <v>95</v>
      </c>
      <c r="N134" s="2">
        <v>628</v>
      </c>
      <c r="O134" s="3" t="s">
        <v>244</v>
      </c>
      <c r="P134" s="3" t="s">
        <v>97</v>
      </c>
      <c r="Q134" s="2" t="s">
        <v>5529</v>
      </c>
      <c r="R134" s="3" t="s">
        <v>569</v>
      </c>
    </row>
    <row r="135" spans="1:18" x14ac:dyDescent="0.25">
      <c r="A135" s="2">
        <v>13215</v>
      </c>
      <c r="B135" s="3" t="s">
        <v>570</v>
      </c>
      <c r="C135" s="2" t="s">
        <v>3720</v>
      </c>
      <c r="D135" s="2" t="s">
        <v>338</v>
      </c>
      <c r="E135" s="3" t="s">
        <v>333</v>
      </c>
      <c r="F135" s="3" t="s">
        <v>548</v>
      </c>
      <c r="G135" s="2" t="s">
        <v>4605</v>
      </c>
      <c r="H135" s="2" t="s">
        <v>4611</v>
      </c>
      <c r="I135" s="3" t="s">
        <v>549</v>
      </c>
      <c r="J135" s="3" t="s">
        <v>138</v>
      </c>
      <c r="K135" s="3" t="s">
        <v>571</v>
      </c>
      <c r="L135" s="3" t="s">
        <v>338</v>
      </c>
      <c r="M135" s="3" t="s">
        <v>95</v>
      </c>
      <c r="N135" s="2">
        <v>628</v>
      </c>
      <c r="O135" s="3" t="s">
        <v>244</v>
      </c>
      <c r="P135" s="3" t="s">
        <v>97</v>
      </c>
      <c r="Q135" s="2" t="s">
        <v>5530</v>
      </c>
      <c r="R135" s="3" t="s">
        <v>572</v>
      </c>
    </row>
    <row r="136" spans="1:18" x14ac:dyDescent="0.25">
      <c r="A136" s="2">
        <v>37989</v>
      </c>
      <c r="B136" s="3" t="s">
        <v>573</v>
      </c>
      <c r="C136" s="2" t="s">
        <v>3721</v>
      </c>
      <c r="D136" s="2" t="s">
        <v>338</v>
      </c>
      <c r="E136" s="3" t="s">
        <v>333</v>
      </c>
      <c r="F136" s="3" t="s">
        <v>548</v>
      </c>
      <c r="G136" s="2" t="s">
        <v>4605</v>
      </c>
      <c r="H136" s="2" t="s">
        <v>4612</v>
      </c>
      <c r="I136" s="3" t="s">
        <v>558</v>
      </c>
      <c r="J136" s="3" t="s">
        <v>574</v>
      </c>
      <c r="K136" s="3" t="s">
        <v>575</v>
      </c>
      <c r="L136" s="3" t="s">
        <v>338</v>
      </c>
      <c r="M136" s="3" t="s">
        <v>20</v>
      </c>
      <c r="N136" s="2">
        <v>628</v>
      </c>
      <c r="O136" s="3" t="s">
        <v>21</v>
      </c>
      <c r="P136" s="3" t="s">
        <v>22</v>
      </c>
      <c r="Q136" s="2" t="s">
        <v>5531</v>
      </c>
      <c r="R136" s="3" t="s">
        <v>576</v>
      </c>
    </row>
    <row r="137" spans="1:18" x14ac:dyDescent="0.25">
      <c r="A137" s="2">
        <v>39821</v>
      </c>
      <c r="B137" s="3" t="s">
        <v>577</v>
      </c>
      <c r="C137" s="2" t="s">
        <v>3722</v>
      </c>
      <c r="D137" s="2" t="s">
        <v>338</v>
      </c>
      <c r="E137" s="3" t="s">
        <v>333</v>
      </c>
      <c r="F137" s="3" t="s">
        <v>548</v>
      </c>
      <c r="G137" s="2" t="s">
        <v>4605</v>
      </c>
      <c r="H137" s="2" t="s">
        <v>4613</v>
      </c>
      <c r="I137" s="3" t="s">
        <v>578</v>
      </c>
      <c r="J137" s="3" t="s">
        <v>579</v>
      </c>
      <c r="K137" s="3" t="s">
        <v>580</v>
      </c>
      <c r="L137" s="3" t="s">
        <v>338</v>
      </c>
      <c r="M137" s="3" t="s">
        <v>95</v>
      </c>
      <c r="N137" s="2">
        <v>628</v>
      </c>
      <c r="O137" s="3" t="s">
        <v>244</v>
      </c>
      <c r="P137" s="3" t="s">
        <v>97</v>
      </c>
      <c r="Q137" s="2" t="s">
        <v>5532</v>
      </c>
      <c r="R137" s="3" t="s">
        <v>581</v>
      </c>
    </row>
    <row r="138" spans="1:18" x14ac:dyDescent="0.25">
      <c r="A138" s="2">
        <v>40245</v>
      </c>
      <c r="B138" s="3" t="s">
        <v>582</v>
      </c>
      <c r="C138" s="2" t="s">
        <v>3723</v>
      </c>
      <c r="D138" s="2" t="s">
        <v>338</v>
      </c>
      <c r="E138" s="3" t="s">
        <v>333</v>
      </c>
      <c r="F138" s="3" t="s">
        <v>548</v>
      </c>
      <c r="G138" s="2" t="s">
        <v>4605</v>
      </c>
      <c r="H138" s="2" t="s">
        <v>4614</v>
      </c>
      <c r="I138" s="3" t="s">
        <v>558</v>
      </c>
      <c r="J138" s="3" t="s">
        <v>583</v>
      </c>
      <c r="K138" s="3" t="s">
        <v>584</v>
      </c>
      <c r="L138" s="3" t="s">
        <v>338</v>
      </c>
      <c r="M138" s="3" t="s">
        <v>20</v>
      </c>
      <c r="N138" s="2">
        <v>628</v>
      </c>
      <c r="O138" s="3" t="s">
        <v>21</v>
      </c>
      <c r="P138" s="3" t="s">
        <v>22</v>
      </c>
      <c r="Q138" s="2" t="s">
        <v>5533</v>
      </c>
      <c r="R138" s="3" t="s">
        <v>585</v>
      </c>
    </row>
    <row r="139" spans="1:18" x14ac:dyDescent="0.25">
      <c r="A139" s="2">
        <v>39659</v>
      </c>
      <c r="B139" s="3" t="s">
        <v>586</v>
      </c>
      <c r="C139" s="2" t="s">
        <v>3724</v>
      </c>
      <c r="D139" s="2" t="s">
        <v>338</v>
      </c>
      <c r="E139" s="3" t="s">
        <v>333</v>
      </c>
      <c r="F139" s="3" t="s">
        <v>548</v>
      </c>
      <c r="G139" s="2" t="s">
        <v>4605</v>
      </c>
      <c r="H139" s="2" t="s">
        <v>4615</v>
      </c>
      <c r="I139" s="3" t="s">
        <v>558</v>
      </c>
      <c r="J139" s="3" t="s">
        <v>587</v>
      </c>
      <c r="K139" s="3" t="s">
        <v>588</v>
      </c>
      <c r="L139" s="3" t="s">
        <v>338</v>
      </c>
      <c r="M139" s="3" t="s">
        <v>20</v>
      </c>
      <c r="N139" s="2">
        <v>628</v>
      </c>
      <c r="O139" s="3" t="s">
        <v>21</v>
      </c>
      <c r="P139" s="3" t="s">
        <v>22</v>
      </c>
      <c r="Q139" s="2" t="s">
        <v>5534</v>
      </c>
      <c r="R139" s="3" t="s">
        <v>589</v>
      </c>
    </row>
    <row r="140" spans="1:18" x14ac:dyDescent="0.25">
      <c r="A140" s="2">
        <v>38874</v>
      </c>
      <c r="B140" s="3" t="s">
        <v>590</v>
      </c>
      <c r="C140" s="2" t="s">
        <v>3725</v>
      </c>
      <c r="D140" s="2" t="s">
        <v>338</v>
      </c>
      <c r="E140" s="3" t="s">
        <v>333</v>
      </c>
      <c r="F140" s="3" t="s">
        <v>548</v>
      </c>
      <c r="G140" s="2" t="s">
        <v>4605</v>
      </c>
      <c r="H140" s="2" t="s">
        <v>4616</v>
      </c>
      <c r="I140" s="3" t="s">
        <v>591</v>
      </c>
      <c r="J140" s="3" t="s">
        <v>592</v>
      </c>
      <c r="K140" s="3" t="s">
        <v>593</v>
      </c>
      <c r="L140" s="3" t="s">
        <v>338</v>
      </c>
      <c r="M140" s="3" t="s">
        <v>95</v>
      </c>
      <c r="N140" s="2">
        <v>628</v>
      </c>
      <c r="O140" s="3" t="s">
        <v>244</v>
      </c>
      <c r="P140" s="3" t="s">
        <v>97</v>
      </c>
      <c r="Q140" s="2" t="s">
        <v>5535</v>
      </c>
      <c r="R140" s="3" t="s">
        <v>594</v>
      </c>
    </row>
    <row r="141" spans="1:18" x14ac:dyDescent="0.25">
      <c r="A141" s="2">
        <v>21935</v>
      </c>
      <c r="B141" s="3" t="s">
        <v>595</v>
      </c>
      <c r="C141" s="2" t="s">
        <v>3726</v>
      </c>
      <c r="D141" s="2" t="s">
        <v>338</v>
      </c>
      <c r="E141" s="3" t="s">
        <v>333</v>
      </c>
      <c r="F141" s="3" t="s">
        <v>548</v>
      </c>
      <c r="G141" s="2" t="s">
        <v>4605</v>
      </c>
      <c r="H141" s="2" t="s">
        <v>4617</v>
      </c>
      <c r="I141" s="3" t="s">
        <v>558</v>
      </c>
      <c r="J141" s="3" t="s">
        <v>138</v>
      </c>
      <c r="K141" s="3" t="s">
        <v>596</v>
      </c>
      <c r="L141" s="3" t="s">
        <v>338</v>
      </c>
      <c r="M141" s="3" t="s">
        <v>20</v>
      </c>
      <c r="N141" s="2">
        <v>628</v>
      </c>
      <c r="O141" s="3" t="s">
        <v>21</v>
      </c>
      <c r="P141" s="3" t="s">
        <v>22</v>
      </c>
      <c r="Q141" s="2" t="s">
        <v>5536</v>
      </c>
      <c r="R141" s="3" t="s">
        <v>597</v>
      </c>
    </row>
    <row r="142" spans="1:18" x14ac:dyDescent="0.25">
      <c r="A142" s="2">
        <v>58858</v>
      </c>
      <c r="B142" s="3" t="s">
        <v>598</v>
      </c>
      <c r="C142" s="2" t="s">
        <v>3727</v>
      </c>
      <c r="D142" s="2" t="s">
        <v>338</v>
      </c>
      <c r="E142" s="3" t="s">
        <v>333</v>
      </c>
      <c r="F142" s="3" t="s">
        <v>548</v>
      </c>
      <c r="G142" s="2" t="s">
        <v>4605</v>
      </c>
      <c r="H142" s="2" t="s">
        <v>4618</v>
      </c>
      <c r="I142" s="3" t="s">
        <v>599</v>
      </c>
      <c r="J142" s="3" t="s">
        <v>600</v>
      </c>
      <c r="K142" s="3" t="s">
        <v>601</v>
      </c>
      <c r="L142" s="3" t="s">
        <v>338</v>
      </c>
      <c r="M142" s="3" t="s">
        <v>95</v>
      </c>
      <c r="N142" s="2">
        <v>628</v>
      </c>
      <c r="O142" s="3" t="s">
        <v>244</v>
      </c>
      <c r="P142" s="3" t="s">
        <v>97</v>
      </c>
      <c r="Q142" s="2" t="s">
        <v>5537</v>
      </c>
      <c r="R142" s="3" t="s">
        <v>602</v>
      </c>
    </row>
    <row r="143" spans="1:18" x14ac:dyDescent="0.25">
      <c r="A143" s="2">
        <v>34936</v>
      </c>
      <c r="B143" s="3" t="s">
        <v>603</v>
      </c>
      <c r="C143" s="2" t="s">
        <v>3728</v>
      </c>
      <c r="D143" s="2" t="s">
        <v>338</v>
      </c>
      <c r="E143" s="3" t="s">
        <v>333</v>
      </c>
      <c r="F143" s="3" t="s">
        <v>548</v>
      </c>
      <c r="G143" s="2" t="s">
        <v>4605</v>
      </c>
      <c r="H143" s="2" t="s">
        <v>4619</v>
      </c>
      <c r="I143" s="3" t="s">
        <v>604</v>
      </c>
      <c r="J143" s="3" t="s">
        <v>138</v>
      </c>
      <c r="K143" s="3" t="s">
        <v>605</v>
      </c>
      <c r="L143" s="3" t="s">
        <v>338</v>
      </c>
      <c r="M143" s="3" t="s">
        <v>95</v>
      </c>
      <c r="N143" s="2">
        <v>628</v>
      </c>
      <c r="O143" s="3" t="s">
        <v>244</v>
      </c>
      <c r="P143" s="3" t="s">
        <v>97</v>
      </c>
      <c r="Q143" s="2" t="s">
        <v>5538</v>
      </c>
      <c r="R143" s="3" t="s">
        <v>606</v>
      </c>
    </row>
    <row r="144" spans="1:18" x14ac:dyDescent="0.25">
      <c r="A144" s="2">
        <v>12551</v>
      </c>
      <c r="B144" s="3" t="s">
        <v>607</v>
      </c>
      <c r="C144" s="2" t="s">
        <v>3729</v>
      </c>
      <c r="D144" s="2" t="s">
        <v>338</v>
      </c>
      <c r="E144" s="3" t="s">
        <v>333</v>
      </c>
      <c r="F144" s="3" t="s">
        <v>548</v>
      </c>
      <c r="G144" s="2" t="s">
        <v>4605</v>
      </c>
      <c r="H144" s="2" t="s">
        <v>4620</v>
      </c>
      <c r="I144" s="3" t="s">
        <v>608</v>
      </c>
      <c r="J144" s="3" t="s">
        <v>609</v>
      </c>
      <c r="K144" s="3" t="s">
        <v>610</v>
      </c>
      <c r="L144" s="3" t="s">
        <v>338</v>
      </c>
      <c r="M144" s="3" t="s">
        <v>95</v>
      </c>
      <c r="N144" s="2">
        <v>628</v>
      </c>
      <c r="O144" s="3" t="s">
        <v>244</v>
      </c>
      <c r="P144" s="3" t="s">
        <v>97</v>
      </c>
      <c r="Q144" s="2" t="s">
        <v>5539</v>
      </c>
      <c r="R144" s="3" t="s">
        <v>611</v>
      </c>
    </row>
    <row r="145" spans="1:18" x14ac:dyDescent="0.25">
      <c r="A145" s="2">
        <v>16266</v>
      </c>
      <c r="B145" s="3" t="s">
        <v>612</v>
      </c>
      <c r="C145" s="2" t="s">
        <v>3730</v>
      </c>
      <c r="D145" s="2" t="s">
        <v>338</v>
      </c>
      <c r="E145" s="3" t="s">
        <v>333</v>
      </c>
      <c r="F145" s="3" t="s">
        <v>548</v>
      </c>
      <c r="G145" s="2" t="s">
        <v>4605</v>
      </c>
      <c r="H145" s="2" t="s">
        <v>4621</v>
      </c>
      <c r="I145" s="3" t="s">
        <v>558</v>
      </c>
      <c r="J145" s="3" t="s">
        <v>613</v>
      </c>
      <c r="K145" s="3" t="s">
        <v>614</v>
      </c>
      <c r="L145" s="3" t="s">
        <v>338</v>
      </c>
      <c r="M145" s="3" t="s">
        <v>20</v>
      </c>
      <c r="N145" s="2">
        <v>628</v>
      </c>
      <c r="O145" s="3" t="s">
        <v>21</v>
      </c>
      <c r="P145" s="3" t="s">
        <v>22</v>
      </c>
      <c r="Q145" s="2" t="s">
        <v>5540</v>
      </c>
      <c r="R145" s="3" t="s">
        <v>615</v>
      </c>
    </row>
    <row r="146" spans="1:18" x14ac:dyDescent="0.25">
      <c r="A146" s="2">
        <v>35059</v>
      </c>
      <c r="B146" s="3" t="s">
        <v>616</v>
      </c>
      <c r="C146" s="2" t="s">
        <v>3731</v>
      </c>
      <c r="D146" s="2" t="s">
        <v>338</v>
      </c>
      <c r="E146" s="3" t="s">
        <v>333</v>
      </c>
      <c r="F146" s="3" t="s">
        <v>548</v>
      </c>
      <c r="G146" s="2" t="s">
        <v>4605</v>
      </c>
      <c r="H146" s="2" t="s">
        <v>4622</v>
      </c>
      <c r="I146" s="3" t="s">
        <v>617</v>
      </c>
      <c r="J146" s="3" t="s">
        <v>138</v>
      </c>
      <c r="K146" s="3" t="s">
        <v>618</v>
      </c>
      <c r="L146" s="3" t="s">
        <v>338</v>
      </c>
      <c r="M146" s="3" t="s">
        <v>95</v>
      </c>
      <c r="N146" s="2">
        <v>628</v>
      </c>
      <c r="O146" s="3" t="s">
        <v>244</v>
      </c>
      <c r="P146" s="3" t="s">
        <v>97</v>
      </c>
      <c r="Q146" s="2" t="s">
        <v>5541</v>
      </c>
      <c r="R146" s="3" t="s">
        <v>619</v>
      </c>
    </row>
    <row r="147" spans="1:18" x14ac:dyDescent="0.25">
      <c r="A147" s="2">
        <v>12915</v>
      </c>
      <c r="B147" s="3" t="s">
        <v>620</v>
      </c>
      <c r="C147" s="2" t="s">
        <v>3732</v>
      </c>
      <c r="D147" s="2" t="s">
        <v>338</v>
      </c>
      <c r="E147" s="3" t="s">
        <v>333</v>
      </c>
      <c r="F147" s="3" t="s">
        <v>548</v>
      </c>
      <c r="G147" s="2" t="s">
        <v>4605</v>
      </c>
      <c r="H147" s="2" t="s">
        <v>4623</v>
      </c>
      <c r="I147" s="3" t="s">
        <v>558</v>
      </c>
      <c r="J147" s="3" t="s">
        <v>621</v>
      </c>
      <c r="K147" s="3" t="s">
        <v>622</v>
      </c>
      <c r="L147" s="3" t="s">
        <v>338</v>
      </c>
      <c r="M147" s="3" t="s">
        <v>20</v>
      </c>
      <c r="N147" s="2">
        <v>628</v>
      </c>
      <c r="O147" s="3" t="s">
        <v>21</v>
      </c>
      <c r="P147" s="3" t="s">
        <v>22</v>
      </c>
      <c r="Q147" s="2" t="s">
        <v>5542</v>
      </c>
      <c r="R147" s="3" t="s">
        <v>623</v>
      </c>
    </row>
    <row r="148" spans="1:18" x14ac:dyDescent="0.25">
      <c r="A148" s="2">
        <v>40778</v>
      </c>
      <c r="B148" s="3" t="s">
        <v>624</v>
      </c>
      <c r="C148" s="2" t="s">
        <v>3733</v>
      </c>
      <c r="D148" s="2" t="s">
        <v>338</v>
      </c>
      <c r="E148" s="3" t="s">
        <v>333</v>
      </c>
      <c r="F148" s="3" t="s">
        <v>548</v>
      </c>
      <c r="G148" s="2" t="s">
        <v>4605</v>
      </c>
      <c r="H148" s="2" t="s">
        <v>4624</v>
      </c>
      <c r="I148" s="3" t="s">
        <v>608</v>
      </c>
      <c r="J148" s="3" t="s">
        <v>567</v>
      </c>
      <c r="K148" s="3" t="s">
        <v>625</v>
      </c>
      <c r="L148" s="3" t="s">
        <v>338</v>
      </c>
      <c r="M148" s="3" t="s">
        <v>95</v>
      </c>
      <c r="N148" s="2">
        <v>628</v>
      </c>
      <c r="O148" s="3" t="s">
        <v>244</v>
      </c>
      <c r="P148" s="3" t="s">
        <v>97</v>
      </c>
      <c r="Q148" s="2" t="s">
        <v>5543</v>
      </c>
      <c r="R148" s="3" t="s">
        <v>626</v>
      </c>
    </row>
    <row r="149" spans="1:18" x14ac:dyDescent="0.25">
      <c r="A149" s="2">
        <v>40919</v>
      </c>
      <c r="B149" s="3" t="s">
        <v>627</v>
      </c>
      <c r="C149" s="2" t="s">
        <v>3734</v>
      </c>
      <c r="D149" s="2" t="s">
        <v>338</v>
      </c>
      <c r="E149" s="3" t="s">
        <v>333</v>
      </c>
      <c r="F149" s="3" t="s">
        <v>548</v>
      </c>
      <c r="G149" s="2" t="s">
        <v>4605</v>
      </c>
      <c r="H149" s="2" t="s">
        <v>4625</v>
      </c>
      <c r="I149" s="3" t="s">
        <v>599</v>
      </c>
      <c r="J149" s="3" t="s">
        <v>138</v>
      </c>
      <c r="K149" s="3" t="s">
        <v>628</v>
      </c>
      <c r="L149" s="3" t="s">
        <v>338</v>
      </c>
      <c r="M149" s="3" t="s">
        <v>95</v>
      </c>
      <c r="N149" s="2">
        <v>628</v>
      </c>
      <c r="O149" s="3" t="s">
        <v>244</v>
      </c>
      <c r="P149" s="3" t="s">
        <v>97</v>
      </c>
      <c r="Q149" s="2" t="s">
        <v>5544</v>
      </c>
      <c r="R149" s="3" t="s">
        <v>629</v>
      </c>
    </row>
    <row r="150" spans="1:18" x14ac:dyDescent="0.25">
      <c r="A150" s="2">
        <v>8244</v>
      </c>
      <c r="B150" s="3" t="s">
        <v>630</v>
      </c>
      <c r="C150" s="2" t="s">
        <v>3735</v>
      </c>
      <c r="D150" s="2" t="s">
        <v>338</v>
      </c>
      <c r="E150" s="3" t="s">
        <v>333</v>
      </c>
      <c r="F150" s="3" t="s">
        <v>631</v>
      </c>
      <c r="G150" s="2" t="s">
        <v>4626</v>
      </c>
      <c r="H150" s="2" t="s">
        <v>4627</v>
      </c>
      <c r="I150" s="3" t="s">
        <v>632</v>
      </c>
      <c r="J150" s="3" t="s">
        <v>138</v>
      </c>
      <c r="K150" s="3" t="s">
        <v>633</v>
      </c>
      <c r="L150" s="3" t="s">
        <v>338</v>
      </c>
      <c r="M150" s="3" t="s">
        <v>95</v>
      </c>
      <c r="N150" s="2">
        <v>1208</v>
      </c>
      <c r="O150" s="3" t="s">
        <v>244</v>
      </c>
      <c r="P150" s="3" t="s">
        <v>97</v>
      </c>
      <c r="Q150" s="2" t="s">
        <v>5545</v>
      </c>
      <c r="R150" s="3" t="s">
        <v>634</v>
      </c>
    </row>
    <row r="151" spans="1:18" x14ac:dyDescent="0.25">
      <c r="A151" s="2">
        <v>36789</v>
      </c>
      <c r="B151" s="3" t="s">
        <v>635</v>
      </c>
      <c r="C151" s="2" t="s">
        <v>3736</v>
      </c>
      <c r="D151" s="2" t="s">
        <v>338</v>
      </c>
      <c r="E151" s="3" t="s">
        <v>333</v>
      </c>
      <c r="F151" s="3" t="s">
        <v>631</v>
      </c>
      <c r="G151" s="2" t="s">
        <v>4626</v>
      </c>
      <c r="H151" s="2" t="s">
        <v>4628</v>
      </c>
      <c r="I151" s="3" t="s">
        <v>636</v>
      </c>
      <c r="J151" s="3" t="s">
        <v>138</v>
      </c>
      <c r="K151" s="3" t="s">
        <v>637</v>
      </c>
      <c r="L151" s="3" t="s">
        <v>338</v>
      </c>
      <c r="M151" s="3" t="s">
        <v>95</v>
      </c>
      <c r="N151" s="2">
        <v>1208</v>
      </c>
      <c r="O151" s="3" t="s">
        <v>244</v>
      </c>
      <c r="P151" s="3" t="s">
        <v>97</v>
      </c>
      <c r="Q151" s="2" t="s">
        <v>5546</v>
      </c>
      <c r="R151" s="3" t="s">
        <v>638</v>
      </c>
    </row>
    <row r="152" spans="1:18" x14ac:dyDescent="0.25">
      <c r="A152" s="2">
        <v>22496</v>
      </c>
      <c r="B152" s="3" t="s">
        <v>639</v>
      </c>
      <c r="C152" s="2" t="s">
        <v>3737</v>
      </c>
      <c r="D152" s="2" t="s">
        <v>338</v>
      </c>
      <c r="E152" s="3" t="s">
        <v>333</v>
      </c>
      <c r="F152" s="3" t="s">
        <v>631</v>
      </c>
      <c r="G152" s="2" t="s">
        <v>4626</v>
      </c>
      <c r="H152" s="2" t="s">
        <v>4629</v>
      </c>
      <c r="I152" s="3" t="s">
        <v>640</v>
      </c>
      <c r="J152" s="3" t="s">
        <v>138</v>
      </c>
      <c r="K152" s="3" t="s">
        <v>641</v>
      </c>
      <c r="L152" s="3" t="s">
        <v>338</v>
      </c>
      <c r="M152" s="3" t="s">
        <v>95</v>
      </c>
      <c r="N152" s="2">
        <v>1208</v>
      </c>
      <c r="O152" s="3" t="s">
        <v>244</v>
      </c>
      <c r="P152" s="3" t="s">
        <v>97</v>
      </c>
      <c r="Q152" s="2" t="s">
        <v>5547</v>
      </c>
      <c r="R152" s="3" t="s">
        <v>642</v>
      </c>
    </row>
    <row r="153" spans="1:18" x14ac:dyDescent="0.25">
      <c r="A153" s="2">
        <v>19928</v>
      </c>
      <c r="B153" s="3" t="s">
        <v>643</v>
      </c>
      <c r="C153" s="2" t="s">
        <v>3738</v>
      </c>
      <c r="D153" s="2" t="s">
        <v>338</v>
      </c>
      <c r="E153" s="3" t="s">
        <v>333</v>
      </c>
      <c r="F153" s="3" t="s">
        <v>631</v>
      </c>
      <c r="G153" s="2" t="s">
        <v>4626</v>
      </c>
      <c r="H153" s="2" t="s">
        <v>4630</v>
      </c>
      <c r="I153" s="3" t="s">
        <v>644</v>
      </c>
      <c r="J153" s="3" t="s">
        <v>138</v>
      </c>
      <c r="K153" s="3" t="s">
        <v>645</v>
      </c>
      <c r="L153" s="3" t="s">
        <v>338</v>
      </c>
      <c r="M153" s="3" t="s">
        <v>95</v>
      </c>
      <c r="N153" s="2">
        <v>1208</v>
      </c>
      <c r="O153" s="3" t="s">
        <v>244</v>
      </c>
      <c r="P153" s="3" t="s">
        <v>97</v>
      </c>
      <c r="Q153" s="2" t="s">
        <v>5548</v>
      </c>
      <c r="R153" s="3" t="s">
        <v>646</v>
      </c>
    </row>
    <row r="154" spans="1:18" x14ac:dyDescent="0.25">
      <c r="A154" s="2">
        <v>24678</v>
      </c>
      <c r="B154" s="3" t="s">
        <v>647</v>
      </c>
      <c r="C154" s="2" t="s">
        <v>3739</v>
      </c>
      <c r="D154" s="2" t="s">
        <v>338</v>
      </c>
      <c r="E154" s="3" t="s">
        <v>333</v>
      </c>
      <c r="F154" s="3" t="s">
        <v>631</v>
      </c>
      <c r="G154" s="2" t="s">
        <v>4626</v>
      </c>
      <c r="H154" s="2" t="s">
        <v>4631</v>
      </c>
      <c r="I154" s="3" t="s">
        <v>648</v>
      </c>
      <c r="J154" s="3" t="s">
        <v>138</v>
      </c>
      <c r="K154" s="3" t="s">
        <v>649</v>
      </c>
      <c r="L154" s="3" t="s">
        <v>338</v>
      </c>
      <c r="M154" s="3" t="s">
        <v>95</v>
      </c>
      <c r="N154" s="2">
        <v>1208</v>
      </c>
      <c r="O154" s="3" t="s">
        <v>244</v>
      </c>
      <c r="P154" s="3" t="s">
        <v>97</v>
      </c>
      <c r="Q154" s="2" t="s">
        <v>5549</v>
      </c>
      <c r="R154" s="3" t="s">
        <v>650</v>
      </c>
    </row>
    <row r="155" spans="1:18" x14ac:dyDescent="0.25">
      <c r="A155" s="2">
        <v>28680</v>
      </c>
      <c r="B155" s="3" t="s">
        <v>651</v>
      </c>
      <c r="C155" s="2" t="s">
        <v>3740</v>
      </c>
      <c r="D155" s="2" t="s">
        <v>338</v>
      </c>
      <c r="E155" s="3" t="s">
        <v>333</v>
      </c>
      <c r="F155" s="3" t="s">
        <v>631</v>
      </c>
      <c r="G155" s="2" t="s">
        <v>4626</v>
      </c>
      <c r="H155" s="2" t="s">
        <v>4632</v>
      </c>
      <c r="I155" s="3" t="s">
        <v>648</v>
      </c>
      <c r="J155" s="3" t="s">
        <v>652</v>
      </c>
      <c r="K155" s="3" t="s">
        <v>653</v>
      </c>
      <c r="L155" s="3" t="s">
        <v>338</v>
      </c>
      <c r="M155" s="3" t="s">
        <v>95</v>
      </c>
      <c r="N155" s="2">
        <v>1208</v>
      </c>
      <c r="O155" s="3" t="s">
        <v>244</v>
      </c>
      <c r="P155" s="3" t="s">
        <v>97</v>
      </c>
      <c r="Q155" s="2" t="s">
        <v>5550</v>
      </c>
      <c r="R155" s="3" t="s">
        <v>654</v>
      </c>
    </row>
    <row r="156" spans="1:18" x14ac:dyDescent="0.25">
      <c r="A156" s="2">
        <v>21397</v>
      </c>
      <c r="B156" s="3" t="s">
        <v>655</v>
      </c>
      <c r="C156" s="2" t="s">
        <v>3741</v>
      </c>
      <c r="D156" s="2" t="s">
        <v>338</v>
      </c>
      <c r="E156" s="3" t="s">
        <v>333</v>
      </c>
      <c r="F156" s="3" t="s">
        <v>631</v>
      </c>
      <c r="G156" s="2" t="s">
        <v>4626</v>
      </c>
      <c r="H156" s="2" t="s">
        <v>4633</v>
      </c>
      <c r="I156" s="3" t="s">
        <v>656</v>
      </c>
      <c r="J156" s="3" t="s">
        <v>657</v>
      </c>
      <c r="K156" s="3" t="s">
        <v>658</v>
      </c>
      <c r="L156" s="3" t="s">
        <v>338</v>
      </c>
      <c r="M156" s="3" t="s">
        <v>95</v>
      </c>
      <c r="N156" s="2">
        <v>1208</v>
      </c>
      <c r="O156" s="3" t="s">
        <v>244</v>
      </c>
      <c r="P156" s="3" t="s">
        <v>97</v>
      </c>
      <c r="Q156" s="2" t="s">
        <v>5551</v>
      </c>
      <c r="R156" s="3" t="s">
        <v>659</v>
      </c>
    </row>
    <row r="157" spans="1:18" x14ac:dyDescent="0.25">
      <c r="A157" s="2">
        <v>39009</v>
      </c>
      <c r="B157" s="3" t="s">
        <v>660</v>
      </c>
      <c r="C157" s="2" t="s">
        <v>3742</v>
      </c>
      <c r="D157" s="2" t="s">
        <v>338</v>
      </c>
      <c r="E157" s="3" t="s">
        <v>333</v>
      </c>
      <c r="F157" s="3" t="s">
        <v>631</v>
      </c>
      <c r="G157" s="2" t="s">
        <v>4626</v>
      </c>
      <c r="H157" s="2" t="s">
        <v>4634</v>
      </c>
      <c r="I157" s="3" t="s">
        <v>632</v>
      </c>
      <c r="J157" s="3" t="s">
        <v>138</v>
      </c>
      <c r="K157" s="3" t="s">
        <v>633</v>
      </c>
      <c r="L157" s="3" t="s">
        <v>338</v>
      </c>
      <c r="M157" s="3" t="s">
        <v>95</v>
      </c>
      <c r="N157" s="2">
        <v>1208</v>
      </c>
      <c r="O157" s="3" t="s">
        <v>244</v>
      </c>
      <c r="P157" s="3" t="s">
        <v>97</v>
      </c>
      <c r="Q157" s="2" t="s">
        <v>5552</v>
      </c>
      <c r="R157" s="3" t="s">
        <v>661</v>
      </c>
    </row>
    <row r="158" spans="1:18" x14ac:dyDescent="0.25">
      <c r="A158" s="2">
        <v>13290</v>
      </c>
      <c r="B158" s="3" t="s">
        <v>662</v>
      </c>
      <c r="C158" s="2" t="s">
        <v>3743</v>
      </c>
      <c r="D158" s="2" t="s">
        <v>338</v>
      </c>
      <c r="E158" s="3" t="s">
        <v>333</v>
      </c>
      <c r="F158" s="3" t="s">
        <v>631</v>
      </c>
      <c r="G158" s="2" t="s">
        <v>4626</v>
      </c>
      <c r="H158" s="2" t="s">
        <v>4635</v>
      </c>
      <c r="I158" s="3" t="s">
        <v>648</v>
      </c>
      <c r="J158" s="3" t="s">
        <v>138</v>
      </c>
      <c r="K158" s="3" t="s">
        <v>663</v>
      </c>
      <c r="L158" s="3" t="s">
        <v>338</v>
      </c>
      <c r="M158" s="3" t="s">
        <v>95</v>
      </c>
      <c r="N158" s="2">
        <v>1208</v>
      </c>
      <c r="O158" s="3" t="s">
        <v>244</v>
      </c>
      <c r="P158" s="3" t="s">
        <v>97</v>
      </c>
      <c r="Q158" s="2" t="s">
        <v>5553</v>
      </c>
      <c r="R158" s="3" t="s">
        <v>664</v>
      </c>
    </row>
    <row r="159" spans="1:18" x14ac:dyDescent="0.25">
      <c r="A159" s="2">
        <v>21498</v>
      </c>
      <c r="B159" s="3" t="s">
        <v>665</v>
      </c>
      <c r="C159" s="2" t="s">
        <v>3744</v>
      </c>
      <c r="D159" s="2" t="s">
        <v>338</v>
      </c>
      <c r="E159" s="3" t="s">
        <v>333</v>
      </c>
      <c r="F159" s="3" t="s">
        <v>631</v>
      </c>
      <c r="G159" s="2" t="s">
        <v>4626</v>
      </c>
      <c r="H159" s="2" t="s">
        <v>4636</v>
      </c>
      <c r="I159" s="3" t="s">
        <v>666</v>
      </c>
      <c r="J159" s="3" t="s">
        <v>138</v>
      </c>
      <c r="K159" s="3" t="s">
        <v>667</v>
      </c>
      <c r="L159" s="3" t="s">
        <v>338</v>
      </c>
      <c r="M159" s="3" t="s">
        <v>95</v>
      </c>
      <c r="N159" s="2">
        <v>1208</v>
      </c>
      <c r="O159" s="3" t="s">
        <v>244</v>
      </c>
      <c r="P159" s="3" t="s">
        <v>97</v>
      </c>
      <c r="Q159" s="2" t="s">
        <v>5554</v>
      </c>
      <c r="R159" s="3" t="s">
        <v>668</v>
      </c>
    </row>
    <row r="160" spans="1:18" x14ac:dyDescent="0.25">
      <c r="A160" s="2">
        <v>13751</v>
      </c>
      <c r="B160" s="3" t="s">
        <v>669</v>
      </c>
      <c r="C160" s="2" t="s">
        <v>3745</v>
      </c>
      <c r="D160" s="2" t="s">
        <v>338</v>
      </c>
      <c r="E160" s="3" t="s">
        <v>333</v>
      </c>
      <c r="F160" s="3" t="s">
        <v>631</v>
      </c>
      <c r="G160" s="2" t="s">
        <v>4626</v>
      </c>
      <c r="H160" s="2" t="s">
        <v>4637</v>
      </c>
      <c r="I160" s="3" t="s">
        <v>670</v>
      </c>
      <c r="J160" s="3" t="s">
        <v>138</v>
      </c>
      <c r="K160" s="3" t="s">
        <v>671</v>
      </c>
      <c r="L160" s="3" t="s">
        <v>338</v>
      </c>
      <c r="M160" s="3" t="s">
        <v>95</v>
      </c>
      <c r="N160" s="2">
        <v>1208</v>
      </c>
      <c r="O160" s="3" t="s">
        <v>244</v>
      </c>
      <c r="P160" s="3" t="s">
        <v>97</v>
      </c>
      <c r="Q160" s="2" t="s">
        <v>5555</v>
      </c>
      <c r="R160" s="3" t="s">
        <v>672</v>
      </c>
    </row>
    <row r="161" spans="1:18" x14ac:dyDescent="0.25">
      <c r="A161" s="2">
        <v>41084</v>
      </c>
      <c r="B161" s="3" t="s">
        <v>673</v>
      </c>
      <c r="C161" s="2" t="s">
        <v>3746</v>
      </c>
      <c r="D161" s="2" t="s">
        <v>338</v>
      </c>
      <c r="E161" s="3" t="s">
        <v>333</v>
      </c>
      <c r="F161" s="3" t="s">
        <v>631</v>
      </c>
      <c r="G161" s="2" t="s">
        <v>4626</v>
      </c>
      <c r="H161" s="2" t="s">
        <v>4638</v>
      </c>
      <c r="I161" s="3" t="s">
        <v>674</v>
      </c>
      <c r="J161" s="3" t="s">
        <v>138</v>
      </c>
      <c r="K161" s="3" t="s">
        <v>675</v>
      </c>
      <c r="L161" s="3" t="s">
        <v>338</v>
      </c>
      <c r="M161" s="3" t="s">
        <v>95</v>
      </c>
      <c r="N161" s="2">
        <v>1208</v>
      </c>
      <c r="O161" s="3" t="s">
        <v>244</v>
      </c>
      <c r="P161" s="3" t="s">
        <v>97</v>
      </c>
      <c r="Q161" s="2" t="s">
        <v>5556</v>
      </c>
      <c r="R161" s="3" t="s">
        <v>676</v>
      </c>
    </row>
    <row r="162" spans="1:18" x14ac:dyDescent="0.25">
      <c r="A162" s="2">
        <v>8175</v>
      </c>
      <c r="B162" s="3" t="s">
        <v>677</v>
      </c>
      <c r="C162" s="2" t="s">
        <v>3747</v>
      </c>
      <c r="D162" s="2" t="s">
        <v>338</v>
      </c>
      <c r="E162" s="3" t="s">
        <v>333</v>
      </c>
      <c r="F162" s="3" t="s">
        <v>678</v>
      </c>
      <c r="G162" s="2" t="s">
        <v>4575</v>
      </c>
      <c r="H162" s="2" t="s">
        <v>4639</v>
      </c>
      <c r="I162" s="3" t="s">
        <v>679</v>
      </c>
      <c r="J162" s="3" t="s">
        <v>138</v>
      </c>
      <c r="K162" s="3" t="s">
        <v>680</v>
      </c>
      <c r="L162" s="3" t="s">
        <v>338</v>
      </c>
      <c r="M162" s="3" t="s">
        <v>95</v>
      </c>
      <c r="N162" s="2">
        <v>105</v>
      </c>
      <c r="O162" s="3" t="s">
        <v>271</v>
      </c>
      <c r="P162" s="3" t="s">
        <v>97</v>
      </c>
      <c r="Q162" s="2" t="s">
        <v>5557</v>
      </c>
      <c r="R162" s="3" t="s">
        <v>681</v>
      </c>
    </row>
    <row r="163" spans="1:18" x14ac:dyDescent="0.25">
      <c r="A163" s="2">
        <v>39712</v>
      </c>
      <c r="B163" s="3" t="s">
        <v>682</v>
      </c>
      <c r="C163" s="2" t="s">
        <v>3748</v>
      </c>
      <c r="D163" s="2" t="s">
        <v>338</v>
      </c>
      <c r="E163" s="3" t="s">
        <v>333</v>
      </c>
      <c r="F163" s="3" t="s">
        <v>678</v>
      </c>
      <c r="G163" s="2" t="s">
        <v>4575</v>
      </c>
      <c r="H163" s="2" t="s">
        <v>4640</v>
      </c>
      <c r="I163" s="3" t="s">
        <v>683</v>
      </c>
      <c r="J163" s="3" t="s">
        <v>684</v>
      </c>
      <c r="K163" s="3" t="s">
        <v>685</v>
      </c>
      <c r="L163" s="3" t="s">
        <v>338</v>
      </c>
      <c r="M163" s="3" t="s">
        <v>95</v>
      </c>
      <c r="N163" s="2">
        <v>105</v>
      </c>
      <c r="O163" s="3" t="s">
        <v>271</v>
      </c>
      <c r="P163" s="3" t="s">
        <v>97</v>
      </c>
      <c r="Q163" s="2" t="s">
        <v>5558</v>
      </c>
      <c r="R163" s="3" t="s">
        <v>686</v>
      </c>
    </row>
    <row r="164" spans="1:18" x14ac:dyDescent="0.25">
      <c r="A164" s="2">
        <v>3009</v>
      </c>
      <c r="B164" s="3" t="s">
        <v>687</v>
      </c>
      <c r="C164" s="2" t="s">
        <v>3749</v>
      </c>
      <c r="D164" s="2" t="s">
        <v>338</v>
      </c>
      <c r="E164" s="3" t="s">
        <v>333</v>
      </c>
      <c r="F164" s="3" t="s">
        <v>678</v>
      </c>
      <c r="G164" s="2" t="s">
        <v>4575</v>
      </c>
      <c r="H164" s="2" t="s">
        <v>4641</v>
      </c>
      <c r="I164" s="3" t="s">
        <v>688</v>
      </c>
      <c r="J164" s="3" t="s">
        <v>138</v>
      </c>
      <c r="K164" s="3" t="s">
        <v>689</v>
      </c>
      <c r="L164" s="3" t="s">
        <v>338</v>
      </c>
      <c r="M164" s="3" t="s">
        <v>95</v>
      </c>
      <c r="N164" s="2">
        <v>105</v>
      </c>
      <c r="O164" s="3" t="s">
        <v>271</v>
      </c>
      <c r="P164" s="3" t="s">
        <v>97</v>
      </c>
      <c r="Q164" s="2" t="s">
        <v>5559</v>
      </c>
      <c r="R164" s="3" t="s">
        <v>690</v>
      </c>
    </row>
    <row r="165" spans="1:18" x14ac:dyDescent="0.25">
      <c r="A165" s="2">
        <v>10093</v>
      </c>
      <c r="B165" s="3" t="s">
        <v>691</v>
      </c>
      <c r="C165" s="2" t="s">
        <v>3750</v>
      </c>
      <c r="D165" s="2" t="s">
        <v>338</v>
      </c>
      <c r="E165" s="3" t="s">
        <v>333</v>
      </c>
      <c r="F165" s="3" t="s">
        <v>678</v>
      </c>
      <c r="G165" s="2" t="s">
        <v>4575</v>
      </c>
      <c r="H165" s="2" t="s">
        <v>4642</v>
      </c>
      <c r="I165" s="3" t="s">
        <v>692</v>
      </c>
      <c r="J165" s="3" t="s">
        <v>138</v>
      </c>
      <c r="K165" s="3" t="s">
        <v>693</v>
      </c>
      <c r="L165" s="3" t="s">
        <v>338</v>
      </c>
      <c r="M165" s="3" t="s">
        <v>95</v>
      </c>
      <c r="N165" s="2">
        <v>105</v>
      </c>
      <c r="O165" s="3" t="s">
        <v>271</v>
      </c>
      <c r="P165" s="3" t="s">
        <v>97</v>
      </c>
      <c r="Q165" s="2" t="s">
        <v>5560</v>
      </c>
      <c r="R165" s="3" t="s">
        <v>694</v>
      </c>
    </row>
    <row r="166" spans="1:18" x14ac:dyDescent="0.25">
      <c r="A166" s="2">
        <v>15799</v>
      </c>
      <c r="B166" s="3" t="s">
        <v>695</v>
      </c>
      <c r="C166" s="2" t="s">
        <v>3751</v>
      </c>
      <c r="D166" s="2" t="s">
        <v>338</v>
      </c>
      <c r="E166" s="3" t="s">
        <v>333</v>
      </c>
      <c r="F166" s="3" t="s">
        <v>678</v>
      </c>
      <c r="G166" s="2" t="s">
        <v>4575</v>
      </c>
      <c r="H166" s="2" t="s">
        <v>4643</v>
      </c>
      <c r="I166" s="3" t="s">
        <v>688</v>
      </c>
      <c r="J166" s="3" t="s">
        <v>138</v>
      </c>
      <c r="K166" s="3" t="s">
        <v>689</v>
      </c>
      <c r="L166" s="3" t="s">
        <v>338</v>
      </c>
      <c r="M166" s="3" t="s">
        <v>95</v>
      </c>
      <c r="N166" s="2">
        <v>105</v>
      </c>
      <c r="O166" s="3" t="s">
        <v>271</v>
      </c>
      <c r="P166" s="3" t="s">
        <v>97</v>
      </c>
      <c r="Q166" s="2" t="s">
        <v>5561</v>
      </c>
      <c r="R166" s="3" t="s">
        <v>696</v>
      </c>
    </row>
    <row r="167" spans="1:18" x14ac:dyDescent="0.25">
      <c r="A167" s="2">
        <v>853</v>
      </c>
      <c r="B167" s="3" t="s">
        <v>697</v>
      </c>
      <c r="C167" s="2" t="s">
        <v>3752</v>
      </c>
      <c r="D167" s="2" t="s">
        <v>338</v>
      </c>
      <c r="E167" s="3" t="s">
        <v>333</v>
      </c>
      <c r="F167" s="3" t="s">
        <v>678</v>
      </c>
      <c r="G167" s="2" t="s">
        <v>4575</v>
      </c>
      <c r="H167" s="2" t="s">
        <v>4644</v>
      </c>
      <c r="I167" s="3" t="s">
        <v>698</v>
      </c>
      <c r="J167" s="3" t="s">
        <v>138</v>
      </c>
      <c r="K167" s="3" t="s">
        <v>699</v>
      </c>
      <c r="L167" s="3" t="s">
        <v>338</v>
      </c>
      <c r="M167" s="3" t="s">
        <v>95</v>
      </c>
      <c r="N167" s="2">
        <v>105</v>
      </c>
      <c r="O167" s="3" t="s">
        <v>271</v>
      </c>
      <c r="P167" s="3" t="s">
        <v>97</v>
      </c>
      <c r="Q167" s="2" t="s">
        <v>5562</v>
      </c>
      <c r="R167" s="3" t="s">
        <v>700</v>
      </c>
    </row>
    <row r="168" spans="1:18" x14ac:dyDescent="0.25">
      <c r="A168" s="2">
        <v>27151</v>
      </c>
      <c r="B168" s="3" t="s">
        <v>701</v>
      </c>
      <c r="C168" s="2" t="s">
        <v>3753</v>
      </c>
      <c r="D168" s="2" t="s">
        <v>338</v>
      </c>
      <c r="E168" s="3" t="s">
        <v>333</v>
      </c>
      <c r="F168" s="3" t="s">
        <v>678</v>
      </c>
      <c r="G168" s="2" t="s">
        <v>4575</v>
      </c>
      <c r="H168" s="2" t="s">
        <v>4645</v>
      </c>
      <c r="I168" s="3" t="s">
        <v>702</v>
      </c>
      <c r="J168" s="3" t="s">
        <v>138</v>
      </c>
      <c r="K168" s="3" t="s">
        <v>703</v>
      </c>
      <c r="L168" s="3" t="s">
        <v>338</v>
      </c>
      <c r="M168" s="3" t="s">
        <v>95</v>
      </c>
      <c r="N168" s="2">
        <v>105</v>
      </c>
      <c r="O168" s="3" t="s">
        <v>271</v>
      </c>
      <c r="P168" s="3" t="s">
        <v>97</v>
      </c>
      <c r="Q168" s="2" t="s">
        <v>5563</v>
      </c>
      <c r="R168" s="3" t="s">
        <v>704</v>
      </c>
    </row>
    <row r="169" spans="1:18" x14ac:dyDescent="0.25">
      <c r="A169" s="2">
        <v>21419</v>
      </c>
      <c r="B169" s="3" t="s">
        <v>705</v>
      </c>
      <c r="C169" s="2" t="s">
        <v>3754</v>
      </c>
      <c r="D169" s="2" t="s">
        <v>338</v>
      </c>
      <c r="E169" s="3" t="s">
        <v>333</v>
      </c>
      <c r="F169" s="3" t="s">
        <v>678</v>
      </c>
      <c r="G169" s="2" t="s">
        <v>4575</v>
      </c>
      <c r="H169" s="2" t="s">
        <v>4646</v>
      </c>
      <c r="I169" s="3" t="s">
        <v>706</v>
      </c>
      <c r="J169" s="3" t="s">
        <v>138</v>
      </c>
      <c r="K169" s="3" t="s">
        <v>707</v>
      </c>
      <c r="L169" s="3" t="s">
        <v>338</v>
      </c>
      <c r="M169" s="3" t="s">
        <v>95</v>
      </c>
      <c r="N169" s="2">
        <v>105</v>
      </c>
      <c r="O169" s="3" t="s">
        <v>271</v>
      </c>
      <c r="P169" s="3" t="s">
        <v>97</v>
      </c>
      <c r="Q169" s="2" t="s">
        <v>5564</v>
      </c>
      <c r="R169" s="3" t="s">
        <v>708</v>
      </c>
    </row>
    <row r="170" spans="1:18" x14ac:dyDescent="0.25">
      <c r="A170" s="2">
        <v>14462</v>
      </c>
      <c r="B170" s="3" t="s">
        <v>709</v>
      </c>
      <c r="C170" s="2" t="s">
        <v>3755</v>
      </c>
      <c r="D170" s="2" t="s">
        <v>338</v>
      </c>
      <c r="E170" s="3" t="s">
        <v>333</v>
      </c>
      <c r="F170" s="3" t="s">
        <v>678</v>
      </c>
      <c r="G170" s="2" t="s">
        <v>4575</v>
      </c>
      <c r="H170" s="2" t="s">
        <v>4647</v>
      </c>
      <c r="I170" s="3" t="s">
        <v>710</v>
      </c>
      <c r="J170" s="3" t="s">
        <v>138</v>
      </c>
      <c r="K170" s="3" t="s">
        <v>711</v>
      </c>
      <c r="L170" s="3" t="s">
        <v>338</v>
      </c>
      <c r="M170" s="3" t="s">
        <v>95</v>
      </c>
      <c r="N170" s="2">
        <v>105</v>
      </c>
      <c r="O170" s="3" t="s">
        <v>271</v>
      </c>
      <c r="P170" s="3" t="s">
        <v>97</v>
      </c>
      <c r="Q170" s="2" t="s">
        <v>5565</v>
      </c>
      <c r="R170" s="3" t="s">
        <v>712</v>
      </c>
    </row>
    <row r="171" spans="1:18" x14ac:dyDescent="0.25">
      <c r="A171" s="2">
        <v>4519</v>
      </c>
      <c r="B171" s="3" t="s">
        <v>713</v>
      </c>
      <c r="C171" s="2" t="s">
        <v>3756</v>
      </c>
      <c r="D171" s="2" t="s">
        <v>338</v>
      </c>
      <c r="E171" s="3" t="s">
        <v>333</v>
      </c>
      <c r="F171" s="3" t="s">
        <v>678</v>
      </c>
      <c r="G171" s="2" t="s">
        <v>4575</v>
      </c>
      <c r="H171" s="2" t="s">
        <v>4648</v>
      </c>
      <c r="I171" s="3" t="s">
        <v>692</v>
      </c>
      <c r="J171" s="3" t="s">
        <v>138</v>
      </c>
      <c r="K171" s="3" t="s">
        <v>714</v>
      </c>
      <c r="L171" s="3" t="s">
        <v>338</v>
      </c>
      <c r="M171" s="3" t="s">
        <v>95</v>
      </c>
      <c r="N171" s="2">
        <v>105</v>
      </c>
      <c r="O171" s="3" t="s">
        <v>271</v>
      </c>
      <c r="P171" s="3" t="s">
        <v>97</v>
      </c>
      <c r="Q171" s="2" t="s">
        <v>5566</v>
      </c>
      <c r="R171" s="3" t="s">
        <v>715</v>
      </c>
    </row>
    <row r="172" spans="1:18" x14ac:dyDescent="0.25">
      <c r="A172" s="2">
        <v>38365</v>
      </c>
      <c r="B172" s="3" t="s">
        <v>716</v>
      </c>
      <c r="C172" s="2" t="s">
        <v>3757</v>
      </c>
      <c r="D172" s="2" t="s">
        <v>338</v>
      </c>
      <c r="E172" s="3" t="s">
        <v>333</v>
      </c>
      <c r="F172" s="3" t="s">
        <v>678</v>
      </c>
      <c r="G172" s="2" t="s">
        <v>4575</v>
      </c>
      <c r="H172" s="2" t="s">
        <v>4649</v>
      </c>
      <c r="I172" s="3" t="s">
        <v>683</v>
      </c>
      <c r="J172" s="3" t="s">
        <v>138</v>
      </c>
      <c r="K172" s="3" t="s">
        <v>717</v>
      </c>
      <c r="L172" s="3" t="s">
        <v>338</v>
      </c>
      <c r="M172" s="3" t="s">
        <v>95</v>
      </c>
      <c r="N172" s="2">
        <v>105</v>
      </c>
      <c r="O172" s="3" t="s">
        <v>271</v>
      </c>
      <c r="P172" s="3" t="s">
        <v>97</v>
      </c>
      <c r="Q172" s="2" t="s">
        <v>5567</v>
      </c>
      <c r="R172" s="3" t="s">
        <v>718</v>
      </c>
    </row>
    <row r="173" spans="1:18" x14ac:dyDescent="0.25">
      <c r="A173" s="2">
        <v>8287</v>
      </c>
      <c r="B173" s="3" t="s">
        <v>719</v>
      </c>
      <c r="C173" s="2" t="s">
        <v>3758</v>
      </c>
      <c r="D173" s="2" t="s">
        <v>338</v>
      </c>
      <c r="E173" s="3" t="s">
        <v>333</v>
      </c>
      <c r="F173" s="3" t="s">
        <v>678</v>
      </c>
      <c r="G173" s="2" t="s">
        <v>4575</v>
      </c>
      <c r="H173" s="2" t="s">
        <v>4650</v>
      </c>
      <c r="I173" s="3" t="s">
        <v>720</v>
      </c>
      <c r="J173" s="3" t="s">
        <v>721</v>
      </c>
      <c r="K173" s="3" t="s">
        <v>722</v>
      </c>
      <c r="L173" s="3" t="s">
        <v>338</v>
      </c>
      <c r="M173" s="3" t="s">
        <v>95</v>
      </c>
      <c r="N173" s="2">
        <v>105</v>
      </c>
      <c r="O173" s="3" t="s">
        <v>271</v>
      </c>
      <c r="P173" s="3" t="s">
        <v>97</v>
      </c>
      <c r="Q173" s="2" t="s">
        <v>5568</v>
      </c>
      <c r="R173" s="3" t="s">
        <v>723</v>
      </c>
    </row>
    <row r="174" spans="1:18" x14ac:dyDescent="0.25">
      <c r="A174" s="2">
        <v>14896</v>
      </c>
      <c r="B174" s="3" t="s">
        <v>724</v>
      </c>
      <c r="C174" s="2" t="s">
        <v>3759</v>
      </c>
      <c r="D174" s="2" t="s">
        <v>338</v>
      </c>
      <c r="E174" s="3" t="s">
        <v>333</v>
      </c>
      <c r="F174" s="3" t="s">
        <v>678</v>
      </c>
      <c r="G174" s="2" t="s">
        <v>4575</v>
      </c>
      <c r="H174" s="2" t="s">
        <v>4651</v>
      </c>
      <c r="I174" s="3" t="s">
        <v>692</v>
      </c>
      <c r="J174" s="3" t="s">
        <v>138</v>
      </c>
      <c r="K174" s="3" t="s">
        <v>725</v>
      </c>
      <c r="L174" s="3" t="s">
        <v>338</v>
      </c>
      <c r="M174" s="3" t="s">
        <v>95</v>
      </c>
      <c r="N174" s="2">
        <v>105</v>
      </c>
      <c r="O174" s="3" t="s">
        <v>271</v>
      </c>
      <c r="P174" s="3" t="s">
        <v>97</v>
      </c>
      <c r="Q174" s="2" t="s">
        <v>5569</v>
      </c>
      <c r="R174" s="3" t="s">
        <v>726</v>
      </c>
    </row>
    <row r="175" spans="1:18" x14ac:dyDescent="0.25">
      <c r="A175" s="2">
        <v>24049</v>
      </c>
      <c r="B175" s="3" t="s">
        <v>727</v>
      </c>
      <c r="C175" s="2" t="s">
        <v>3760</v>
      </c>
      <c r="D175" s="2" t="s">
        <v>338</v>
      </c>
      <c r="E175" s="3" t="s">
        <v>333</v>
      </c>
      <c r="F175" s="3" t="s">
        <v>678</v>
      </c>
      <c r="G175" s="2" t="s">
        <v>4575</v>
      </c>
      <c r="H175" s="2" t="s">
        <v>4652</v>
      </c>
      <c r="I175" s="3" t="s">
        <v>720</v>
      </c>
      <c r="J175" s="3" t="s">
        <v>728</v>
      </c>
      <c r="K175" s="3" t="s">
        <v>729</v>
      </c>
      <c r="L175" s="3" t="s">
        <v>338</v>
      </c>
      <c r="M175" s="3" t="s">
        <v>95</v>
      </c>
      <c r="N175" s="2">
        <v>105</v>
      </c>
      <c r="O175" s="3" t="s">
        <v>271</v>
      </c>
      <c r="P175" s="3" t="s">
        <v>97</v>
      </c>
      <c r="Q175" s="2" t="s">
        <v>5570</v>
      </c>
      <c r="R175" s="3" t="s">
        <v>730</v>
      </c>
    </row>
    <row r="176" spans="1:18" x14ac:dyDescent="0.25">
      <c r="A176" s="2">
        <v>11412</v>
      </c>
      <c r="B176" s="3" t="s">
        <v>731</v>
      </c>
      <c r="C176" s="2" t="s">
        <v>3761</v>
      </c>
      <c r="D176" s="2" t="s">
        <v>338</v>
      </c>
      <c r="E176" s="3" t="s">
        <v>333</v>
      </c>
      <c r="F176" s="3" t="s">
        <v>678</v>
      </c>
      <c r="G176" s="2" t="s">
        <v>4575</v>
      </c>
      <c r="H176" s="2" t="s">
        <v>4653</v>
      </c>
      <c r="I176" s="3" t="s">
        <v>692</v>
      </c>
      <c r="J176" s="3" t="s">
        <v>138</v>
      </c>
      <c r="K176" s="3" t="s">
        <v>732</v>
      </c>
      <c r="L176" s="3" t="s">
        <v>338</v>
      </c>
      <c r="M176" s="3" t="s">
        <v>95</v>
      </c>
      <c r="N176" s="2">
        <v>105</v>
      </c>
      <c r="O176" s="3" t="s">
        <v>271</v>
      </c>
      <c r="P176" s="3" t="s">
        <v>97</v>
      </c>
      <c r="Q176" s="2" t="s">
        <v>5571</v>
      </c>
      <c r="R176" s="3" t="s">
        <v>733</v>
      </c>
    </row>
    <row r="177" spans="1:18" x14ac:dyDescent="0.25">
      <c r="A177" s="2">
        <v>16294</v>
      </c>
      <c r="B177" s="3" t="s">
        <v>734</v>
      </c>
      <c r="C177" s="2" t="s">
        <v>3762</v>
      </c>
      <c r="D177" s="2" t="s">
        <v>338</v>
      </c>
      <c r="E177" s="3" t="s">
        <v>333</v>
      </c>
      <c r="F177" s="3" t="s">
        <v>678</v>
      </c>
      <c r="G177" s="2" t="s">
        <v>4575</v>
      </c>
      <c r="H177" s="2" t="s">
        <v>4654</v>
      </c>
      <c r="I177" s="3" t="s">
        <v>735</v>
      </c>
      <c r="J177" s="3" t="s">
        <v>138</v>
      </c>
      <c r="K177" s="3" t="s">
        <v>736</v>
      </c>
      <c r="L177" s="3" t="s">
        <v>338</v>
      </c>
      <c r="M177" s="3" t="s">
        <v>95</v>
      </c>
      <c r="N177" s="2">
        <v>105</v>
      </c>
      <c r="O177" s="3" t="s">
        <v>271</v>
      </c>
      <c r="P177" s="3" t="s">
        <v>97</v>
      </c>
      <c r="Q177" s="2" t="s">
        <v>5572</v>
      </c>
      <c r="R177" s="3" t="s">
        <v>737</v>
      </c>
    </row>
    <row r="178" spans="1:18" x14ac:dyDescent="0.25">
      <c r="A178" s="2">
        <v>23062</v>
      </c>
      <c r="B178" s="3" t="s">
        <v>738</v>
      </c>
      <c r="C178" s="2" t="s">
        <v>3763</v>
      </c>
      <c r="D178" s="2" t="s">
        <v>338</v>
      </c>
      <c r="E178" s="3" t="s">
        <v>333</v>
      </c>
      <c r="F178" s="3" t="s">
        <v>678</v>
      </c>
      <c r="G178" s="2" t="s">
        <v>4575</v>
      </c>
      <c r="H178" s="2" t="s">
        <v>4655</v>
      </c>
      <c r="I178" s="3" t="s">
        <v>739</v>
      </c>
      <c r="J178" s="3" t="s">
        <v>138</v>
      </c>
      <c r="K178" s="3" t="s">
        <v>740</v>
      </c>
      <c r="L178" s="3" t="s">
        <v>338</v>
      </c>
      <c r="M178" s="3" t="s">
        <v>95</v>
      </c>
      <c r="N178" s="2">
        <v>105</v>
      </c>
      <c r="O178" s="3" t="s">
        <v>271</v>
      </c>
      <c r="P178" s="3" t="s">
        <v>97</v>
      </c>
      <c r="Q178" s="2" t="s">
        <v>5573</v>
      </c>
      <c r="R178" s="3" t="s">
        <v>741</v>
      </c>
    </row>
    <row r="179" spans="1:18" x14ac:dyDescent="0.25">
      <c r="A179" s="2">
        <v>19096</v>
      </c>
      <c r="B179" s="3" t="s">
        <v>742</v>
      </c>
      <c r="C179" s="2" t="s">
        <v>3764</v>
      </c>
      <c r="D179" s="2" t="s">
        <v>338</v>
      </c>
      <c r="E179" s="3" t="s">
        <v>333</v>
      </c>
      <c r="F179" s="3" t="s">
        <v>678</v>
      </c>
      <c r="G179" s="2" t="s">
        <v>4575</v>
      </c>
      <c r="H179" s="2" t="s">
        <v>4656</v>
      </c>
      <c r="I179" s="3" t="s">
        <v>710</v>
      </c>
      <c r="J179" s="3" t="s">
        <v>138</v>
      </c>
      <c r="K179" s="3" t="s">
        <v>743</v>
      </c>
      <c r="L179" s="3" t="s">
        <v>338</v>
      </c>
      <c r="M179" s="3" t="s">
        <v>95</v>
      </c>
      <c r="N179" s="2">
        <v>105</v>
      </c>
      <c r="O179" s="3" t="s">
        <v>271</v>
      </c>
      <c r="P179" s="3" t="s">
        <v>97</v>
      </c>
      <c r="Q179" s="2" t="s">
        <v>5574</v>
      </c>
      <c r="R179" s="3" t="s">
        <v>744</v>
      </c>
    </row>
    <row r="180" spans="1:18" x14ac:dyDescent="0.25">
      <c r="A180" s="2">
        <v>25032</v>
      </c>
      <c r="B180" s="3" t="s">
        <v>745</v>
      </c>
      <c r="C180" s="2" t="s">
        <v>3765</v>
      </c>
      <c r="D180" s="2" t="s">
        <v>338</v>
      </c>
      <c r="E180" s="3" t="s">
        <v>333</v>
      </c>
      <c r="F180" s="3" t="s">
        <v>678</v>
      </c>
      <c r="G180" s="2" t="s">
        <v>4575</v>
      </c>
      <c r="H180" s="2" t="s">
        <v>4657</v>
      </c>
      <c r="I180" s="3" t="s">
        <v>720</v>
      </c>
      <c r="J180" s="3" t="s">
        <v>746</v>
      </c>
      <c r="K180" s="3" t="s">
        <v>747</v>
      </c>
      <c r="L180" s="3" t="s">
        <v>338</v>
      </c>
      <c r="M180" s="3" t="s">
        <v>95</v>
      </c>
      <c r="N180" s="2">
        <v>105</v>
      </c>
      <c r="O180" s="3" t="s">
        <v>271</v>
      </c>
      <c r="P180" s="3" t="s">
        <v>97</v>
      </c>
      <c r="Q180" s="2" t="s">
        <v>5575</v>
      </c>
      <c r="R180" s="3" t="s">
        <v>748</v>
      </c>
    </row>
    <row r="181" spans="1:18" x14ac:dyDescent="0.25">
      <c r="A181" s="2">
        <v>11811</v>
      </c>
      <c r="B181" s="3" t="s">
        <v>749</v>
      </c>
      <c r="C181" s="2" t="s">
        <v>3766</v>
      </c>
      <c r="D181" s="2" t="s">
        <v>338</v>
      </c>
      <c r="E181" s="3" t="s">
        <v>333</v>
      </c>
      <c r="F181" s="3" t="s">
        <v>678</v>
      </c>
      <c r="G181" s="2" t="s">
        <v>4575</v>
      </c>
      <c r="H181" s="2" t="s">
        <v>4658</v>
      </c>
      <c r="I181" s="3" t="s">
        <v>720</v>
      </c>
      <c r="J181" s="3" t="s">
        <v>138</v>
      </c>
      <c r="K181" s="3" t="s">
        <v>750</v>
      </c>
      <c r="L181" s="3" t="s">
        <v>338</v>
      </c>
      <c r="M181" s="3" t="s">
        <v>95</v>
      </c>
      <c r="N181" s="2">
        <v>105</v>
      </c>
      <c r="O181" s="3" t="s">
        <v>271</v>
      </c>
      <c r="P181" s="3" t="s">
        <v>97</v>
      </c>
      <c r="Q181" s="2" t="s">
        <v>5576</v>
      </c>
      <c r="R181" s="3" t="s">
        <v>751</v>
      </c>
    </row>
    <row r="182" spans="1:18" x14ac:dyDescent="0.25">
      <c r="A182" s="2">
        <v>15041</v>
      </c>
      <c r="B182" s="3" t="s">
        <v>752</v>
      </c>
      <c r="C182" s="2" t="s">
        <v>3767</v>
      </c>
      <c r="D182" s="2" t="s">
        <v>338</v>
      </c>
      <c r="E182" s="3" t="s">
        <v>333</v>
      </c>
      <c r="F182" s="3" t="s">
        <v>678</v>
      </c>
      <c r="G182" s="2" t="s">
        <v>4575</v>
      </c>
      <c r="H182" s="2" t="s">
        <v>4659</v>
      </c>
      <c r="I182" s="3" t="s">
        <v>688</v>
      </c>
      <c r="J182" s="3" t="s">
        <v>138</v>
      </c>
      <c r="K182" s="3" t="s">
        <v>689</v>
      </c>
      <c r="L182" s="3" t="s">
        <v>338</v>
      </c>
      <c r="M182" s="3" t="s">
        <v>95</v>
      </c>
      <c r="N182" s="2">
        <v>105</v>
      </c>
      <c r="O182" s="3" t="s">
        <v>271</v>
      </c>
      <c r="P182" s="3" t="s">
        <v>97</v>
      </c>
      <c r="Q182" s="2" t="s">
        <v>5577</v>
      </c>
      <c r="R182" s="3" t="s">
        <v>753</v>
      </c>
    </row>
    <row r="183" spans="1:18" x14ac:dyDescent="0.25">
      <c r="A183" s="2">
        <v>22718</v>
      </c>
      <c r="B183" s="3" t="s">
        <v>754</v>
      </c>
      <c r="C183" s="2" t="s">
        <v>3768</v>
      </c>
      <c r="D183" s="2" t="s">
        <v>338</v>
      </c>
      <c r="E183" s="3" t="s">
        <v>333</v>
      </c>
      <c r="F183" s="3" t="s">
        <v>678</v>
      </c>
      <c r="G183" s="2" t="s">
        <v>4575</v>
      </c>
      <c r="H183" s="2" t="s">
        <v>4660</v>
      </c>
      <c r="I183" s="3" t="s">
        <v>755</v>
      </c>
      <c r="J183" s="3" t="s">
        <v>756</v>
      </c>
      <c r="K183" s="3" t="s">
        <v>757</v>
      </c>
      <c r="L183" s="3" t="s">
        <v>338</v>
      </c>
      <c r="M183" s="3" t="s">
        <v>95</v>
      </c>
      <c r="N183" s="2">
        <v>105</v>
      </c>
      <c r="O183" s="3" t="s">
        <v>271</v>
      </c>
      <c r="P183" s="3" t="s">
        <v>97</v>
      </c>
      <c r="Q183" s="2" t="s">
        <v>5578</v>
      </c>
      <c r="R183" s="3" t="s">
        <v>758</v>
      </c>
    </row>
    <row r="184" spans="1:18" x14ac:dyDescent="0.25">
      <c r="A184" s="2">
        <v>1514</v>
      </c>
      <c r="B184" s="3" t="s">
        <v>759</v>
      </c>
      <c r="C184" s="2" t="s">
        <v>3769</v>
      </c>
      <c r="D184" s="2" t="s">
        <v>338</v>
      </c>
      <c r="E184" s="3" t="s">
        <v>333</v>
      </c>
      <c r="F184" s="3" t="s">
        <v>678</v>
      </c>
      <c r="G184" s="2" t="s">
        <v>4575</v>
      </c>
      <c r="H184" s="2" t="s">
        <v>4661</v>
      </c>
      <c r="I184" s="3" t="s">
        <v>710</v>
      </c>
      <c r="J184" s="3" t="s">
        <v>138</v>
      </c>
      <c r="K184" s="3" t="s">
        <v>760</v>
      </c>
      <c r="L184" s="3" t="s">
        <v>338</v>
      </c>
      <c r="M184" s="3" t="s">
        <v>95</v>
      </c>
      <c r="N184" s="2">
        <v>105</v>
      </c>
      <c r="O184" s="3" t="s">
        <v>271</v>
      </c>
      <c r="P184" s="3" t="s">
        <v>97</v>
      </c>
      <c r="Q184" s="2" t="s">
        <v>5579</v>
      </c>
      <c r="R184" s="3" t="s">
        <v>761</v>
      </c>
    </row>
    <row r="185" spans="1:18" x14ac:dyDescent="0.25">
      <c r="A185" s="2">
        <v>37999</v>
      </c>
      <c r="B185" s="3" t="s">
        <v>762</v>
      </c>
      <c r="C185" s="2" t="s">
        <v>3770</v>
      </c>
      <c r="D185" s="2" t="s">
        <v>338</v>
      </c>
      <c r="E185" s="3" t="s">
        <v>333</v>
      </c>
      <c r="F185" s="3" t="s">
        <v>678</v>
      </c>
      <c r="G185" s="2" t="s">
        <v>4575</v>
      </c>
      <c r="H185" s="2" t="s">
        <v>4662</v>
      </c>
      <c r="I185" s="3" t="s">
        <v>698</v>
      </c>
      <c r="J185" s="3" t="s">
        <v>138</v>
      </c>
      <c r="K185" s="3" t="s">
        <v>699</v>
      </c>
      <c r="L185" s="3" t="s">
        <v>338</v>
      </c>
      <c r="M185" s="3" t="s">
        <v>95</v>
      </c>
      <c r="N185" s="2">
        <v>105</v>
      </c>
      <c r="O185" s="3" t="s">
        <v>271</v>
      </c>
      <c r="P185" s="3" t="s">
        <v>97</v>
      </c>
      <c r="Q185" s="2" t="s">
        <v>5580</v>
      </c>
      <c r="R185" s="3" t="s">
        <v>763</v>
      </c>
    </row>
    <row r="186" spans="1:18" x14ac:dyDescent="0.25">
      <c r="A186" s="2">
        <v>27115</v>
      </c>
      <c r="B186" s="3" t="s">
        <v>764</v>
      </c>
      <c r="C186" s="2" t="s">
        <v>3771</v>
      </c>
      <c r="D186" s="2" t="s">
        <v>338</v>
      </c>
      <c r="E186" s="3" t="s">
        <v>333</v>
      </c>
      <c r="F186" s="3" t="s">
        <v>678</v>
      </c>
      <c r="G186" s="2" t="s">
        <v>4575</v>
      </c>
      <c r="H186" s="2" t="s">
        <v>4663</v>
      </c>
      <c r="I186" s="3" t="s">
        <v>765</v>
      </c>
      <c r="J186" s="3" t="s">
        <v>138</v>
      </c>
      <c r="K186" s="3" t="s">
        <v>766</v>
      </c>
      <c r="L186" s="3" t="s">
        <v>338</v>
      </c>
      <c r="M186" s="3" t="s">
        <v>95</v>
      </c>
      <c r="N186" s="2">
        <v>105</v>
      </c>
      <c r="O186" s="3" t="s">
        <v>271</v>
      </c>
      <c r="P186" s="3" t="s">
        <v>97</v>
      </c>
      <c r="Q186" s="2" t="s">
        <v>5581</v>
      </c>
      <c r="R186" s="3" t="s">
        <v>767</v>
      </c>
    </row>
    <row r="187" spans="1:18" x14ac:dyDescent="0.25">
      <c r="A187" s="2">
        <v>974</v>
      </c>
      <c r="B187" s="3" t="s">
        <v>768</v>
      </c>
      <c r="C187" s="2" t="s">
        <v>3772</v>
      </c>
      <c r="D187" s="2" t="s">
        <v>338</v>
      </c>
      <c r="E187" s="3" t="s">
        <v>333</v>
      </c>
      <c r="F187" s="3" t="s">
        <v>678</v>
      </c>
      <c r="G187" s="2" t="s">
        <v>4575</v>
      </c>
      <c r="H187" s="2" t="s">
        <v>4664</v>
      </c>
      <c r="I187" s="3" t="s">
        <v>692</v>
      </c>
      <c r="J187" s="3" t="s">
        <v>138</v>
      </c>
      <c r="K187" s="3" t="s">
        <v>769</v>
      </c>
      <c r="L187" s="3" t="s">
        <v>338</v>
      </c>
      <c r="M187" s="3" t="s">
        <v>95</v>
      </c>
      <c r="N187" s="2">
        <v>105</v>
      </c>
      <c r="O187" s="3" t="s">
        <v>271</v>
      </c>
      <c r="P187" s="3" t="s">
        <v>97</v>
      </c>
      <c r="Q187" s="2" t="s">
        <v>5582</v>
      </c>
      <c r="R187" s="3" t="s">
        <v>770</v>
      </c>
    </row>
    <row r="188" spans="1:18" x14ac:dyDescent="0.25">
      <c r="A188" s="2">
        <v>32436</v>
      </c>
      <c r="B188" s="3" t="s">
        <v>771</v>
      </c>
      <c r="C188" s="2" t="s">
        <v>3773</v>
      </c>
      <c r="D188" s="2" t="s">
        <v>338</v>
      </c>
      <c r="E188" s="3" t="s">
        <v>333</v>
      </c>
      <c r="F188" s="3" t="s">
        <v>678</v>
      </c>
      <c r="G188" s="2" t="s">
        <v>4575</v>
      </c>
      <c r="H188" s="2" t="s">
        <v>4665</v>
      </c>
      <c r="I188" s="3" t="s">
        <v>720</v>
      </c>
      <c r="J188" s="3" t="s">
        <v>772</v>
      </c>
      <c r="K188" s="3" t="s">
        <v>773</v>
      </c>
      <c r="L188" s="3" t="s">
        <v>338</v>
      </c>
      <c r="M188" s="3" t="s">
        <v>95</v>
      </c>
      <c r="N188" s="2">
        <v>105</v>
      </c>
      <c r="O188" s="3" t="s">
        <v>271</v>
      </c>
      <c r="P188" s="3" t="s">
        <v>97</v>
      </c>
      <c r="Q188" s="2" t="s">
        <v>5583</v>
      </c>
      <c r="R188" s="3" t="s">
        <v>774</v>
      </c>
    </row>
    <row r="189" spans="1:18" x14ac:dyDescent="0.25">
      <c r="A189" s="2">
        <v>35971</v>
      </c>
      <c r="B189" s="3" t="s">
        <v>775</v>
      </c>
      <c r="C189" s="2" t="s">
        <v>3774</v>
      </c>
      <c r="D189" s="2" t="s">
        <v>338</v>
      </c>
      <c r="E189" s="3" t="s">
        <v>333</v>
      </c>
      <c r="F189" s="3" t="s">
        <v>678</v>
      </c>
      <c r="G189" s="2" t="s">
        <v>4575</v>
      </c>
      <c r="H189" s="2" t="s">
        <v>4666</v>
      </c>
      <c r="I189" s="3" t="s">
        <v>776</v>
      </c>
      <c r="J189" s="3" t="s">
        <v>138</v>
      </c>
      <c r="K189" s="3" t="s">
        <v>777</v>
      </c>
      <c r="L189" s="3" t="s">
        <v>338</v>
      </c>
      <c r="M189" s="3" t="s">
        <v>95</v>
      </c>
      <c r="N189" s="2">
        <v>105</v>
      </c>
      <c r="O189" s="3" t="s">
        <v>271</v>
      </c>
      <c r="P189" s="3" t="s">
        <v>97</v>
      </c>
      <c r="Q189" s="2" t="s">
        <v>5584</v>
      </c>
      <c r="R189" s="3" t="s">
        <v>778</v>
      </c>
    </row>
    <row r="190" spans="1:18" x14ac:dyDescent="0.25">
      <c r="A190" s="2">
        <v>36662</v>
      </c>
      <c r="B190" s="3" t="s">
        <v>779</v>
      </c>
      <c r="C190" s="2" t="s">
        <v>3775</v>
      </c>
      <c r="D190" s="2" t="s">
        <v>338</v>
      </c>
      <c r="E190" s="3" t="s">
        <v>333</v>
      </c>
      <c r="F190" s="3" t="s">
        <v>678</v>
      </c>
      <c r="G190" s="2" t="s">
        <v>4575</v>
      </c>
      <c r="H190" s="2" t="s">
        <v>4667</v>
      </c>
      <c r="I190" s="3" t="s">
        <v>755</v>
      </c>
      <c r="J190" s="3" t="s">
        <v>138</v>
      </c>
      <c r="K190" s="3" t="s">
        <v>780</v>
      </c>
      <c r="L190" s="3" t="s">
        <v>338</v>
      </c>
      <c r="M190" s="3" t="s">
        <v>95</v>
      </c>
      <c r="N190" s="2">
        <v>105</v>
      </c>
      <c r="O190" s="3" t="s">
        <v>271</v>
      </c>
      <c r="P190" s="3" t="s">
        <v>97</v>
      </c>
      <c r="Q190" s="2" t="s">
        <v>5585</v>
      </c>
      <c r="R190" s="3" t="s">
        <v>781</v>
      </c>
    </row>
    <row r="191" spans="1:18" x14ac:dyDescent="0.25">
      <c r="A191" s="2">
        <v>18388</v>
      </c>
      <c r="B191" s="3" t="s">
        <v>782</v>
      </c>
      <c r="C191" s="2" t="s">
        <v>3776</v>
      </c>
      <c r="D191" s="2" t="s">
        <v>338</v>
      </c>
      <c r="E191" s="3" t="s">
        <v>333</v>
      </c>
      <c r="F191" s="3" t="s">
        <v>783</v>
      </c>
      <c r="G191" s="2" t="s">
        <v>4575</v>
      </c>
      <c r="H191" s="2" t="s">
        <v>4668</v>
      </c>
      <c r="I191" s="3" t="s">
        <v>784</v>
      </c>
      <c r="J191" s="3" t="s">
        <v>138</v>
      </c>
      <c r="K191" s="3" t="s">
        <v>785</v>
      </c>
      <c r="L191" s="3" t="s">
        <v>338</v>
      </c>
      <c r="M191" s="3" t="s">
        <v>95</v>
      </c>
      <c r="N191" s="2">
        <v>0</v>
      </c>
      <c r="O191" s="3" t="s">
        <v>271</v>
      </c>
      <c r="P191" s="3" t="s">
        <v>97</v>
      </c>
      <c r="Q191" s="2" t="s">
        <v>5586</v>
      </c>
      <c r="R191" s="3" t="s">
        <v>786</v>
      </c>
    </row>
    <row r="192" spans="1:18" x14ac:dyDescent="0.25">
      <c r="A192" s="2">
        <v>2491</v>
      </c>
      <c r="B192" s="3" t="s">
        <v>787</v>
      </c>
      <c r="C192" s="2" t="s">
        <v>3777</v>
      </c>
      <c r="D192" s="2" t="s">
        <v>338</v>
      </c>
      <c r="E192" s="3" t="s">
        <v>333</v>
      </c>
      <c r="F192" s="3" t="s">
        <v>783</v>
      </c>
      <c r="G192" s="2" t="s">
        <v>4575</v>
      </c>
      <c r="H192" s="2" t="s">
        <v>4669</v>
      </c>
      <c r="I192" s="3" t="s">
        <v>788</v>
      </c>
      <c r="J192" s="3" t="s">
        <v>789</v>
      </c>
      <c r="K192" s="3" t="s">
        <v>790</v>
      </c>
      <c r="L192" s="3" t="s">
        <v>338</v>
      </c>
      <c r="M192" s="3" t="s">
        <v>20</v>
      </c>
      <c r="N192" s="2">
        <v>0</v>
      </c>
      <c r="O192" s="3" t="s">
        <v>21</v>
      </c>
      <c r="P192" s="3" t="s">
        <v>22</v>
      </c>
      <c r="Q192" s="2" t="s">
        <v>5587</v>
      </c>
      <c r="R192" s="3" t="s">
        <v>791</v>
      </c>
    </row>
    <row r="193" spans="1:18" x14ac:dyDescent="0.25">
      <c r="A193" s="2">
        <v>8271</v>
      </c>
      <c r="B193" s="3" t="s">
        <v>792</v>
      </c>
      <c r="C193" s="2" t="s">
        <v>3778</v>
      </c>
      <c r="D193" s="2" t="s">
        <v>338</v>
      </c>
      <c r="E193" s="3" t="s">
        <v>333</v>
      </c>
      <c r="F193" s="3" t="s">
        <v>783</v>
      </c>
      <c r="G193" s="2" t="s">
        <v>4575</v>
      </c>
      <c r="H193" s="2" t="s">
        <v>4670</v>
      </c>
      <c r="I193" s="3" t="s">
        <v>793</v>
      </c>
      <c r="J193" s="3" t="s">
        <v>794</v>
      </c>
      <c r="K193" s="3" t="s">
        <v>795</v>
      </c>
      <c r="L193" s="3" t="s">
        <v>338</v>
      </c>
      <c r="M193" s="3" t="s">
        <v>95</v>
      </c>
      <c r="N193" s="2">
        <v>0</v>
      </c>
      <c r="O193" s="3" t="s">
        <v>96</v>
      </c>
      <c r="P193" s="3" t="s">
        <v>97</v>
      </c>
      <c r="Q193" s="2" t="s">
        <v>5588</v>
      </c>
      <c r="R193" s="3" t="s">
        <v>796</v>
      </c>
    </row>
    <row r="194" spans="1:18" x14ac:dyDescent="0.25">
      <c r="A194" s="2">
        <v>8273</v>
      </c>
      <c r="B194" s="3" t="s">
        <v>797</v>
      </c>
      <c r="C194" s="2" t="s">
        <v>3779</v>
      </c>
      <c r="D194" s="2" t="s">
        <v>338</v>
      </c>
      <c r="E194" s="3" t="s">
        <v>333</v>
      </c>
      <c r="F194" s="3" t="s">
        <v>783</v>
      </c>
      <c r="G194" s="2" t="s">
        <v>4575</v>
      </c>
      <c r="H194" s="2" t="s">
        <v>4671</v>
      </c>
      <c r="I194" s="3" t="s">
        <v>798</v>
      </c>
      <c r="J194" s="3" t="s">
        <v>138</v>
      </c>
      <c r="K194" s="3" t="s">
        <v>799</v>
      </c>
      <c r="L194" s="3" t="s">
        <v>338</v>
      </c>
      <c r="M194" s="3" t="s">
        <v>95</v>
      </c>
      <c r="N194" s="2">
        <v>0</v>
      </c>
      <c r="O194" s="3" t="s">
        <v>271</v>
      </c>
      <c r="P194" s="3" t="s">
        <v>97</v>
      </c>
      <c r="Q194" s="2" t="s">
        <v>5589</v>
      </c>
      <c r="R194" s="3" t="s">
        <v>800</v>
      </c>
    </row>
    <row r="195" spans="1:18" x14ac:dyDescent="0.25">
      <c r="A195" s="2">
        <v>40753</v>
      </c>
      <c r="B195" s="3" t="s">
        <v>801</v>
      </c>
      <c r="C195" s="2" t="s">
        <v>3780</v>
      </c>
      <c r="D195" s="2" t="s">
        <v>338</v>
      </c>
      <c r="E195" s="3" t="s">
        <v>333</v>
      </c>
      <c r="F195" s="3" t="s">
        <v>783</v>
      </c>
      <c r="G195" s="2" t="s">
        <v>4575</v>
      </c>
      <c r="H195" s="2" t="s">
        <v>4672</v>
      </c>
      <c r="I195" s="3" t="s">
        <v>788</v>
      </c>
      <c r="J195" s="3" t="s">
        <v>802</v>
      </c>
      <c r="K195" s="3" t="s">
        <v>803</v>
      </c>
      <c r="L195" s="3" t="s">
        <v>338</v>
      </c>
      <c r="M195" s="3" t="s">
        <v>20</v>
      </c>
      <c r="N195" s="2">
        <v>0</v>
      </c>
      <c r="O195" s="3" t="s">
        <v>21</v>
      </c>
      <c r="P195" s="3" t="s">
        <v>22</v>
      </c>
      <c r="Q195" s="2" t="s">
        <v>5590</v>
      </c>
      <c r="R195" s="3" t="s">
        <v>804</v>
      </c>
    </row>
    <row r="196" spans="1:18" x14ac:dyDescent="0.25">
      <c r="A196" s="2">
        <v>18677</v>
      </c>
      <c r="B196" s="3" t="s">
        <v>805</v>
      </c>
      <c r="C196" s="2" t="s">
        <v>3781</v>
      </c>
      <c r="D196" s="2" t="s">
        <v>338</v>
      </c>
      <c r="E196" s="3" t="s">
        <v>333</v>
      </c>
      <c r="F196" s="3" t="s">
        <v>783</v>
      </c>
      <c r="G196" s="2" t="s">
        <v>4575</v>
      </c>
      <c r="H196" s="2" t="s">
        <v>4673</v>
      </c>
      <c r="I196" s="3" t="s">
        <v>806</v>
      </c>
      <c r="J196" s="3" t="s">
        <v>138</v>
      </c>
      <c r="K196" s="3" t="s">
        <v>807</v>
      </c>
      <c r="L196" s="3" t="s">
        <v>338</v>
      </c>
      <c r="M196" s="3" t="s">
        <v>95</v>
      </c>
      <c r="N196" s="2">
        <v>0</v>
      </c>
      <c r="O196" s="3" t="s">
        <v>96</v>
      </c>
      <c r="P196" s="3" t="s">
        <v>97</v>
      </c>
      <c r="Q196" s="2" t="s">
        <v>5591</v>
      </c>
      <c r="R196" s="3" t="s">
        <v>808</v>
      </c>
    </row>
    <row r="197" spans="1:18" x14ac:dyDescent="0.25">
      <c r="A197" s="2">
        <v>27326</v>
      </c>
      <c r="B197" s="3" t="s">
        <v>809</v>
      </c>
      <c r="C197" s="2" t="s">
        <v>3782</v>
      </c>
      <c r="D197" s="2" t="s">
        <v>338</v>
      </c>
      <c r="E197" s="3" t="s">
        <v>333</v>
      </c>
      <c r="F197" s="3" t="s">
        <v>783</v>
      </c>
      <c r="G197" s="2" t="s">
        <v>4575</v>
      </c>
      <c r="H197" s="2" t="s">
        <v>4674</v>
      </c>
      <c r="I197" s="3" t="s">
        <v>810</v>
      </c>
      <c r="J197" s="3" t="s">
        <v>811</v>
      </c>
      <c r="K197" s="3" t="s">
        <v>812</v>
      </c>
      <c r="L197" s="3" t="s">
        <v>338</v>
      </c>
      <c r="M197" s="3" t="s">
        <v>95</v>
      </c>
      <c r="N197" s="2">
        <v>0</v>
      </c>
      <c r="O197" s="3" t="s">
        <v>271</v>
      </c>
      <c r="P197" s="3" t="s">
        <v>97</v>
      </c>
      <c r="Q197" s="2" t="s">
        <v>5592</v>
      </c>
      <c r="R197" s="3" t="s">
        <v>813</v>
      </c>
    </row>
    <row r="198" spans="1:18" x14ac:dyDescent="0.25">
      <c r="A198" s="2">
        <v>33752</v>
      </c>
      <c r="B198" s="3" t="s">
        <v>814</v>
      </c>
      <c r="C198" s="2" t="s">
        <v>3783</v>
      </c>
      <c r="D198" s="2" t="s">
        <v>338</v>
      </c>
      <c r="E198" s="3" t="s">
        <v>333</v>
      </c>
      <c r="F198" s="3" t="s">
        <v>783</v>
      </c>
      <c r="G198" s="2" t="s">
        <v>4575</v>
      </c>
      <c r="H198" s="2" t="s">
        <v>4675</v>
      </c>
      <c r="I198" s="3" t="s">
        <v>815</v>
      </c>
      <c r="J198" s="3" t="s">
        <v>816</v>
      </c>
      <c r="K198" s="3" t="s">
        <v>817</v>
      </c>
      <c r="L198" s="3" t="s">
        <v>338</v>
      </c>
      <c r="M198" s="3" t="s">
        <v>95</v>
      </c>
      <c r="N198" s="2">
        <v>0</v>
      </c>
      <c r="O198" s="3" t="s">
        <v>271</v>
      </c>
      <c r="P198" s="3" t="s">
        <v>97</v>
      </c>
      <c r="Q198" s="2" t="s">
        <v>5593</v>
      </c>
      <c r="R198" s="3" t="s">
        <v>818</v>
      </c>
    </row>
    <row r="199" spans="1:18" x14ac:dyDescent="0.25">
      <c r="A199" s="2">
        <v>36210</v>
      </c>
      <c r="B199" s="3" t="s">
        <v>819</v>
      </c>
      <c r="C199" s="2" t="s">
        <v>3784</v>
      </c>
      <c r="D199" s="2" t="s">
        <v>338</v>
      </c>
      <c r="E199" s="3" t="s">
        <v>333</v>
      </c>
      <c r="F199" s="3" t="s">
        <v>783</v>
      </c>
      <c r="G199" s="2" t="s">
        <v>4575</v>
      </c>
      <c r="H199" s="2" t="s">
        <v>4676</v>
      </c>
      <c r="I199" s="3" t="s">
        <v>820</v>
      </c>
      <c r="J199" s="3" t="s">
        <v>138</v>
      </c>
      <c r="K199" s="3" t="s">
        <v>821</v>
      </c>
      <c r="L199" s="3" t="s">
        <v>338</v>
      </c>
      <c r="M199" s="3" t="s">
        <v>95</v>
      </c>
      <c r="N199" s="2">
        <v>0</v>
      </c>
      <c r="O199" s="3" t="s">
        <v>271</v>
      </c>
      <c r="P199" s="3" t="s">
        <v>97</v>
      </c>
      <c r="Q199" s="2" t="s">
        <v>5594</v>
      </c>
      <c r="R199" s="3" t="s">
        <v>822</v>
      </c>
    </row>
    <row r="200" spans="1:18" x14ac:dyDescent="0.25">
      <c r="A200" s="2">
        <v>40712</v>
      </c>
      <c r="B200" s="3" t="s">
        <v>823</v>
      </c>
      <c r="C200" s="2" t="s">
        <v>3785</v>
      </c>
      <c r="D200" s="2" t="s">
        <v>338</v>
      </c>
      <c r="E200" s="3" t="s">
        <v>333</v>
      </c>
      <c r="F200" s="3" t="s">
        <v>783</v>
      </c>
      <c r="G200" s="2" t="s">
        <v>4575</v>
      </c>
      <c r="H200" s="2" t="s">
        <v>4677</v>
      </c>
      <c r="I200" s="3" t="s">
        <v>815</v>
      </c>
      <c r="J200" s="3" t="s">
        <v>824</v>
      </c>
      <c r="K200" s="3" t="s">
        <v>825</v>
      </c>
      <c r="L200" s="3" t="s">
        <v>338</v>
      </c>
      <c r="M200" s="3" t="s">
        <v>95</v>
      </c>
      <c r="N200" s="2">
        <v>0</v>
      </c>
      <c r="O200" s="3" t="s">
        <v>271</v>
      </c>
      <c r="P200" s="3" t="s">
        <v>97</v>
      </c>
      <c r="Q200" s="2" t="s">
        <v>5595</v>
      </c>
      <c r="R200" s="3" t="s">
        <v>826</v>
      </c>
    </row>
    <row r="201" spans="1:18" x14ac:dyDescent="0.25">
      <c r="A201" s="2">
        <v>22763</v>
      </c>
      <c r="B201" s="3" t="s">
        <v>827</v>
      </c>
      <c r="C201" s="2" t="s">
        <v>3786</v>
      </c>
      <c r="D201" s="2" t="s">
        <v>338</v>
      </c>
      <c r="E201" s="3" t="s">
        <v>333</v>
      </c>
      <c r="F201" s="3" t="s">
        <v>783</v>
      </c>
      <c r="G201" s="2" t="s">
        <v>4575</v>
      </c>
      <c r="H201" s="2" t="s">
        <v>4678</v>
      </c>
      <c r="I201" s="3" t="s">
        <v>828</v>
      </c>
      <c r="J201" s="3" t="s">
        <v>138</v>
      </c>
      <c r="K201" s="3" t="s">
        <v>829</v>
      </c>
      <c r="L201" s="3" t="s">
        <v>338</v>
      </c>
      <c r="M201" s="3" t="s">
        <v>95</v>
      </c>
      <c r="N201" s="2">
        <v>0</v>
      </c>
      <c r="O201" s="3" t="s">
        <v>96</v>
      </c>
      <c r="P201" s="3" t="s">
        <v>97</v>
      </c>
      <c r="Q201" s="2" t="s">
        <v>5596</v>
      </c>
      <c r="R201" s="3" t="s">
        <v>830</v>
      </c>
    </row>
    <row r="202" spans="1:18" x14ac:dyDescent="0.25">
      <c r="A202" s="2">
        <v>35225</v>
      </c>
      <c r="B202" s="3" t="s">
        <v>831</v>
      </c>
      <c r="C202" s="2" t="s">
        <v>3787</v>
      </c>
      <c r="D202" s="2" t="s">
        <v>338</v>
      </c>
      <c r="E202" s="3" t="s">
        <v>333</v>
      </c>
      <c r="F202" s="3" t="s">
        <v>783</v>
      </c>
      <c r="G202" s="2" t="s">
        <v>4575</v>
      </c>
      <c r="H202" s="2" t="s">
        <v>4679</v>
      </c>
      <c r="I202" s="3" t="s">
        <v>832</v>
      </c>
      <c r="J202" s="3" t="s">
        <v>138</v>
      </c>
      <c r="K202" s="3" t="s">
        <v>833</v>
      </c>
      <c r="L202" s="3" t="s">
        <v>338</v>
      </c>
      <c r="M202" s="3" t="s">
        <v>95</v>
      </c>
      <c r="N202" s="2">
        <v>0</v>
      </c>
      <c r="O202" s="3" t="s">
        <v>271</v>
      </c>
      <c r="P202" s="3" t="s">
        <v>97</v>
      </c>
      <c r="Q202" s="2" t="s">
        <v>5597</v>
      </c>
      <c r="R202" s="3" t="s">
        <v>834</v>
      </c>
    </row>
    <row r="203" spans="1:18" x14ac:dyDescent="0.25">
      <c r="A203" s="2">
        <v>30774</v>
      </c>
      <c r="B203" s="3" t="s">
        <v>835</v>
      </c>
      <c r="C203" s="2" t="s">
        <v>3788</v>
      </c>
      <c r="D203" s="2" t="s">
        <v>338</v>
      </c>
      <c r="E203" s="3" t="s">
        <v>333</v>
      </c>
      <c r="F203" s="3" t="s">
        <v>783</v>
      </c>
      <c r="G203" s="2" t="s">
        <v>4575</v>
      </c>
      <c r="H203" s="2" t="s">
        <v>4680</v>
      </c>
      <c r="I203" s="3" t="s">
        <v>836</v>
      </c>
      <c r="J203" s="3" t="s">
        <v>837</v>
      </c>
      <c r="K203" s="3" t="s">
        <v>838</v>
      </c>
      <c r="L203" s="3" t="s">
        <v>338</v>
      </c>
      <c r="M203" s="3" t="s">
        <v>95</v>
      </c>
      <c r="N203" s="2">
        <v>0</v>
      </c>
      <c r="O203" s="3" t="s">
        <v>271</v>
      </c>
      <c r="P203" s="3" t="s">
        <v>97</v>
      </c>
      <c r="Q203" s="2" t="s">
        <v>5598</v>
      </c>
      <c r="R203" s="3" t="s">
        <v>839</v>
      </c>
    </row>
    <row r="204" spans="1:18" x14ac:dyDescent="0.25">
      <c r="A204" s="2">
        <v>23580</v>
      </c>
      <c r="B204" s="3" t="s">
        <v>840</v>
      </c>
      <c r="C204" s="2" t="s">
        <v>3789</v>
      </c>
      <c r="D204" s="2" t="s">
        <v>338</v>
      </c>
      <c r="E204" s="3" t="s">
        <v>333</v>
      </c>
      <c r="F204" s="3" t="s">
        <v>783</v>
      </c>
      <c r="G204" s="2" t="s">
        <v>4575</v>
      </c>
      <c r="H204" s="2" t="s">
        <v>4681</v>
      </c>
      <c r="I204" s="3" t="s">
        <v>788</v>
      </c>
      <c r="J204" s="3" t="s">
        <v>841</v>
      </c>
      <c r="K204" s="3" t="s">
        <v>842</v>
      </c>
      <c r="L204" s="3" t="s">
        <v>338</v>
      </c>
      <c r="M204" s="3" t="s">
        <v>20</v>
      </c>
      <c r="N204" s="2">
        <v>0</v>
      </c>
      <c r="O204" s="3" t="s">
        <v>21</v>
      </c>
      <c r="P204" s="3" t="s">
        <v>22</v>
      </c>
      <c r="Q204" s="2" t="s">
        <v>5599</v>
      </c>
      <c r="R204" s="3" t="s">
        <v>843</v>
      </c>
    </row>
    <row r="205" spans="1:18" x14ac:dyDescent="0.25">
      <c r="A205" s="2">
        <v>36366</v>
      </c>
      <c r="B205" s="3" t="s">
        <v>844</v>
      </c>
      <c r="C205" s="2" t="s">
        <v>3790</v>
      </c>
      <c r="D205" s="2" t="s">
        <v>338</v>
      </c>
      <c r="E205" s="3" t="s">
        <v>333</v>
      </c>
      <c r="F205" s="3" t="s">
        <v>783</v>
      </c>
      <c r="G205" s="2" t="s">
        <v>4575</v>
      </c>
      <c r="H205" s="2" t="s">
        <v>4682</v>
      </c>
      <c r="I205" s="3" t="s">
        <v>828</v>
      </c>
      <c r="J205" s="3" t="s">
        <v>845</v>
      </c>
      <c r="K205" s="3" t="s">
        <v>846</v>
      </c>
      <c r="L205" s="3" t="s">
        <v>338</v>
      </c>
      <c r="M205" s="3" t="s">
        <v>95</v>
      </c>
      <c r="N205" s="2">
        <v>0</v>
      </c>
      <c r="O205" s="3" t="s">
        <v>96</v>
      </c>
      <c r="P205" s="3" t="s">
        <v>97</v>
      </c>
      <c r="Q205" s="2" t="s">
        <v>5600</v>
      </c>
      <c r="R205" s="3" t="s">
        <v>847</v>
      </c>
    </row>
    <row r="206" spans="1:18" x14ac:dyDescent="0.25">
      <c r="A206" s="2">
        <v>34827</v>
      </c>
      <c r="B206" s="3" t="s">
        <v>848</v>
      </c>
      <c r="C206" s="2" t="s">
        <v>3791</v>
      </c>
      <c r="D206" s="2" t="s">
        <v>338</v>
      </c>
      <c r="E206" s="3" t="s">
        <v>333</v>
      </c>
      <c r="F206" s="3" t="s">
        <v>783</v>
      </c>
      <c r="G206" s="2" t="s">
        <v>4575</v>
      </c>
      <c r="H206" s="2" t="s">
        <v>4683</v>
      </c>
      <c r="I206" s="3" t="s">
        <v>849</v>
      </c>
      <c r="J206" s="3" t="s">
        <v>138</v>
      </c>
      <c r="K206" s="3" t="s">
        <v>850</v>
      </c>
      <c r="L206" s="3" t="s">
        <v>338</v>
      </c>
      <c r="M206" s="3" t="s">
        <v>95</v>
      </c>
      <c r="N206" s="2">
        <v>0</v>
      </c>
      <c r="O206" s="3" t="s">
        <v>96</v>
      </c>
      <c r="P206" s="3" t="s">
        <v>97</v>
      </c>
      <c r="Q206" s="2" t="s">
        <v>5601</v>
      </c>
      <c r="R206" s="3" t="s">
        <v>851</v>
      </c>
    </row>
    <row r="207" spans="1:18" x14ac:dyDescent="0.25">
      <c r="A207" s="2">
        <v>24258</v>
      </c>
      <c r="B207" s="3" t="s">
        <v>852</v>
      </c>
      <c r="C207" s="2" t="s">
        <v>3792</v>
      </c>
      <c r="D207" s="2" t="s">
        <v>338</v>
      </c>
      <c r="E207" s="3" t="s">
        <v>333</v>
      </c>
      <c r="F207" s="3" t="s">
        <v>783</v>
      </c>
      <c r="G207" s="2" t="s">
        <v>4575</v>
      </c>
      <c r="H207" s="2" t="s">
        <v>4684</v>
      </c>
      <c r="I207" s="3" t="s">
        <v>853</v>
      </c>
      <c r="J207" s="3" t="s">
        <v>138</v>
      </c>
      <c r="K207" s="3" t="s">
        <v>854</v>
      </c>
      <c r="L207" s="3" t="s">
        <v>338</v>
      </c>
      <c r="M207" s="3" t="s">
        <v>95</v>
      </c>
      <c r="N207" s="2">
        <v>0</v>
      </c>
      <c r="O207" s="3" t="s">
        <v>96</v>
      </c>
      <c r="P207" s="3" t="s">
        <v>97</v>
      </c>
      <c r="Q207" s="2" t="s">
        <v>5602</v>
      </c>
      <c r="R207" s="3" t="s">
        <v>855</v>
      </c>
    </row>
    <row r="208" spans="1:18" x14ac:dyDescent="0.25">
      <c r="A208" s="2">
        <v>23865</v>
      </c>
      <c r="B208" s="3" t="s">
        <v>856</v>
      </c>
      <c r="C208" s="2" t="s">
        <v>3793</v>
      </c>
      <c r="D208" s="2" t="s">
        <v>338</v>
      </c>
      <c r="E208" s="3" t="s">
        <v>333</v>
      </c>
      <c r="F208" s="3" t="s">
        <v>783</v>
      </c>
      <c r="G208" s="2" t="s">
        <v>4575</v>
      </c>
      <c r="H208" s="2" t="s">
        <v>4685</v>
      </c>
      <c r="I208" s="3" t="s">
        <v>828</v>
      </c>
      <c r="J208" s="3" t="s">
        <v>138</v>
      </c>
      <c r="K208" s="3" t="s">
        <v>857</v>
      </c>
      <c r="L208" s="3" t="s">
        <v>338</v>
      </c>
      <c r="M208" s="3" t="s">
        <v>95</v>
      </c>
      <c r="N208" s="2">
        <v>0</v>
      </c>
      <c r="O208" s="3" t="s">
        <v>96</v>
      </c>
      <c r="P208" s="3" t="s">
        <v>97</v>
      </c>
      <c r="Q208" s="2" t="s">
        <v>5603</v>
      </c>
      <c r="R208" s="3" t="s">
        <v>858</v>
      </c>
    </row>
    <row r="209" spans="1:18" x14ac:dyDescent="0.25">
      <c r="A209" s="2">
        <v>28009</v>
      </c>
      <c r="B209" s="3" t="s">
        <v>859</v>
      </c>
      <c r="C209" s="2" t="s">
        <v>3794</v>
      </c>
      <c r="D209" s="2" t="s">
        <v>338</v>
      </c>
      <c r="E209" s="3" t="s">
        <v>333</v>
      </c>
      <c r="F209" s="3" t="s">
        <v>783</v>
      </c>
      <c r="G209" s="2" t="s">
        <v>4575</v>
      </c>
      <c r="H209" s="2" t="s">
        <v>4686</v>
      </c>
      <c r="I209" s="3" t="s">
        <v>860</v>
      </c>
      <c r="J209" s="3" t="s">
        <v>138</v>
      </c>
      <c r="K209" s="3" t="s">
        <v>861</v>
      </c>
      <c r="L209" s="3" t="s">
        <v>338</v>
      </c>
      <c r="M209" s="3" t="s">
        <v>95</v>
      </c>
      <c r="N209" s="2">
        <v>0</v>
      </c>
      <c r="O209" s="3" t="s">
        <v>96</v>
      </c>
      <c r="P209" s="3" t="s">
        <v>97</v>
      </c>
      <c r="Q209" s="2" t="s">
        <v>5604</v>
      </c>
      <c r="R209" s="3" t="s">
        <v>862</v>
      </c>
    </row>
    <row r="210" spans="1:18" x14ac:dyDescent="0.25">
      <c r="A210" s="2">
        <v>24967</v>
      </c>
      <c r="B210" s="3" t="s">
        <v>863</v>
      </c>
      <c r="C210" s="2" t="s">
        <v>3795</v>
      </c>
      <c r="D210" s="2" t="s">
        <v>338</v>
      </c>
      <c r="E210" s="3" t="s">
        <v>333</v>
      </c>
      <c r="F210" s="3" t="s">
        <v>783</v>
      </c>
      <c r="G210" s="2" t="s">
        <v>4575</v>
      </c>
      <c r="H210" s="2" t="s">
        <v>4687</v>
      </c>
      <c r="I210" s="3" t="s">
        <v>864</v>
      </c>
      <c r="J210" s="3" t="s">
        <v>865</v>
      </c>
      <c r="K210" s="3" t="s">
        <v>866</v>
      </c>
      <c r="L210" s="3" t="s">
        <v>338</v>
      </c>
      <c r="M210" s="3" t="s">
        <v>95</v>
      </c>
      <c r="N210" s="2">
        <v>0</v>
      </c>
      <c r="O210" s="3" t="s">
        <v>271</v>
      </c>
      <c r="P210" s="3" t="s">
        <v>97</v>
      </c>
      <c r="Q210" s="2" t="s">
        <v>5605</v>
      </c>
      <c r="R210" s="3" t="s">
        <v>867</v>
      </c>
    </row>
    <row r="211" spans="1:18" x14ac:dyDescent="0.25">
      <c r="A211" s="2">
        <v>12457</v>
      </c>
      <c r="B211" s="3" t="s">
        <v>868</v>
      </c>
      <c r="C211" s="2" t="s">
        <v>3796</v>
      </c>
      <c r="D211" s="2" t="s">
        <v>338</v>
      </c>
      <c r="E211" s="3" t="s">
        <v>333</v>
      </c>
      <c r="F211" s="3" t="s">
        <v>783</v>
      </c>
      <c r="G211" s="2" t="s">
        <v>4575</v>
      </c>
      <c r="H211" s="2" t="s">
        <v>4688</v>
      </c>
      <c r="I211" s="3" t="s">
        <v>784</v>
      </c>
      <c r="J211" s="3" t="s">
        <v>138</v>
      </c>
      <c r="K211" s="3" t="s">
        <v>785</v>
      </c>
      <c r="L211" s="3" t="s">
        <v>338</v>
      </c>
      <c r="M211" s="3" t="s">
        <v>95</v>
      </c>
      <c r="N211" s="2">
        <v>0</v>
      </c>
      <c r="O211" s="3" t="s">
        <v>271</v>
      </c>
      <c r="P211" s="3" t="s">
        <v>97</v>
      </c>
      <c r="Q211" s="2" t="s">
        <v>5606</v>
      </c>
      <c r="R211" s="3" t="s">
        <v>869</v>
      </c>
    </row>
    <row r="212" spans="1:18" x14ac:dyDescent="0.25">
      <c r="A212" s="2">
        <v>27831</v>
      </c>
      <c r="B212" s="3" t="s">
        <v>870</v>
      </c>
      <c r="C212" s="2" t="s">
        <v>3797</v>
      </c>
      <c r="D212" s="2" t="s">
        <v>338</v>
      </c>
      <c r="E212" s="3" t="s">
        <v>333</v>
      </c>
      <c r="F212" s="3" t="s">
        <v>783</v>
      </c>
      <c r="G212" s="2" t="s">
        <v>4575</v>
      </c>
      <c r="H212" s="2" t="s">
        <v>4689</v>
      </c>
      <c r="I212" s="3" t="s">
        <v>871</v>
      </c>
      <c r="J212" s="3" t="s">
        <v>138</v>
      </c>
      <c r="K212" s="3" t="s">
        <v>872</v>
      </c>
      <c r="L212" s="3" t="s">
        <v>338</v>
      </c>
      <c r="M212" s="3" t="s">
        <v>95</v>
      </c>
      <c r="N212" s="2">
        <v>0</v>
      </c>
      <c r="O212" s="3" t="s">
        <v>96</v>
      </c>
      <c r="P212" s="3" t="s">
        <v>97</v>
      </c>
      <c r="Q212" s="2" t="s">
        <v>5607</v>
      </c>
      <c r="R212" s="3" t="s">
        <v>873</v>
      </c>
    </row>
    <row r="213" spans="1:18" x14ac:dyDescent="0.25">
      <c r="A213" s="2">
        <v>40086</v>
      </c>
      <c r="B213" s="3" t="s">
        <v>874</v>
      </c>
      <c r="C213" s="2" t="s">
        <v>3798</v>
      </c>
      <c r="D213" s="2" t="s">
        <v>338</v>
      </c>
      <c r="E213" s="3" t="s">
        <v>333</v>
      </c>
      <c r="F213" s="3" t="s">
        <v>783</v>
      </c>
      <c r="G213" s="2" t="s">
        <v>4575</v>
      </c>
      <c r="H213" s="2" t="s">
        <v>4690</v>
      </c>
      <c r="I213" s="3" t="s">
        <v>875</v>
      </c>
      <c r="J213" s="3" t="s">
        <v>876</v>
      </c>
      <c r="K213" s="3" t="s">
        <v>877</v>
      </c>
      <c r="L213" s="3" t="s">
        <v>338</v>
      </c>
      <c r="M213" s="3" t="s">
        <v>95</v>
      </c>
      <c r="N213" s="2">
        <v>0</v>
      </c>
      <c r="O213" s="3" t="s">
        <v>271</v>
      </c>
      <c r="P213" s="3" t="s">
        <v>97</v>
      </c>
      <c r="Q213" s="2" t="s">
        <v>5608</v>
      </c>
      <c r="R213" s="3" t="s">
        <v>878</v>
      </c>
    </row>
    <row r="214" spans="1:18" x14ac:dyDescent="0.25">
      <c r="A214" s="2">
        <v>22478</v>
      </c>
      <c r="B214" s="3" t="s">
        <v>879</v>
      </c>
      <c r="C214" s="2" t="s">
        <v>3799</v>
      </c>
      <c r="D214" s="2" t="s">
        <v>338</v>
      </c>
      <c r="E214" s="3" t="s">
        <v>333</v>
      </c>
      <c r="F214" s="3" t="s">
        <v>783</v>
      </c>
      <c r="G214" s="2" t="s">
        <v>4575</v>
      </c>
      <c r="H214" s="2" t="s">
        <v>4691</v>
      </c>
      <c r="I214" s="3" t="s">
        <v>828</v>
      </c>
      <c r="J214" s="3" t="s">
        <v>880</v>
      </c>
      <c r="K214" s="3" t="s">
        <v>881</v>
      </c>
      <c r="L214" s="3" t="s">
        <v>338</v>
      </c>
      <c r="M214" s="3" t="s">
        <v>95</v>
      </c>
      <c r="N214" s="2">
        <v>0</v>
      </c>
      <c r="O214" s="3" t="s">
        <v>96</v>
      </c>
      <c r="P214" s="3" t="s">
        <v>97</v>
      </c>
      <c r="Q214" s="2" t="s">
        <v>5609</v>
      </c>
      <c r="R214" s="3" t="s">
        <v>882</v>
      </c>
    </row>
    <row r="215" spans="1:18" x14ac:dyDescent="0.25">
      <c r="A215" s="2">
        <v>22092</v>
      </c>
      <c r="B215" s="3" t="s">
        <v>883</v>
      </c>
      <c r="C215" s="2" t="s">
        <v>3800</v>
      </c>
      <c r="D215" s="2" t="s">
        <v>338</v>
      </c>
      <c r="E215" s="3" t="s">
        <v>333</v>
      </c>
      <c r="F215" s="3" t="s">
        <v>783</v>
      </c>
      <c r="G215" s="2" t="s">
        <v>4575</v>
      </c>
      <c r="H215" s="2" t="s">
        <v>4692</v>
      </c>
      <c r="I215" s="3" t="s">
        <v>884</v>
      </c>
      <c r="J215" s="3" t="s">
        <v>138</v>
      </c>
      <c r="K215" s="3" t="s">
        <v>885</v>
      </c>
      <c r="L215" s="3" t="s">
        <v>338</v>
      </c>
      <c r="M215" s="3" t="s">
        <v>95</v>
      </c>
      <c r="N215" s="2">
        <v>0</v>
      </c>
      <c r="O215" s="3" t="s">
        <v>271</v>
      </c>
      <c r="P215" s="3" t="s">
        <v>97</v>
      </c>
      <c r="Q215" s="2" t="s">
        <v>5610</v>
      </c>
      <c r="R215" s="3" t="s">
        <v>886</v>
      </c>
    </row>
    <row r="216" spans="1:18" x14ac:dyDescent="0.25">
      <c r="A216" s="2">
        <v>23905</v>
      </c>
      <c r="B216" s="3" t="s">
        <v>887</v>
      </c>
      <c r="C216" s="2" t="s">
        <v>3801</v>
      </c>
      <c r="D216" s="2" t="s">
        <v>338</v>
      </c>
      <c r="E216" s="3" t="s">
        <v>333</v>
      </c>
      <c r="F216" s="3" t="s">
        <v>783</v>
      </c>
      <c r="G216" s="2" t="s">
        <v>4575</v>
      </c>
      <c r="H216" s="2" t="s">
        <v>4693</v>
      </c>
      <c r="I216" s="3" t="s">
        <v>888</v>
      </c>
      <c r="J216" s="3" t="s">
        <v>138</v>
      </c>
      <c r="K216" s="3" t="s">
        <v>889</v>
      </c>
      <c r="L216" s="3" t="s">
        <v>338</v>
      </c>
      <c r="M216" s="3" t="s">
        <v>95</v>
      </c>
      <c r="N216" s="2">
        <v>0</v>
      </c>
      <c r="O216" s="3" t="s">
        <v>271</v>
      </c>
      <c r="P216" s="3" t="s">
        <v>97</v>
      </c>
      <c r="Q216" s="2" t="s">
        <v>5611</v>
      </c>
      <c r="R216" s="3" t="s">
        <v>890</v>
      </c>
    </row>
    <row r="217" spans="1:18" x14ac:dyDescent="0.25">
      <c r="A217" s="2">
        <v>31991</v>
      </c>
      <c r="B217" s="3" t="s">
        <v>891</v>
      </c>
      <c r="C217" s="2" t="s">
        <v>3802</v>
      </c>
      <c r="D217" s="2" t="s">
        <v>338</v>
      </c>
      <c r="E217" s="3" t="s">
        <v>333</v>
      </c>
      <c r="F217" s="3" t="s">
        <v>783</v>
      </c>
      <c r="G217" s="2" t="s">
        <v>4575</v>
      </c>
      <c r="H217" s="2" t="s">
        <v>4694</v>
      </c>
      <c r="I217" s="3" t="s">
        <v>815</v>
      </c>
      <c r="J217" s="3" t="s">
        <v>892</v>
      </c>
      <c r="K217" s="3" t="s">
        <v>893</v>
      </c>
      <c r="L217" s="3" t="s">
        <v>338</v>
      </c>
      <c r="M217" s="3" t="s">
        <v>95</v>
      </c>
      <c r="N217" s="2">
        <v>0</v>
      </c>
      <c r="O217" s="3" t="s">
        <v>271</v>
      </c>
      <c r="P217" s="3" t="s">
        <v>97</v>
      </c>
      <c r="Q217" s="2" t="s">
        <v>5612</v>
      </c>
      <c r="R217" s="3" t="s">
        <v>894</v>
      </c>
    </row>
    <row r="218" spans="1:18" x14ac:dyDescent="0.25">
      <c r="A218" s="2">
        <v>35889</v>
      </c>
      <c r="B218" s="3" t="s">
        <v>895</v>
      </c>
      <c r="C218" s="2" t="s">
        <v>3803</v>
      </c>
      <c r="D218" s="2" t="s">
        <v>338</v>
      </c>
      <c r="E218" s="3" t="s">
        <v>333</v>
      </c>
      <c r="F218" s="3" t="s">
        <v>783</v>
      </c>
      <c r="G218" s="2" t="s">
        <v>4546</v>
      </c>
      <c r="H218" s="2" t="s">
        <v>4695</v>
      </c>
      <c r="I218" s="3" t="s">
        <v>896</v>
      </c>
      <c r="J218" s="3" t="s">
        <v>897</v>
      </c>
      <c r="K218" s="3" t="s">
        <v>854</v>
      </c>
      <c r="L218" s="3" t="s">
        <v>338</v>
      </c>
      <c r="M218" s="3" t="s">
        <v>95</v>
      </c>
      <c r="N218" s="2">
        <v>0</v>
      </c>
      <c r="O218" s="3" t="s">
        <v>96</v>
      </c>
      <c r="P218" s="3" t="s">
        <v>97</v>
      </c>
      <c r="Q218" s="2" t="s">
        <v>5613</v>
      </c>
      <c r="R218" s="3" t="s">
        <v>898</v>
      </c>
    </row>
    <row r="219" spans="1:18" x14ac:dyDescent="0.25">
      <c r="A219" s="2">
        <v>36199</v>
      </c>
      <c r="B219" s="3" t="s">
        <v>899</v>
      </c>
      <c r="C219" s="2" t="s">
        <v>3804</v>
      </c>
      <c r="D219" s="2" t="s">
        <v>338</v>
      </c>
      <c r="E219" s="3" t="s">
        <v>333</v>
      </c>
      <c r="F219" s="3" t="s">
        <v>783</v>
      </c>
      <c r="G219" s="2" t="s">
        <v>4575</v>
      </c>
      <c r="H219" s="2" t="s">
        <v>4696</v>
      </c>
      <c r="I219" s="3" t="s">
        <v>900</v>
      </c>
      <c r="J219" s="3" t="s">
        <v>901</v>
      </c>
      <c r="K219" s="3" t="s">
        <v>902</v>
      </c>
      <c r="L219" s="3" t="s">
        <v>338</v>
      </c>
      <c r="M219" s="3" t="s">
        <v>20</v>
      </c>
      <c r="N219" s="2">
        <v>0</v>
      </c>
      <c r="O219" s="3" t="s">
        <v>21</v>
      </c>
      <c r="P219" s="3" t="s">
        <v>22</v>
      </c>
      <c r="Q219" s="2" t="s">
        <v>5614</v>
      </c>
      <c r="R219" s="3" t="s">
        <v>903</v>
      </c>
    </row>
    <row r="220" spans="1:18" x14ac:dyDescent="0.25">
      <c r="A220" s="2">
        <v>31285</v>
      </c>
      <c r="B220" s="3" t="s">
        <v>904</v>
      </c>
      <c r="C220" s="2" t="s">
        <v>3805</v>
      </c>
      <c r="D220" s="2" t="s">
        <v>338</v>
      </c>
      <c r="E220" s="3" t="s">
        <v>333</v>
      </c>
      <c r="F220" s="3" t="s">
        <v>783</v>
      </c>
      <c r="G220" s="2" t="s">
        <v>4575</v>
      </c>
      <c r="H220" s="2" t="s">
        <v>4697</v>
      </c>
      <c r="I220" s="3" t="s">
        <v>905</v>
      </c>
      <c r="J220" s="3" t="s">
        <v>138</v>
      </c>
      <c r="K220" s="3" t="s">
        <v>906</v>
      </c>
      <c r="L220" s="3" t="s">
        <v>338</v>
      </c>
      <c r="M220" s="3" t="s">
        <v>95</v>
      </c>
      <c r="N220" s="2">
        <v>0</v>
      </c>
      <c r="O220" s="3" t="s">
        <v>96</v>
      </c>
      <c r="P220" s="3" t="s">
        <v>97</v>
      </c>
      <c r="Q220" s="2" t="s">
        <v>5615</v>
      </c>
      <c r="R220" s="3" t="s">
        <v>907</v>
      </c>
    </row>
    <row r="221" spans="1:18" x14ac:dyDescent="0.25">
      <c r="A221" s="2">
        <v>26614</v>
      </c>
      <c r="B221" s="3" t="s">
        <v>908</v>
      </c>
      <c r="C221" s="2" t="s">
        <v>3806</v>
      </c>
      <c r="D221" s="2" t="s">
        <v>338</v>
      </c>
      <c r="E221" s="3" t="s">
        <v>333</v>
      </c>
      <c r="F221" s="3" t="s">
        <v>783</v>
      </c>
      <c r="G221" s="2" t="s">
        <v>4575</v>
      </c>
      <c r="H221" s="2" t="s">
        <v>4698</v>
      </c>
      <c r="I221" s="3" t="s">
        <v>853</v>
      </c>
      <c r="J221" s="3" t="s">
        <v>138</v>
      </c>
      <c r="K221" s="3" t="s">
        <v>854</v>
      </c>
      <c r="L221" s="3" t="s">
        <v>338</v>
      </c>
      <c r="M221" s="3" t="s">
        <v>95</v>
      </c>
      <c r="N221" s="2">
        <v>0</v>
      </c>
      <c r="O221" s="3" t="s">
        <v>96</v>
      </c>
      <c r="P221" s="3" t="s">
        <v>97</v>
      </c>
      <c r="Q221" s="2" t="s">
        <v>5616</v>
      </c>
      <c r="R221" s="3" t="s">
        <v>909</v>
      </c>
    </row>
    <row r="222" spans="1:18" x14ac:dyDescent="0.25">
      <c r="A222" s="2">
        <v>37402</v>
      </c>
      <c r="B222" s="3" t="s">
        <v>910</v>
      </c>
      <c r="C222" s="2" t="s">
        <v>3807</v>
      </c>
      <c r="D222" s="2" t="s">
        <v>338</v>
      </c>
      <c r="E222" s="3" t="s">
        <v>333</v>
      </c>
      <c r="F222" s="3" t="s">
        <v>783</v>
      </c>
      <c r="G222" s="2" t="s">
        <v>4575</v>
      </c>
      <c r="H222" s="2" t="s">
        <v>4699</v>
      </c>
      <c r="I222" s="3" t="s">
        <v>911</v>
      </c>
      <c r="J222" s="3" t="s">
        <v>138</v>
      </c>
      <c r="K222" s="3" t="s">
        <v>912</v>
      </c>
      <c r="L222" s="3" t="s">
        <v>338</v>
      </c>
      <c r="M222" s="3" t="s">
        <v>95</v>
      </c>
      <c r="N222" s="2">
        <v>0</v>
      </c>
      <c r="O222" s="3" t="s">
        <v>271</v>
      </c>
      <c r="P222" s="3" t="s">
        <v>97</v>
      </c>
      <c r="Q222" s="2" t="s">
        <v>5617</v>
      </c>
      <c r="R222" s="3" t="s">
        <v>913</v>
      </c>
    </row>
    <row r="223" spans="1:18" x14ac:dyDescent="0.25">
      <c r="A223" s="2">
        <v>35372</v>
      </c>
      <c r="B223" s="3" t="s">
        <v>914</v>
      </c>
      <c r="C223" s="2" t="s">
        <v>3808</v>
      </c>
      <c r="D223" s="2" t="s">
        <v>338</v>
      </c>
      <c r="E223" s="3" t="s">
        <v>333</v>
      </c>
      <c r="F223" s="3" t="s">
        <v>783</v>
      </c>
      <c r="G223" s="2" t="s">
        <v>4575</v>
      </c>
      <c r="H223" s="2" t="s">
        <v>4700</v>
      </c>
      <c r="I223" s="3" t="s">
        <v>915</v>
      </c>
      <c r="J223" s="3" t="s">
        <v>138</v>
      </c>
      <c r="K223" s="3" t="s">
        <v>916</v>
      </c>
      <c r="L223" s="3" t="s">
        <v>338</v>
      </c>
      <c r="M223" s="3" t="s">
        <v>95</v>
      </c>
      <c r="N223" s="2">
        <v>0</v>
      </c>
      <c r="O223" s="3" t="s">
        <v>96</v>
      </c>
      <c r="P223" s="3" t="s">
        <v>97</v>
      </c>
      <c r="Q223" s="2" t="s">
        <v>5618</v>
      </c>
      <c r="R223" s="3" t="s">
        <v>917</v>
      </c>
    </row>
    <row r="224" spans="1:18" x14ac:dyDescent="0.25">
      <c r="A224" s="2">
        <v>18389</v>
      </c>
      <c r="B224" s="3" t="s">
        <v>918</v>
      </c>
      <c r="C224" s="2" t="s">
        <v>3809</v>
      </c>
      <c r="D224" s="2" t="s">
        <v>338</v>
      </c>
      <c r="E224" s="3" t="s">
        <v>333</v>
      </c>
      <c r="F224" s="3" t="s">
        <v>783</v>
      </c>
      <c r="G224" s="2" t="s">
        <v>4575</v>
      </c>
      <c r="H224" s="2" t="s">
        <v>4701</v>
      </c>
      <c r="I224" s="3" t="s">
        <v>919</v>
      </c>
      <c r="J224" s="3" t="s">
        <v>138</v>
      </c>
      <c r="K224" s="3" t="s">
        <v>920</v>
      </c>
      <c r="L224" s="3" t="s">
        <v>338</v>
      </c>
      <c r="M224" s="3" t="s">
        <v>95</v>
      </c>
      <c r="N224" s="2">
        <v>0</v>
      </c>
      <c r="O224" s="3" t="s">
        <v>96</v>
      </c>
      <c r="P224" s="3" t="s">
        <v>97</v>
      </c>
      <c r="Q224" s="2" t="s">
        <v>5619</v>
      </c>
      <c r="R224" s="3" t="s">
        <v>921</v>
      </c>
    </row>
    <row r="225" spans="1:18" x14ac:dyDescent="0.25">
      <c r="A225" s="2">
        <v>38058</v>
      </c>
      <c r="B225" s="3" t="s">
        <v>922</v>
      </c>
      <c r="C225" s="2" t="s">
        <v>3810</v>
      </c>
      <c r="D225" s="2" t="s">
        <v>338</v>
      </c>
      <c r="E225" s="3" t="s">
        <v>333</v>
      </c>
      <c r="F225" s="3" t="s">
        <v>783</v>
      </c>
      <c r="G225" s="2" t="s">
        <v>4575</v>
      </c>
      <c r="H225" s="2" t="s">
        <v>4702</v>
      </c>
      <c r="I225" s="3" t="s">
        <v>923</v>
      </c>
      <c r="J225" s="3" t="s">
        <v>138</v>
      </c>
      <c r="K225" s="3" t="s">
        <v>924</v>
      </c>
      <c r="L225" s="3" t="s">
        <v>338</v>
      </c>
      <c r="M225" s="3" t="s">
        <v>95</v>
      </c>
      <c r="N225" s="2">
        <v>0</v>
      </c>
      <c r="O225" s="3" t="s">
        <v>271</v>
      </c>
      <c r="P225" s="3" t="s">
        <v>97</v>
      </c>
      <c r="Q225" s="2" t="s">
        <v>5620</v>
      </c>
      <c r="R225" s="3" t="s">
        <v>925</v>
      </c>
    </row>
    <row r="226" spans="1:18" x14ac:dyDescent="0.25">
      <c r="A226" s="2">
        <v>35689</v>
      </c>
      <c r="B226" s="3" t="s">
        <v>926</v>
      </c>
      <c r="C226" s="2" t="s">
        <v>3811</v>
      </c>
      <c r="D226" s="2" t="s">
        <v>338</v>
      </c>
      <c r="E226" s="3" t="s">
        <v>333</v>
      </c>
      <c r="F226" s="3" t="s">
        <v>783</v>
      </c>
      <c r="G226" s="2" t="s">
        <v>4575</v>
      </c>
      <c r="H226" s="2" t="s">
        <v>4703</v>
      </c>
      <c r="I226" s="3" t="s">
        <v>788</v>
      </c>
      <c r="J226" s="3" t="s">
        <v>927</v>
      </c>
      <c r="K226" s="3" t="s">
        <v>928</v>
      </c>
      <c r="L226" s="3" t="s">
        <v>338</v>
      </c>
      <c r="M226" s="3" t="s">
        <v>20</v>
      </c>
      <c r="N226" s="2">
        <v>0</v>
      </c>
      <c r="O226" s="3" t="s">
        <v>21</v>
      </c>
      <c r="P226" s="3" t="s">
        <v>22</v>
      </c>
      <c r="Q226" s="2" t="s">
        <v>5621</v>
      </c>
      <c r="R226" s="3" t="s">
        <v>929</v>
      </c>
    </row>
    <row r="227" spans="1:18" x14ac:dyDescent="0.25">
      <c r="A227" s="2">
        <v>39067</v>
      </c>
      <c r="B227" s="3" t="s">
        <v>930</v>
      </c>
      <c r="C227" s="2" t="s">
        <v>3812</v>
      </c>
      <c r="D227" s="2" t="s">
        <v>338</v>
      </c>
      <c r="E227" s="3" t="s">
        <v>333</v>
      </c>
      <c r="F227" s="3" t="s">
        <v>783</v>
      </c>
      <c r="G227" s="2" t="s">
        <v>4575</v>
      </c>
      <c r="H227" s="2" t="s">
        <v>4704</v>
      </c>
      <c r="I227" s="3" t="s">
        <v>849</v>
      </c>
      <c r="J227" s="3" t="s">
        <v>138</v>
      </c>
      <c r="K227" s="3" t="s">
        <v>850</v>
      </c>
      <c r="L227" s="3" t="s">
        <v>338</v>
      </c>
      <c r="M227" s="3" t="s">
        <v>95</v>
      </c>
      <c r="N227" s="2">
        <v>0</v>
      </c>
      <c r="O227" s="3" t="s">
        <v>96</v>
      </c>
      <c r="P227" s="3" t="s">
        <v>97</v>
      </c>
      <c r="Q227" s="2" t="s">
        <v>5622</v>
      </c>
      <c r="R227" s="3" t="s">
        <v>931</v>
      </c>
    </row>
    <row r="228" spans="1:18" x14ac:dyDescent="0.25">
      <c r="A228" s="2">
        <v>13407</v>
      </c>
      <c r="B228" s="3" t="s">
        <v>932</v>
      </c>
      <c r="C228" s="2" t="s">
        <v>3813</v>
      </c>
      <c r="D228" s="2" t="s">
        <v>338</v>
      </c>
      <c r="E228" s="3" t="s">
        <v>333</v>
      </c>
      <c r="F228" s="3" t="s">
        <v>783</v>
      </c>
      <c r="G228" s="2" t="s">
        <v>4575</v>
      </c>
      <c r="H228" s="2" t="s">
        <v>4705</v>
      </c>
      <c r="I228" s="3" t="s">
        <v>933</v>
      </c>
      <c r="J228" s="3" t="s">
        <v>138</v>
      </c>
      <c r="K228" s="3" t="s">
        <v>934</v>
      </c>
      <c r="L228" s="3" t="s">
        <v>338</v>
      </c>
      <c r="M228" s="3" t="s">
        <v>95</v>
      </c>
      <c r="N228" s="2">
        <v>0</v>
      </c>
      <c r="O228" s="3" t="s">
        <v>271</v>
      </c>
      <c r="P228" s="3" t="s">
        <v>97</v>
      </c>
      <c r="Q228" s="2" t="s">
        <v>5623</v>
      </c>
      <c r="R228" s="3" t="s">
        <v>935</v>
      </c>
    </row>
    <row r="229" spans="1:18" x14ac:dyDescent="0.25">
      <c r="A229" s="2">
        <v>25070</v>
      </c>
      <c r="B229" s="3" t="s">
        <v>936</v>
      </c>
      <c r="C229" s="2" t="s">
        <v>3814</v>
      </c>
      <c r="D229" s="2" t="s">
        <v>338</v>
      </c>
      <c r="E229" s="3" t="s">
        <v>333</v>
      </c>
      <c r="F229" s="3" t="s">
        <v>783</v>
      </c>
      <c r="G229" s="2" t="s">
        <v>4575</v>
      </c>
      <c r="H229" s="2" t="s">
        <v>4706</v>
      </c>
      <c r="I229" s="3" t="s">
        <v>937</v>
      </c>
      <c r="J229" s="3" t="s">
        <v>938</v>
      </c>
      <c r="K229" s="3" t="s">
        <v>939</v>
      </c>
      <c r="L229" s="3" t="s">
        <v>338</v>
      </c>
      <c r="M229" s="3" t="s">
        <v>20</v>
      </c>
      <c r="N229" s="2">
        <v>0</v>
      </c>
      <c r="O229" s="3" t="s">
        <v>21</v>
      </c>
      <c r="P229" s="3" t="s">
        <v>22</v>
      </c>
      <c r="Q229" s="2" t="s">
        <v>5624</v>
      </c>
      <c r="R229" s="3" t="s">
        <v>940</v>
      </c>
    </row>
    <row r="230" spans="1:18" x14ac:dyDescent="0.25">
      <c r="A230" s="2">
        <v>39816</v>
      </c>
      <c r="B230" s="3" t="s">
        <v>941</v>
      </c>
      <c r="C230" s="2" t="s">
        <v>3815</v>
      </c>
      <c r="D230" s="2" t="s">
        <v>338</v>
      </c>
      <c r="E230" s="3" t="s">
        <v>333</v>
      </c>
      <c r="F230" s="3" t="s">
        <v>783</v>
      </c>
      <c r="G230" s="2" t="s">
        <v>4575</v>
      </c>
      <c r="H230" s="2" t="s">
        <v>4707</v>
      </c>
      <c r="I230" s="3" t="s">
        <v>942</v>
      </c>
      <c r="J230" s="3" t="s">
        <v>138</v>
      </c>
      <c r="K230" s="3" t="s">
        <v>943</v>
      </c>
      <c r="L230" s="3" t="s">
        <v>338</v>
      </c>
      <c r="M230" s="3" t="s">
        <v>95</v>
      </c>
      <c r="N230" s="2">
        <v>0</v>
      </c>
      <c r="O230" s="3" t="s">
        <v>271</v>
      </c>
      <c r="P230" s="3" t="s">
        <v>97</v>
      </c>
      <c r="Q230" s="2" t="s">
        <v>5625</v>
      </c>
      <c r="R230" s="3" t="s">
        <v>944</v>
      </c>
    </row>
    <row r="231" spans="1:18" x14ac:dyDescent="0.25">
      <c r="A231" s="2">
        <v>35985</v>
      </c>
      <c r="B231" s="3" t="s">
        <v>945</v>
      </c>
      <c r="C231" s="2" t="s">
        <v>3816</v>
      </c>
      <c r="D231" s="2" t="s">
        <v>338</v>
      </c>
      <c r="E231" s="3" t="s">
        <v>333</v>
      </c>
      <c r="F231" s="3" t="s">
        <v>783</v>
      </c>
      <c r="G231" s="2" t="s">
        <v>4575</v>
      </c>
      <c r="H231" s="2" t="s">
        <v>4708</v>
      </c>
      <c r="I231" s="3" t="s">
        <v>946</v>
      </c>
      <c r="J231" s="3" t="s">
        <v>138</v>
      </c>
      <c r="K231" s="3" t="s">
        <v>947</v>
      </c>
      <c r="L231" s="3" t="s">
        <v>338</v>
      </c>
      <c r="M231" s="3" t="s">
        <v>95</v>
      </c>
      <c r="N231" s="2">
        <v>0</v>
      </c>
      <c r="O231" s="3" t="s">
        <v>271</v>
      </c>
      <c r="P231" s="3" t="s">
        <v>97</v>
      </c>
      <c r="Q231" s="2" t="s">
        <v>5626</v>
      </c>
      <c r="R231" s="3" t="s">
        <v>948</v>
      </c>
    </row>
    <row r="232" spans="1:18" x14ac:dyDescent="0.25">
      <c r="A232" s="2">
        <v>40923</v>
      </c>
      <c r="B232" s="3" t="s">
        <v>949</v>
      </c>
      <c r="C232" s="2" t="s">
        <v>3817</v>
      </c>
      <c r="D232" s="2" t="s">
        <v>338</v>
      </c>
      <c r="E232" s="3" t="s">
        <v>333</v>
      </c>
      <c r="F232" s="3" t="s">
        <v>783</v>
      </c>
      <c r="G232" s="2" t="s">
        <v>4575</v>
      </c>
      <c r="H232" s="2" t="s">
        <v>4709</v>
      </c>
      <c r="I232" s="3" t="s">
        <v>864</v>
      </c>
      <c r="J232" s="3" t="s">
        <v>865</v>
      </c>
      <c r="K232" s="3" t="s">
        <v>950</v>
      </c>
      <c r="L232" s="3" t="s">
        <v>338</v>
      </c>
      <c r="M232" s="3" t="s">
        <v>95</v>
      </c>
      <c r="N232" s="2">
        <v>0</v>
      </c>
      <c r="O232" s="3" t="s">
        <v>271</v>
      </c>
      <c r="P232" s="3" t="s">
        <v>97</v>
      </c>
      <c r="Q232" s="2" t="s">
        <v>5627</v>
      </c>
      <c r="R232" s="3" t="s">
        <v>951</v>
      </c>
    </row>
    <row r="233" spans="1:18" x14ac:dyDescent="0.25">
      <c r="A233" s="2">
        <v>36517</v>
      </c>
      <c r="B233" s="3" t="s">
        <v>952</v>
      </c>
      <c r="C233" s="2" t="s">
        <v>3818</v>
      </c>
      <c r="D233" s="2" t="s">
        <v>338</v>
      </c>
      <c r="E233" s="3" t="s">
        <v>333</v>
      </c>
      <c r="F233" s="3" t="s">
        <v>783</v>
      </c>
      <c r="G233" s="2" t="s">
        <v>4575</v>
      </c>
      <c r="H233" s="2" t="s">
        <v>4710</v>
      </c>
      <c r="I233" s="3" t="s">
        <v>820</v>
      </c>
      <c r="J233" s="3" t="s">
        <v>865</v>
      </c>
      <c r="K233" s="3" t="s">
        <v>953</v>
      </c>
      <c r="L233" s="3" t="s">
        <v>338</v>
      </c>
      <c r="M233" s="3" t="s">
        <v>95</v>
      </c>
      <c r="N233" s="2">
        <v>0</v>
      </c>
      <c r="O233" s="3" t="s">
        <v>271</v>
      </c>
      <c r="P233" s="3" t="s">
        <v>97</v>
      </c>
      <c r="Q233" s="2" t="s">
        <v>5628</v>
      </c>
      <c r="R233" s="3" t="s">
        <v>954</v>
      </c>
    </row>
    <row r="234" spans="1:18" x14ac:dyDescent="0.25">
      <c r="A234" s="2">
        <v>35644</v>
      </c>
      <c r="B234" s="3" t="s">
        <v>955</v>
      </c>
      <c r="C234" s="2" t="s">
        <v>3819</v>
      </c>
      <c r="D234" s="2" t="s">
        <v>338</v>
      </c>
      <c r="E234" s="3" t="s">
        <v>333</v>
      </c>
      <c r="F234" s="3" t="s">
        <v>783</v>
      </c>
      <c r="G234" s="2" t="s">
        <v>4575</v>
      </c>
      <c r="H234" s="2" t="s">
        <v>4711</v>
      </c>
      <c r="I234" s="3" t="s">
        <v>956</v>
      </c>
      <c r="J234" s="3" t="s">
        <v>138</v>
      </c>
      <c r="K234" s="3" t="s">
        <v>957</v>
      </c>
      <c r="L234" s="3" t="s">
        <v>338</v>
      </c>
      <c r="M234" s="3" t="s">
        <v>95</v>
      </c>
      <c r="N234" s="2">
        <v>0</v>
      </c>
      <c r="O234" s="3" t="s">
        <v>271</v>
      </c>
      <c r="P234" s="3" t="s">
        <v>97</v>
      </c>
      <c r="Q234" s="2" t="s">
        <v>5629</v>
      </c>
      <c r="R234" s="3" t="s">
        <v>958</v>
      </c>
    </row>
    <row r="235" spans="1:18" x14ac:dyDescent="0.25">
      <c r="A235" s="2">
        <v>37997</v>
      </c>
      <c r="B235" s="3" t="s">
        <v>959</v>
      </c>
      <c r="C235" s="2" t="s">
        <v>3820</v>
      </c>
      <c r="D235" s="2" t="s">
        <v>338</v>
      </c>
      <c r="E235" s="3" t="s">
        <v>333</v>
      </c>
      <c r="F235" s="3" t="s">
        <v>783</v>
      </c>
      <c r="G235" s="2" t="s">
        <v>4575</v>
      </c>
      <c r="H235" s="2" t="s">
        <v>4712</v>
      </c>
      <c r="I235" s="3" t="s">
        <v>793</v>
      </c>
      <c r="J235" s="3" t="s">
        <v>960</v>
      </c>
      <c r="K235" s="3" t="s">
        <v>961</v>
      </c>
      <c r="L235" s="3" t="s">
        <v>338</v>
      </c>
      <c r="M235" s="3" t="s">
        <v>95</v>
      </c>
      <c r="N235" s="2">
        <v>0</v>
      </c>
      <c r="O235" s="3" t="s">
        <v>96</v>
      </c>
      <c r="P235" s="3" t="s">
        <v>97</v>
      </c>
      <c r="Q235" s="2" t="s">
        <v>5630</v>
      </c>
      <c r="R235" s="3" t="s">
        <v>962</v>
      </c>
    </row>
    <row r="236" spans="1:18" x14ac:dyDescent="0.25">
      <c r="A236" s="2">
        <v>37557</v>
      </c>
      <c r="B236" s="3" t="s">
        <v>963</v>
      </c>
      <c r="C236" s="2" t="s">
        <v>3821</v>
      </c>
      <c r="D236" s="2" t="s">
        <v>338</v>
      </c>
      <c r="E236" s="3" t="s">
        <v>333</v>
      </c>
      <c r="F236" s="3" t="s">
        <v>783</v>
      </c>
      <c r="G236" s="2" t="s">
        <v>4575</v>
      </c>
      <c r="H236" s="2" t="s">
        <v>4713</v>
      </c>
      <c r="I236" s="3" t="s">
        <v>964</v>
      </c>
      <c r="J236" s="3" t="s">
        <v>965</v>
      </c>
      <c r="K236" s="3" t="s">
        <v>966</v>
      </c>
      <c r="L236" s="3" t="s">
        <v>338</v>
      </c>
      <c r="M236" s="3" t="s">
        <v>95</v>
      </c>
      <c r="N236" s="2">
        <v>0</v>
      </c>
      <c r="O236" s="3" t="s">
        <v>96</v>
      </c>
      <c r="P236" s="3" t="s">
        <v>97</v>
      </c>
      <c r="Q236" s="2" t="s">
        <v>5631</v>
      </c>
      <c r="R236" s="3" t="s">
        <v>967</v>
      </c>
    </row>
    <row r="237" spans="1:18" x14ac:dyDescent="0.25">
      <c r="A237" s="2">
        <v>34934</v>
      </c>
      <c r="B237" s="3" t="s">
        <v>968</v>
      </c>
      <c r="C237" s="2" t="s">
        <v>3822</v>
      </c>
      <c r="D237" s="2" t="s">
        <v>338</v>
      </c>
      <c r="E237" s="3" t="s">
        <v>333</v>
      </c>
      <c r="F237" s="3" t="s">
        <v>783</v>
      </c>
      <c r="G237" s="2" t="s">
        <v>4575</v>
      </c>
      <c r="H237" s="2" t="s">
        <v>4714</v>
      </c>
      <c r="I237" s="3" t="s">
        <v>969</v>
      </c>
      <c r="J237" s="3" t="s">
        <v>970</v>
      </c>
      <c r="K237" s="3" t="s">
        <v>971</v>
      </c>
      <c r="L237" s="3" t="s">
        <v>338</v>
      </c>
      <c r="M237" s="3" t="s">
        <v>95</v>
      </c>
      <c r="N237" s="2">
        <v>0</v>
      </c>
      <c r="O237" s="3" t="s">
        <v>271</v>
      </c>
      <c r="P237" s="3" t="s">
        <v>97</v>
      </c>
      <c r="Q237" s="2" t="s">
        <v>5632</v>
      </c>
      <c r="R237" s="3" t="s">
        <v>972</v>
      </c>
    </row>
    <row r="238" spans="1:18" x14ac:dyDescent="0.25">
      <c r="A238" s="2">
        <v>38512</v>
      </c>
      <c r="B238" s="3" t="s">
        <v>973</v>
      </c>
      <c r="C238" s="2" t="s">
        <v>3823</v>
      </c>
      <c r="D238" s="2" t="s">
        <v>338</v>
      </c>
      <c r="E238" s="3" t="s">
        <v>333</v>
      </c>
      <c r="F238" s="3" t="s">
        <v>783</v>
      </c>
      <c r="G238" s="2" t="s">
        <v>4575</v>
      </c>
      <c r="H238" s="2" t="s">
        <v>4715</v>
      </c>
      <c r="I238" s="3" t="s">
        <v>974</v>
      </c>
      <c r="J238" s="3" t="s">
        <v>975</v>
      </c>
      <c r="K238" s="3" t="s">
        <v>976</v>
      </c>
      <c r="L238" s="3" t="s">
        <v>338</v>
      </c>
      <c r="M238" s="3" t="s">
        <v>95</v>
      </c>
      <c r="N238" s="2">
        <v>0</v>
      </c>
      <c r="O238" s="3" t="s">
        <v>271</v>
      </c>
      <c r="P238" s="3" t="s">
        <v>97</v>
      </c>
      <c r="Q238" s="2" t="s">
        <v>5633</v>
      </c>
      <c r="R238" s="3" t="s">
        <v>977</v>
      </c>
    </row>
    <row r="239" spans="1:18" x14ac:dyDescent="0.25">
      <c r="A239" s="2">
        <v>34980</v>
      </c>
      <c r="B239" s="3" t="s">
        <v>978</v>
      </c>
      <c r="C239" s="2" t="s">
        <v>3824</v>
      </c>
      <c r="D239" s="2" t="s">
        <v>338</v>
      </c>
      <c r="E239" s="3" t="s">
        <v>333</v>
      </c>
      <c r="F239" s="3" t="s">
        <v>783</v>
      </c>
      <c r="G239" s="2" t="s">
        <v>4575</v>
      </c>
      <c r="H239" s="2" t="s">
        <v>4716</v>
      </c>
      <c r="I239" s="3" t="s">
        <v>864</v>
      </c>
      <c r="J239" s="3" t="s">
        <v>979</v>
      </c>
      <c r="K239" s="3" t="s">
        <v>980</v>
      </c>
      <c r="L239" s="3" t="s">
        <v>338</v>
      </c>
      <c r="M239" s="3" t="s">
        <v>95</v>
      </c>
      <c r="N239" s="2">
        <v>0</v>
      </c>
      <c r="O239" s="3" t="s">
        <v>271</v>
      </c>
      <c r="P239" s="3" t="s">
        <v>97</v>
      </c>
      <c r="Q239" s="2" t="s">
        <v>5634</v>
      </c>
      <c r="R239" s="3" t="s">
        <v>981</v>
      </c>
    </row>
    <row r="240" spans="1:18" x14ac:dyDescent="0.25">
      <c r="A240" s="2">
        <v>22907</v>
      </c>
      <c r="B240" s="3" t="s">
        <v>982</v>
      </c>
      <c r="C240" s="2" t="s">
        <v>3825</v>
      </c>
      <c r="D240" s="2" t="s">
        <v>338</v>
      </c>
      <c r="E240" s="3" t="s">
        <v>333</v>
      </c>
      <c r="F240" s="3" t="s">
        <v>783</v>
      </c>
      <c r="G240" s="2" t="s">
        <v>4575</v>
      </c>
      <c r="H240" s="2" t="s">
        <v>4717</v>
      </c>
      <c r="I240" s="3" t="s">
        <v>983</v>
      </c>
      <c r="J240" s="3" t="s">
        <v>138</v>
      </c>
      <c r="K240" s="3" t="s">
        <v>984</v>
      </c>
      <c r="L240" s="3" t="s">
        <v>338</v>
      </c>
      <c r="M240" s="3" t="s">
        <v>95</v>
      </c>
      <c r="N240" s="2">
        <v>0</v>
      </c>
      <c r="O240" s="3" t="s">
        <v>96</v>
      </c>
      <c r="P240" s="3" t="s">
        <v>97</v>
      </c>
      <c r="Q240" s="2" t="s">
        <v>5635</v>
      </c>
      <c r="R240" s="3" t="s">
        <v>985</v>
      </c>
    </row>
    <row r="241" spans="1:18" x14ac:dyDescent="0.25">
      <c r="A241" s="2">
        <v>40089</v>
      </c>
      <c r="B241" s="3" t="s">
        <v>986</v>
      </c>
      <c r="C241" s="2" t="s">
        <v>3826</v>
      </c>
      <c r="D241" s="2" t="s">
        <v>338</v>
      </c>
      <c r="E241" s="3" t="s">
        <v>333</v>
      </c>
      <c r="F241" s="3" t="s">
        <v>783</v>
      </c>
      <c r="G241" s="2" t="s">
        <v>4575</v>
      </c>
      <c r="H241" s="2" t="s">
        <v>4718</v>
      </c>
      <c r="I241" s="3" t="s">
        <v>987</v>
      </c>
      <c r="J241" s="3" t="s">
        <v>138</v>
      </c>
      <c r="K241" s="3" t="s">
        <v>988</v>
      </c>
      <c r="L241" s="3" t="s">
        <v>338</v>
      </c>
      <c r="M241" s="3" t="s">
        <v>95</v>
      </c>
      <c r="N241" s="2">
        <v>0</v>
      </c>
      <c r="O241" s="3" t="s">
        <v>96</v>
      </c>
      <c r="P241" s="3" t="s">
        <v>97</v>
      </c>
      <c r="Q241" s="2" t="s">
        <v>5636</v>
      </c>
      <c r="R241" s="3" t="s">
        <v>989</v>
      </c>
    </row>
    <row r="242" spans="1:18" x14ac:dyDescent="0.25">
      <c r="A242" s="2">
        <v>23670</v>
      </c>
      <c r="B242" s="3" t="s">
        <v>990</v>
      </c>
      <c r="C242" s="2" t="s">
        <v>3827</v>
      </c>
      <c r="D242" s="2" t="s">
        <v>338</v>
      </c>
      <c r="E242" s="3" t="s">
        <v>333</v>
      </c>
      <c r="F242" s="3" t="s">
        <v>783</v>
      </c>
      <c r="G242" s="2" t="s">
        <v>4575</v>
      </c>
      <c r="H242" s="2" t="s">
        <v>4719</v>
      </c>
      <c r="I242" s="3" t="s">
        <v>991</v>
      </c>
      <c r="J242" s="3" t="s">
        <v>992</v>
      </c>
      <c r="K242" s="3" t="s">
        <v>947</v>
      </c>
      <c r="L242" s="3" t="s">
        <v>338</v>
      </c>
      <c r="M242" s="3" t="s">
        <v>95</v>
      </c>
      <c r="N242" s="2">
        <v>0</v>
      </c>
      <c r="O242" s="3" t="s">
        <v>271</v>
      </c>
      <c r="P242" s="3" t="s">
        <v>97</v>
      </c>
      <c r="Q242" s="2" t="s">
        <v>5637</v>
      </c>
      <c r="R242" s="3" t="s">
        <v>993</v>
      </c>
    </row>
    <row r="243" spans="1:18" x14ac:dyDescent="0.25">
      <c r="A243" s="2">
        <v>34930</v>
      </c>
      <c r="B243" s="3" t="s">
        <v>994</v>
      </c>
      <c r="C243" s="2" t="s">
        <v>3828</v>
      </c>
      <c r="D243" s="2" t="s">
        <v>338</v>
      </c>
      <c r="E243" s="3" t="s">
        <v>333</v>
      </c>
      <c r="F243" s="3" t="s">
        <v>783</v>
      </c>
      <c r="G243" s="2" t="s">
        <v>4575</v>
      </c>
      <c r="H243" s="2" t="s">
        <v>4720</v>
      </c>
      <c r="I243" s="3" t="s">
        <v>995</v>
      </c>
      <c r="J243" s="3" t="s">
        <v>138</v>
      </c>
      <c r="K243" s="3" t="s">
        <v>996</v>
      </c>
      <c r="L243" s="3" t="s">
        <v>338</v>
      </c>
      <c r="M243" s="3" t="s">
        <v>95</v>
      </c>
      <c r="N243" s="2">
        <v>0</v>
      </c>
      <c r="O243" s="3" t="s">
        <v>96</v>
      </c>
      <c r="P243" s="3" t="s">
        <v>97</v>
      </c>
      <c r="Q243" s="2" t="s">
        <v>5638</v>
      </c>
      <c r="R243" s="3" t="s">
        <v>997</v>
      </c>
    </row>
    <row r="244" spans="1:18" x14ac:dyDescent="0.25">
      <c r="A244" s="2">
        <v>13329</v>
      </c>
      <c r="B244" s="3" t="s">
        <v>998</v>
      </c>
      <c r="C244" s="2" t="s">
        <v>3829</v>
      </c>
      <c r="D244" s="2" t="s">
        <v>338</v>
      </c>
      <c r="E244" s="3" t="s">
        <v>333</v>
      </c>
      <c r="F244" s="3" t="s">
        <v>783</v>
      </c>
      <c r="G244" s="2" t="s">
        <v>4575</v>
      </c>
      <c r="H244" s="2" t="s">
        <v>4721</v>
      </c>
      <c r="I244" s="3" t="s">
        <v>793</v>
      </c>
      <c r="J244" s="3" t="s">
        <v>999</v>
      </c>
      <c r="K244" s="3" t="s">
        <v>1000</v>
      </c>
      <c r="L244" s="3" t="s">
        <v>338</v>
      </c>
      <c r="M244" s="3" t="s">
        <v>95</v>
      </c>
      <c r="N244" s="2">
        <v>0</v>
      </c>
      <c r="O244" s="3" t="s">
        <v>96</v>
      </c>
      <c r="P244" s="3" t="s">
        <v>97</v>
      </c>
      <c r="Q244" s="2" t="s">
        <v>5639</v>
      </c>
      <c r="R244" s="3" t="s">
        <v>1001</v>
      </c>
    </row>
    <row r="245" spans="1:18" x14ac:dyDescent="0.25">
      <c r="A245" s="2">
        <v>25200</v>
      </c>
      <c r="B245" s="3" t="s">
        <v>1002</v>
      </c>
      <c r="C245" s="2" t="s">
        <v>3830</v>
      </c>
      <c r="D245" s="2" t="s">
        <v>338</v>
      </c>
      <c r="E245" s="3" t="s">
        <v>333</v>
      </c>
      <c r="F245" s="3" t="s">
        <v>783</v>
      </c>
      <c r="G245" s="2" t="s">
        <v>4575</v>
      </c>
      <c r="H245" s="2" t="s">
        <v>4722</v>
      </c>
      <c r="I245" s="3" t="s">
        <v>1003</v>
      </c>
      <c r="J245" s="3" t="s">
        <v>138</v>
      </c>
      <c r="K245" s="3" t="s">
        <v>1004</v>
      </c>
      <c r="L245" s="3" t="s">
        <v>338</v>
      </c>
      <c r="M245" s="3" t="s">
        <v>95</v>
      </c>
      <c r="N245" s="2">
        <v>0</v>
      </c>
      <c r="O245" s="3" t="s">
        <v>96</v>
      </c>
      <c r="P245" s="3" t="s">
        <v>97</v>
      </c>
      <c r="Q245" s="2" t="s">
        <v>5640</v>
      </c>
      <c r="R245" s="3" t="s">
        <v>1005</v>
      </c>
    </row>
    <row r="246" spans="1:18" x14ac:dyDescent="0.25">
      <c r="A246" s="2">
        <v>40986</v>
      </c>
      <c r="B246" s="3" t="s">
        <v>1006</v>
      </c>
      <c r="C246" s="2" t="s">
        <v>3831</v>
      </c>
      <c r="D246" s="2" t="s">
        <v>338</v>
      </c>
      <c r="E246" s="3" t="s">
        <v>333</v>
      </c>
      <c r="F246" s="3" t="s">
        <v>783</v>
      </c>
      <c r="G246" s="2" t="s">
        <v>4575</v>
      </c>
      <c r="H246" s="2" t="s">
        <v>4723</v>
      </c>
      <c r="I246" s="3" t="s">
        <v>788</v>
      </c>
      <c r="J246" s="3" t="s">
        <v>1007</v>
      </c>
      <c r="K246" s="3" t="s">
        <v>1008</v>
      </c>
      <c r="L246" s="3" t="s">
        <v>338</v>
      </c>
      <c r="M246" s="3" t="s">
        <v>20</v>
      </c>
      <c r="N246" s="2">
        <v>0</v>
      </c>
      <c r="O246" s="3" t="s">
        <v>21</v>
      </c>
      <c r="P246" s="3" t="s">
        <v>22</v>
      </c>
      <c r="Q246" s="2" t="s">
        <v>5641</v>
      </c>
      <c r="R246" s="3" t="s">
        <v>1009</v>
      </c>
    </row>
    <row r="247" spans="1:18" x14ac:dyDescent="0.25">
      <c r="A247" s="2">
        <v>25909</v>
      </c>
      <c r="B247" s="3" t="s">
        <v>1010</v>
      </c>
      <c r="C247" s="2" t="s">
        <v>3832</v>
      </c>
      <c r="D247" s="2" t="s">
        <v>338</v>
      </c>
      <c r="E247" s="3" t="s">
        <v>333</v>
      </c>
      <c r="F247" s="3" t="s">
        <v>783</v>
      </c>
      <c r="G247" s="2" t="s">
        <v>4575</v>
      </c>
      <c r="H247" s="2" t="s">
        <v>4724</v>
      </c>
      <c r="I247" s="3" t="s">
        <v>964</v>
      </c>
      <c r="J247" s="3" t="s">
        <v>1011</v>
      </c>
      <c r="K247" s="3" t="s">
        <v>1012</v>
      </c>
      <c r="L247" s="3" t="s">
        <v>338</v>
      </c>
      <c r="M247" s="3" t="s">
        <v>95</v>
      </c>
      <c r="N247" s="2">
        <v>0</v>
      </c>
      <c r="O247" s="3" t="s">
        <v>96</v>
      </c>
      <c r="P247" s="3" t="s">
        <v>97</v>
      </c>
      <c r="Q247" s="2" t="s">
        <v>5642</v>
      </c>
      <c r="R247" s="3" t="s">
        <v>1013</v>
      </c>
    </row>
    <row r="248" spans="1:18" x14ac:dyDescent="0.25">
      <c r="A248" s="2">
        <v>35080</v>
      </c>
      <c r="B248" s="3" t="s">
        <v>1014</v>
      </c>
      <c r="C248" s="2" t="s">
        <v>3833</v>
      </c>
      <c r="D248" s="2" t="s">
        <v>338</v>
      </c>
      <c r="E248" s="3" t="s">
        <v>333</v>
      </c>
      <c r="F248" s="3" t="s">
        <v>783</v>
      </c>
      <c r="G248" s="2" t="s">
        <v>4575</v>
      </c>
      <c r="H248" s="2" t="s">
        <v>4725</v>
      </c>
      <c r="I248" s="3" t="s">
        <v>1015</v>
      </c>
      <c r="J248" s="3" t="s">
        <v>138</v>
      </c>
      <c r="K248" s="3" t="s">
        <v>1016</v>
      </c>
      <c r="L248" s="3" t="s">
        <v>338</v>
      </c>
      <c r="M248" s="3" t="s">
        <v>95</v>
      </c>
      <c r="N248" s="2">
        <v>0</v>
      </c>
      <c r="O248" s="3" t="s">
        <v>271</v>
      </c>
      <c r="P248" s="3" t="s">
        <v>97</v>
      </c>
      <c r="Q248" s="2" t="s">
        <v>5643</v>
      </c>
      <c r="R248" s="3" t="s">
        <v>1017</v>
      </c>
    </row>
    <row r="249" spans="1:18" x14ac:dyDescent="0.25">
      <c r="A249" s="2">
        <v>20156</v>
      </c>
      <c r="B249" s="3" t="s">
        <v>1018</v>
      </c>
      <c r="C249" s="2" t="s">
        <v>3834</v>
      </c>
      <c r="D249" s="2" t="s">
        <v>338</v>
      </c>
      <c r="E249" s="3" t="s">
        <v>333</v>
      </c>
      <c r="F249" s="3" t="s">
        <v>783</v>
      </c>
      <c r="G249" s="2" t="s">
        <v>4575</v>
      </c>
      <c r="H249" s="2" t="s">
        <v>4726</v>
      </c>
      <c r="I249" s="3" t="s">
        <v>788</v>
      </c>
      <c r="J249" s="3" t="s">
        <v>927</v>
      </c>
      <c r="K249" s="3" t="s">
        <v>1019</v>
      </c>
      <c r="L249" s="3" t="s">
        <v>338</v>
      </c>
      <c r="M249" s="3" t="s">
        <v>20</v>
      </c>
      <c r="N249" s="2">
        <v>0</v>
      </c>
      <c r="O249" s="3" t="s">
        <v>21</v>
      </c>
      <c r="P249" s="3" t="s">
        <v>22</v>
      </c>
      <c r="Q249" s="2" t="s">
        <v>5644</v>
      </c>
      <c r="R249" s="3" t="s">
        <v>1020</v>
      </c>
    </row>
    <row r="250" spans="1:18" x14ac:dyDescent="0.25">
      <c r="A250" s="2">
        <v>40832</v>
      </c>
      <c r="B250" s="3" t="s">
        <v>1021</v>
      </c>
      <c r="C250" s="2" t="s">
        <v>3835</v>
      </c>
      <c r="D250" s="2" t="s">
        <v>338</v>
      </c>
      <c r="E250" s="3" t="s">
        <v>333</v>
      </c>
      <c r="F250" s="3" t="s">
        <v>783</v>
      </c>
      <c r="G250" s="2" t="s">
        <v>4575</v>
      </c>
      <c r="H250" s="2" t="s">
        <v>4727</v>
      </c>
      <c r="I250" s="3" t="s">
        <v>1022</v>
      </c>
      <c r="J250" s="3" t="s">
        <v>138</v>
      </c>
      <c r="K250" s="3" t="s">
        <v>1023</v>
      </c>
      <c r="L250" s="3" t="s">
        <v>338</v>
      </c>
      <c r="M250" s="3" t="s">
        <v>95</v>
      </c>
      <c r="N250" s="2">
        <v>0</v>
      </c>
      <c r="O250" s="3" t="s">
        <v>96</v>
      </c>
      <c r="P250" s="3" t="s">
        <v>97</v>
      </c>
      <c r="Q250" s="2" t="s">
        <v>5645</v>
      </c>
      <c r="R250" s="3" t="s">
        <v>1024</v>
      </c>
    </row>
    <row r="251" spans="1:18" x14ac:dyDescent="0.25">
      <c r="A251" s="2">
        <v>26026</v>
      </c>
      <c r="B251" s="3" t="s">
        <v>1025</v>
      </c>
      <c r="C251" s="2" t="s">
        <v>3836</v>
      </c>
      <c r="D251" s="2" t="s">
        <v>338</v>
      </c>
      <c r="E251" s="3" t="s">
        <v>333</v>
      </c>
      <c r="F251" s="3" t="s">
        <v>783</v>
      </c>
      <c r="G251" s="2" t="s">
        <v>4575</v>
      </c>
      <c r="H251" s="2" t="s">
        <v>4728</v>
      </c>
      <c r="I251" s="3" t="s">
        <v>788</v>
      </c>
      <c r="J251" s="3" t="s">
        <v>1026</v>
      </c>
      <c r="K251" s="3" t="s">
        <v>1027</v>
      </c>
      <c r="L251" s="3" t="s">
        <v>338</v>
      </c>
      <c r="M251" s="3" t="s">
        <v>20</v>
      </c>
      <c r="N251" s="2">
        <v>0</v>
      </c>
      <c r="O251" s="3" t="s">
        <v>21</v>
      </c>
      <c r="P251" s="3" t="s">
        <v>22</v>
      </c>
      <c r="Q251" s="2" t="s">
        <v>5646</v>
      </c>
      <c r="R251" s="3" t="s">
        <v>1028</v>
      </c>
    </row>
    <row r="252" spans="1:18" x14ac:dyDescent="0.25">
      <c r="A252" s="2">
        <v>38904</v>
      </c>
      <c r="B252" s="3" t="s">
        <v>1029</v>
      </c>
      <c r="C252" s="2" t="s">
        <v>3837</v>
      </c>
      <c r="D252" s="2" t="s">
        <v>338</v>
      </c>
      <c r="E252" s="3" t="s">
        <v>333</v>
      </c>
      <c r="F252" s="3" t="s">
        <v>783</v>
      </c>
      <c r="G252" s="2" t="s">
        <v>4575</v>
      </c>
      <c r="H252" s="2" t="s">
        <v>4729</v>
      </c>
      <c r="I252" s="3" t="s">
        <v>1030</v>
      </c>
      <c r="J252" s="3" t="s">
        <v>138</v>
      </c>
      <c r="K252" s="3" t="s">
        <v>1031</v>
      </c>
      <c r="L252" s="3" t="s">
        <v>338</v>
      </c>
      <c r="M252" s="3" t="s">
        <v>95</v>
      </c>
      <c r="N252" s="2">
        <v>0</v>
      </c>
      <c r="O252" s="3" t="s">
        <v>271</v>
      </c>
      <c r="P252" s="3" t="s">
        <v>97</v>
      </c>
      <c r="Q252" s="2" t="s">
        <v>5647</v>
      </c>
      <c r="R252" s="3" t="s">
        <v>1032</v>
      </c>
    </row>
    <row r="253" spans="1:18" x14ac:dyDescent="0.25">
      <c r="A253" s="2">
        <v>17617</v>
      </c>
      <c r="B253" s="3" t="s">
        <v>1033</v>
      </c>
      <c r="C253" s="2" t="s">
        <v>3838</v>
      </c>
      <c r="D253" s="2" t="s">
        <v>338</v>
      </c>
      <c r="E253" s="3" t="s">
        <v>333</v>
      </c>
      <c r="F253" s="3" t="s">
        <v>783</v>
      </c>
      <c r="G253" s="2" t="s">
        <v>4575</v>
      </c>
      <c r="H253" s="2" t="s">
        <v>4730</v>
      </c>
      <c r="I253" s="3" t="s">
        <v>1034</v>
      </c>
      <c r="J253" s="3" t="s">
        <v>138</v>
      </c>
      <c r="K253" s="3" t="s">
        <v>1035</v>
      </c>
      <c r="L253" s="3" t="s">
        <v>338</v>
      </c>
      <c r="M253" s="3" t="s">
        <v>20</v>
      </c>
      <c r="N253" s="2">
        <v>0</v>
      </c>
      <c r="O253" s="3" t="s">
        <v>21</v>
      </c>
      <c r="P253" s="3" t="s">
        <v>22</v>
      </c>
      <c r="Q253" s="2" t="s">
        <v>5648</v>
      </c>
      <c r="R253" s="3" t="s">
        <v>1036</v>
      </c>
    </row>
    <row r="254" spans="1:18" x14ac:dyDescent="0.25">
      <c r="A254" s="2">
        <v>40491</v>
      </c>
      <c r="B254" s="3" t="s">
        <v>1037</v>
      </c>
      <c r="C254" s="2" t="s">
        <v>3839</v>
      </c>
      <c r="D254" s="2" t="s">
        <v>338</v>
      </c>
      <c r="E254" s="3" t="s">
        <v>333</v>
      </c>
      <c r="F254" s="3" t="s">
        <v>783</v>
      </c>
      <c r="G254" s="2" t="s">
        <v>4575</v>
      </c>
      <c r="H254" s="2" t="s">
        <v>4731</v>
      </c>
      <c r="I254" s="3" t="s">
        <v>987</v>
      </c>
      <c r="J254" s="3" t="s">
        <v>138</v>
      </c>
      <c r="K254" s="3" t="s">
        <v>988</v>
      </c>
      <c r="L254" s="3" t="s">
        <v>338</v>
      </c>
      <c r="M254" s="3" t="s">
        <v>95</v>
      </c>
      <c r="N254" s="2">
        <v>0</v>
      </c>
      <c r="O254" s="3" t="s">
        <v>96</v>
      </c>
      <c r="P254" s="3" t="s">
        <v>97</v>
      </c>
      <c r="Q254" s="2" t="s">
        <v>5649</v>
      </c>
      <c r="R254" s="3" t="s">
        <v>1038</v>
      </c>
    </row>
    <row r="255" spans="1:18" x14ac:dyDescent="0.25">
      <c r="A255" s="2">
        <v>38366</v>
      </c>
      <c r="B255" s="3" t="s">
        <v>1039</v>
      </c>
      <c r="C255" s="2" t="s">
        <v>3840</v>
      </c>
      <c r="D255" s="2" t="s">
        <v>338</v>
      </c>
      <c r="E255" s="3" t="s">
        <v>333</v>
      </c>
      <c r="F255" s="3" t="s">
        <v>783</v>
      </c>
      <c r="G255" s="2" t="s">
        <v>4575</v>
      </c>
      <c r="H255" s="2" t="s">
        <v>4732</v>
      </c>
      <c r="I255" s="3" t="s">
        <v>1040</v>
      </c>
      <c r="J255" s="3" t="s">
        <v>138</v>
      </c>
      <c r="K255" s="3" t="s">
        <v>1041</v>
      </c>
      <c r="L255" s="3" t="s">
        <v>338</v>
      </c>
      <c r="M255" s="3" t="s">
        <v>95</v>
      </c>
      <c r="N255" s="2">
        <v>0</v>
      </c>
      <c r="O255" s="3" t="s">
        <v>271</v>
      </c>
      <c r="P255" s="3" t="s">
        <v>97</v>
      </c>
      <c r="Q255" s="2" t="s">
        <v>5650</v>
      </c>
      <c r="R255" s="3" t="s">
        <v>1042</v>
      </c>
    </row>
    <row r="256" spans="1:18" x14ac:dyDescent="0.25">
      <c r="A256" s="2">
        <v>23167</v>
      </c>
      <c r="B256" s="3" t="s">
        <v>1043</v>
      </c>
      <c r="C256" s="2" t="s">
        <v>3841</v>
      </c>
      <c r="D256" s="2" t="s">
        <v>338</v>
      </c>
      <c r="E256" s="3" t="s">
        <v>333</v>
      </c>
      <c r="F256" s="3" t="s">
        <v>1044</v>
      </c>
      <c r="G256" s="2" t="s">
        <v>4733</v>
      </c>
      <c r="H256" s="2" t="s">
        <v>4734</v>
      </c>
      <c r="I256" s="3" t="s">
        <v>1045</v>
      </c>
      <c r="J256" s="3" t="s">
        <v>1046</v>
      </c>
      <c r="K256" s="3" t="s">
        <v>1047</v>
      </c>
      <c r="L256" s="3" t="s">
        <v>338</v>
      </c>
      <c r="M256" s="3" t="s">
        <v>95</v>
      </c>
      <c r="N256" s="2">
        <v>933</v>
      </c>
      <c r="O256" s="3" t="s">
        <v>96</v>
      </c>
      <c r="P256" s="3" t="s">
        <v>97</v>
      </c>
      <c r="Q256" s="2" t="s">
        <v>5651</v>
      </c>
      <c r="R256" s="3" t="s">
        <v>1048</v>
      </c>
    </row>
    <row r="257" spans="1:18" x14ac:dyDescent="0.25">
      <c r="A257" s="2">
        <v>17906</v>
      </c>
      <c r="B257" s="3" t="s">
        <v>1049</v>
      </c>
      <c r="C257" s="2" t="s">
        <v>3842</v>
      </c>
      <c r="D257" s="2" t="s">
        <v>338</v>
      </c>
      <c r="E257" s="3" t="s">
        <v>333</v>
      </c>
      <c r="F257" s="3" t="s">
        <v>1044</v>
      </c>
      <c r="G257" s="2" t="s">
        <v>4733</v>
      </c>
      <c r="H257" s="2" t="s">
        <v>4735</v>
      </c>
      <c r="I257" s="3" t="s">
        <v>1045</v>
      </c>
      <c r="J257" s="3" t="s">
        <v>1050</v>
      </c>
      <c r="K257" s="3" t="s">
        <v>1051</v>
      </c>
      <c r="L257" s="3" t="s">
        <v>338</v>
      </c>
      <c r="M257" s="3" t="s">
        <v>95</v>
      </c>
      <c r="N257" s="2">
        <v>933</v>
      </c>
      <c r="O257" s="3" t="s">
        <v>96</v>
      </c>
      <c r="P257" s="3" t="s">
        <v>97</v>
      </c>
      <c r="Q257" s="2" t="s">
        <v>5652</v>
      </c>
      <c r="R257" s="3" t="s">
        <v>1052</v>
      </c>
    </row>
    <row r="258" spans="1:18" x14ac:dyDescent="0.25">
      <c r="A258" s="2">
        <v>34262</v>
      </c>
      <c r="B258" s="3" t="s">
        <v>1053</v>
      </c>
      <c r="C258" s="2" t="s">
        <v>3843</v>
      </c>
      <c r="D258" s="2" t="s">
        <v>338</v>
      </c>
      <c r="E258" s="3" t="s">
        <v>333</v>
      </c>
      <c r="F258" s="3" t="s">
        <v>1044</v>
      </c>
      <c r="G258" s="2" t="s">
        <v>4733</v>
      </c>
      <c r="H258" s="2" t="s">
        <v>4736</v>
      </c>
      <c r="I258" s="3" t="s">
        <v>1045</v>
      </c>
      <c r="J258" s="3" t="s">
        <v>138</v>
      </c>
      <c r="K258" s="3" t="s">
        <v>1054</v>
      </c>
      <c r="L258" s="3" t="s">
        <v>338</v>
      </c>
      <c r="M258" s="3" t="s">
        <v>95</v>
      </c>
      <c r="N258" s="2">
        <v>933</v>
      </c>
      <c r="O258" s="3" t="s">
        <v>96</v>
      </c>
      <c r="P258" s="3" t="s">
        <v>97</v>
      </c>
      <c r="Q258" s="2" t="s">
        <v>5653</v>
      </c>
      <c r="R258" s="3" t="s">
        <v>1055</v>
      </c>
    </row>
    <row r="259" spans="1:18" x14ac:dyDescent="0.25">
      <c r="A259" s="2">
        <v>37279</v>
      </c>
      <c r="B259" s="3" t="s">
        <v>1056</v>
      </c>
      <c r="C259" s="2" t="s">
        <v>3844</v>
      </c>
      <c r="D259" s="2" t="s">
        <v>338</v>
      </c>
      <c r="E259" s="3" t="s">
        <v>333</v>
      </c>
      <c r="F259" s="3" t="s">
        <v>1044</v>
      </c>
      <c r="G259" s="2" t="s">
        <v>4467</v>
      </c>
      <c r="H259" s="2" t="s">
        <v>4737</v>
      </c>
      <c r="I259" s="3" t="s">
        <v>1057</v>
      </c>
      <c r="J259" s="3" t="s">
        <v>138</v>
      </c>
      <c r="K259" s="3" t="s">
        <v>1058</v>
      </c>
      <c r="L259" s="3" t="s">
        <v>338</v>
      </c>
      <c r="M259" s="3" t="s">
        <v>95</v>
      </c>
      <c r="N259" s="2">
        <v>933</v>
      </c>
      <c r="O259" s="3" t="s">
        <v>96</v>
      </c>
      <c r="P259" s="3" t="s">
        <v>97</v>
      </c>
      <c r="Q259" s="2" t="s">
        <v>5654</v>
      </c>
      <c r="R259" s="3" t="s">
        <v>1059</v>
      </c>
    </row>
    <row r="260" spans="1:18" x14ac:dyDescent="0.25">
      <c r="A260" s="2">
        <v>23491</v>
      </c>
      <c r="B260" s="3" t="s">
        <v>1060</v>
      </c>
      <c r="C260" s="2" t="s">
        <v>3845</v>
      </c>
      <c r="D260" s="2" t="s">
        <v>338</v>
      </c>
      <c r="E260" s="3" t="s">
        <v>333</v>
      </c>
      <c r="F260" s="3" t="s">
        <v>1044</v>
      </c>
      <c r="G260" s="2" t="s">
        <v>4733</v>
      </c>
      <c r="H260" s="2" t="s">
        <v>4738</v>
      </c>
      <c r="I260" s="3" t="s">
        <v>1061</v>
      </c>
      <c r="J260" s="3" t="s">
        <v>138</v>
      </c>
      <c r="K260" s="3" t="s">
        <v>1062</v>
      </c>
      <c r="L260" s="3" t="s">
        <v>338</v>
      </c>
      <c r="M260" s="3" t="s">
        <v>95</v>
      </c>
      <c r="N260" s="2">
        <v>933</v>
      </c>
      <c r="O260" s="3" t="s">
        <v>96</v>
      </c>
      <c r="P260" s="3" t="s">
        <v>97</v>
      </c>
      <c r="Q260" s="2" t="s">
        <v>5655</v>
      </c>
      <c r="R260" s="3" t="s">
        <v>1063</v>
      </c>
    </row>
    <row r="261" spans="1:18" x14ac:dyDescent="0.25">
      <c r="A261" s="2">
        <v>20635</v>
      </c>
      <c r="B261" s="3" t="s">
        <v>1064</v>
      </c>
      <c r="C261" s="2" t="s">
        <v>3846</v>
      </c>
      <c r="D261" s="2" t="s">
        <v>338</v>
      </c>
      <c r="E261" s="3" t="s">
        <v>333</v>
      </c>
      <c r="F261" s="3" t="s">
        <v>1044</v>
      </c>
      <c r="G261" s="2" t="s">
        <v>4733</v>
      </c>
      <c r="H261" s="2" t="s">
        <v>4739</v>
      </c>
      <c r="I261" s="3" t="s">
        <v>1065</v>
      </c>
      <c r="J261" s="3" t="s">
        <v>138</v>
      </c>
      <c r="K261" s="3" t="s">
        <v>1066</v>
      </c>
      <c r="L261" s="3" t="s">
        <v>338</v>
      </c>
      <c r="M261" s="3" t="s">
        <v>95</v>
      </c>
      <c r="N261" s="2">
        <v>933</v>
      </c>
      <c r="O261" s="3" t="s">
        <v>96</v>
      </c>
      <c r="P261" s="3" t="s">
        <v>97</v>
      </c>
      <c r="Q261" s="2" t="s">
        <v>5656</v>
      </c>
      <c r="R261" s="3" t="s">
        <v>1067</v>
      </c>
    </row>
    <row r="262" spans="1:18" x14ac:dyDescent="0.25">
      <c r="A262" s="2">
        <v>34766</v>
      </c>
      <c r="B262" s="3" t="s">
        <v>1068</v>
      </c>
      <c r="C262" s="2" t="s">
        <v>3847</v>
      </c>
      <c r="D262" s="2" t="s">
        <v>338</v>
      </c>
      <c r="E262" s="3" t="s">
        <v>333</v>
      </c>
      <c r="F262" s="3" t="s">
        <v>1044</v>
      </c>
      <c r="G262" s="2" t="s">
        <v>4733</v>
      </c>
      <c r="H262" s="2" t="s">
        <v>4740</v>
      </c>
      <c r="I262" s="3" t="s">
        <v>1045</v>
      </c>
      <c r="J262" s="3" t="s">
        <v>1050</v>
      </c>
      <c r="K262" s="3" t="s">
        <v>1051</v>
      </c>
      <c r="L262" s="3" t="s">
        <v>338</v>
      </c>
      <c r="M262" s="3" t="s">
        <v>95</v>
      </c>
      <c r="N262" s="2">
        <v>933</v>
      </c>
      <c r="O262" s="3" t="s">
        <v>96</v>
      </c>
      <c r="P262" s="3" t="s">
        <v>97</v>
      </c>
      <c r="Q262" s="2" t="s">
        <v>5657</v>
      </c>
      <c r="R262" s="3" t="s">
        <v>1069</v>
      </c>
    </row>
    <row r="263" spans="1:18" x14ac:dyDescent="0.25">
      <c r="A263" s="2">
        <v>22132</v>
      </c>
      <c r="B263" s="3" t="s">
        <v>1070</v>
      </c>
      <c r="C263" s="2" t="s">
        <v>3848</v>
      </c>
      <c r="D263" s="2" t="s">
        <v>338</v>
      </c>
      <c r="E263" s="3" t="s">
        <v>333</v>
      </c>
      <c r="F263" s="3" t="s">
        <v>1071</v>
      </c>
      <c r="G263" s="2" t="s">
        <v>4741</v>
      </c>
      <c r="H263" s="2" t="s">
        <v>4742</v>
      </c>
      <c r="I263" s="3" t="s">
        <v>1072</v>
      </c>
      <c r="J263" s="3" t="s">
        <v>138</v>
      </c>
      <c r="K263" s="3" t="s">
        <v>1073</v>
      </c>
      <c r="L263" s="3" t="s">
        <v>338</v>
      </c>
      <c r="M263" s="3" t="s">
        <v>95</v>
      </c>
      <c r="N263" s="2">
        <v>253</v>
      </c>
      <c r="O263" s="3" t="s">
        <v>96</v>
      </c>
      <c r="P263" s="3" t="s">
        <v>97</v>
      </c>
      <c r="Q263" s="2" t="s">
        <v>5658</v>
      </c>
      <c r="R263" s="3" t="s">
        <v>1074</v>
      </c>
    </row>
    <row r="264" spans="1:18" x14ac:dyDescent="0.25">
      <c r="A264" s="2">
        <v>28035</v>
      </c>
      <c r="B264" s="3" t="s">
        <v>1075</v>
      </c>
      <c r="C264" s="2" t="s">
        <v>3849</v>
      </c>
      <c r="D264" s="2" t="s">
        <v>338</v>
      </c>
      <c r="E264" s="3" t="s">
        <v>333</v>
      </c>
      <c r="F264" s="3" t="s">
        <v>1071</v>
      </c>
      <c r="G264" s="2" t="s">
        <v>4741</v>
      </c>
      <c r="H264" s="2" t="s">
        <v>4743</v>
      </c>
      <c r="I264" s="3" t="s">
        <v>1072</v>
      </c>
      <c r="J264" s="3" t="s">
        <v>138</v>
      </c>
      <c r="K264" s="3" t="s">
        <v>1076</v>
      </c>
      <c r="L264" s="3" t="s">
        <v>338</v>
      </c>
      <c r="M264" s="3" t="s">
        <v>95</v>
      </c>
      <c r="N264" s="2">
        <v>253</v>
      </c>
      <c r="O264" s="3" t="s">
        <v>96</v>
      </c>
      <c r="P264" s="3" t="s">
        <v>97</v>
      </c>
      <c r="Q264" s="2" t="s">
        <v>5659</v>
      </c>
      <c r="R264" s="3" t="s">
        <v>1077</v>
      </c>
    </row>
    <row r="265" spans="1:18" x14ac:dyDescent="0.25">
      <c r="A265" s="2">
        <v>23449</v>
      </c>
      <c r="B265" s="3" t="s">
        <v>1078</v>
      </c>
      <c r="C265" s="2" t="s">
        <v>3850</v>
      </c>
      <c r="D265" s="2" t="s">
        <v>338</v>
      </c>
      <c r="E265" s="3" t="s">
        <v>333</v>
      </c>
      <c r="F265" s="3" t="s">
        <v>1071</v>
      </c>
      <c r="G265" s="2" t="s">
        <v>4741</v>
      </c>
      <c r="H265" s="2" t="s">
        <v>4744</v>
      </c>
      <c r="I265" s="3" t="s">
        <v>1079</v>
      </c>
      <c r="J265" s="3" t="s">
        <v>138</v>
      </c>
      <c r="K265" s="3" t="s">
        <v>1080</v>
      </c>
      <c r="L265" s="3" t="s">
        <v>338</v>
      </c>
      <c r="M265" s="3" t="s">
        <v>95</v>
      </c>
      <c r="N265" s="2">
        <v>253</v>
      </c>
      <c r="O265" s="3" t="s">
        <v>96</v>
      </c>
      <c r="P265" s="3" t="s">
        <v>97</v>
      </c>
      <c r="Q265" s="2" t="s">
        <v>5660</v>
      </c>
      <c r="R265" s="3" t="s">
        <v>1081</v>
      </c>
    </row>
    <row r="266" spans="1:18" x14ac:dyDescent="0.25">
      <c r="A266" s="2">
        <v>19259</v>
      </c>
      <c r="B266" s="3" t="s">
        <v>1082</v>
      </c>
      <c r="C266" s="2" t="s">
        <v>3851</v>
      </c>
      <c r="D266" s="2" t="s">
        <v>338</v>
      </c>
      <c r="E266" s="3" t="s">
        <v>333</v>
      </c>
      <c r="F266" s="3" t="s">
        <v>1071</v>
      </c>
      <c r="G266" s="2" t="s">
        <v>4741</v>
      </c>
      <c r="H266" s="2" t="s">
        <v>4745</v>
      </c>
      <c r="I266" s="3" t="s">
        <v>1083</v>
      </c>
      <c r="J266" s="3" t="s">
        <v>138</v>
      </c>
      <c r="K266" s="3" t="s">
        <v>1084</v>
      </c>
      <c r="L266" s="3" t="s">
        <v>338</v>
      </c>
      <c r="M266" s="3" t="s">
        <v>95</v>
      </c>
      <c r="N266" s="2">
        <v>253</v>
      </c>
      <c r="O266" s="3" t="s">
        <v>96</v>
      </c>
      <c r="P266" s="3" t="s">
        <v>97</v>
      </c>
      <c r="Q266" s="2" t="s">
        <v>5661</v>
      </c>
      <c r="R266" s="3" t="s">
        <v>1085</v>
      </c>
    </row>
    <row r="267" spans="1:18" x14ac:dyDescent="0.25">
      <c r="A267" s="2">
        <v>17166</v>
      </c>
      <c r="B267" s="3" t="s">
        <v>1086</v>
      </c>
      <c r="C267" s="2" t="s">
        <v>3852</v>
      </c>
      <c r="D267" s="2" t="s">
        <v>338</v>
      </c>
      <c r="E267" s="3" t="s">
        <v>333</v>
      </c>
      <c r="F267" s="3" t="s">
        <v>1071</v>
      </c>
      <c r="G267" s="2" t="s">
        <v>4741</v>
      </c>
      <c r="H267" s="2" t="s">
        <v>4746</v>
      </c>
      <c r="I267" s="3" t="s">
        <v>1087</v>
      </c>
      <c r="J267" s="3" t="s">
        <v>138</v>
      </c>
      <c r="K267" s="3" t="s">
        <v>1088</v>
      </c>
      <c r="L267" s="3" t="s">
        <v>338</v>
      </c>
      <c r="M267" s="3" t="s">
        <v>95</v>
      </c>
      <c r="N267" s="2">
        <v>253</v>
      </c>
      <c r="O267" s="3" t="s">
        <v>96</v>
      </c>
      <c r="P267" s="3" t="s">
        <v>97</v>
      </c>
      <c r="Q267" s="2" t="s">
        <v>5662</v>
      </c>
      <c r="R267" s="3" t="s">
        <v>1089</v>
      </c>
    </row>
    <row r="268" spans="1:18" x14ac:dyDescent="0.25">
      <c r="A268" s="2">
        <v>37114</v>
      </c>
      <c r="B268" s="3" t="s">
        <v>1090</v>
      </c>
      <c r="C268" s="2" t="s">
        <v>3853</v>
      </c>
      <c r="D268" s="2" t="s">
        <v>338</v>
      </c>
      <c r="E268" s="3" t="s">
        <v>333</v>
      </c>
      <c r="F268" s="3" t="s">
        <v>1071</v>
      </c>
      <c r="G268" s="2" t="s">
        <v>4741</v>
      </c>
      <c r="H268" s="2" t="s">
        <v>4747</v>
      </c>
      <c r="I268" s="3" t="s">
        <v>1091</v>
      </c>
      <c r="J268" s="3" t="s">
        <v>1092</v>
      </c>
      <c r="K268" s="3" t="s">
        <v>1093</v>
      </c>
      <c r="L268" s="3" t="s">
        <v>338</v>
      </c>
      <c r="M268" s="3" t="s">
        <v>95</v>
      </c>
      <c r="N268" s="2">
        <v>253</v>
      </c>
      <c r="O268" s="3" t="s">
        <v>96</v>
      </c>
      <c r="P268" s="3" t="s">
        <v>97</v>
      </c>
      <c r="Q268" s="2" t="s">
        <v>5663</v>
      </c>
      <c r="R268" s="3" t="s">
        <v>1094</v>
      </c>
    </row>
    <row r="269" spans="1:18" x14ac:dyDescent="0.25">
      <c r="A269" s="2">
        <v>38560</v>
      </c>
      <c r="B269" s="3" t="s">
        <v>1095</v>
      </c>
      <c r="C269" s="2" t="s">
        <v>3854</v>
      </c>
      <c r="D269" s="2" t="s">
        <v>338</v>
      </c>
      <c r="E269" s="3" t="s">
        <v>333</v>
      </c>
      <c r="F269" s="3" t="s">
        <v>1071</v>
      </c>
      <c r="G269" s="2" t="s">
        <v>4741</v>
      </c>
      <c r="H269" s="2" t="s">
        <v>4748</v>
      </c>
      <c r="I269" s="3" t="s">
        <v>1096</v>
      </c>
      <c r="J269" s="3" t="s">
        <v>138</v>
      </c>
      <c r="K269" s="3" t="s">
        <v>1097</v>
      </c>
      <c r="L269" s="3" t="s">
        <v>338</v>
      </c>
      <c r="M269" s="3" t="s">
        <v>95</v>
      </c>
      <c r="N269" s="2">
        <v>253</v>
      </c>
      <c r="O269" s="3" t="s">
        <v>96</v>
      </c>
      <c r="P269" s="3" t="s">
        <v>97</v>
      </c>
      <c r="Q269" s="2" t="s">
        <v>5664</v>
      </c>
      <c r="R269" s="3" t="s">
        <v>1098</v>
      </c>
    </row>
    <row r="270" spans="1:18" x14ac:dyDescent="0.25">
      <c r="A270" s="2">
        <v>22168</v>
      </c>
      <c r="B270" s="3" t="s">
        <v>1099</v>
      </c>
      <c r="C270" s="2" t="s">
        <v>3855</v>
      </c>
      <c r="D270" s="2" t="s">
        <v>338</v>
      </c>
      <c r="E270" s="3" t="s">
        <v>333</v>
      </c>
      <c r="F270" s="3" t="s">
        <v>1071</v>
      </c>
      <c r="G270" s="2" t="s">
        <v>4741</v>
      </c>
      <c r="H270" s="2" t="s">
        <v>4749</v>
      </c>
      <c r="I270" s="3" t="s">
        <v>1091</v>
      </c>
      <c r="J270" s="3" t="s">
        <v>1100</v>
      </c>
      <c r="K270" s="3" t="s">
        <v>1101</v>
      </c>
      <c r="L270" s="3" t="s">
        <v>338</v>
      </c>
      <c r="M270" s="3" t="s">
        <v>95</v>
      </c>
      <c r="N270" s="2">
        <v>253</v>
      </c>
      <c r="O270" s="3" t="s">
        <v>96</v>
      </c>
      <c r="P270" s="3" t="s">
        <v>97</v>
      </c>
      <c r="Q270" s="2" t="s">
        <v>5665</v>
      </c>
      <c r="R270" s="3" t="s">
        <v>1102</v>
      </c>
    </row>
    <row r="271" spans="1:18" x14ac:dyDescent="0.25">
      <c r="A271" s="2">
        <v>36574</v>
      </c>
      <c r="B271" s="3" t="s">
        <v>1103</v>
      </c>
      <c r="C271" s="2" t="s">
        <v>3856</v>
      </c>
      <c r="D271" s="2" t="s">
        <v>338</v>
      </c>
      <c r="E271" s="3" t="s">
        <v>333</v>
      </c>
      <c r="F271" s="3" t="s">
        <v>1071</v>
      </c>
      <c r="G271" s="2" t="s">
        <v>4741</v>
      </c>
      <c r="H271" s="2" t="s">
        <v>4750</v>
      </c>
      <c r="I271" s="3" t="s">
        <v>1104</v>
      </c>
      <c r="J271" s="3" t="s">
        <v>138</v>
      </c>
      <c r="K271" s="3" t="s">
        <v>1105</v>
      </c>
      <c r="L271" s="3" t="s">
        <v>338</v>
      </c>
      <c r="M271" s="3" t="s">
        <v>95</v>
      </c>
      <c r="N271" s="2">
        <v>253</v>
      </c>
      <c r="O271" s="3" t="s">
        <v>96</v>
      </c>
      <c r="P271" s="3" t="s">
        <v>97</v>
      </c>
      <c r="Q271" s="2" t="s">
        <v>5666</v>
      </c>
      <c r="R271" s="3" t="s">
        <v>1106</v>
      </c>
    </row>
    <row r="272" spans="1:18" x14ac:dyDescent="0.25">
      <c r="A272" s="2">
        <v>35655</v>
      </c>
      <c r="B272" s="3" t="s">
        <v>1107</v>
      </c>
      <c r="C272" s="2" t="s">
        <v>3857</v>
      </c>
      <c r="D272" s="2" t="s">
        <v>338</v>
      </c>
      <c r="E272" s="3" t="s">
        <v>333</v>
      </c>
      <c r="F272" s="3" t="s">
        <v>1071</v>
      </c>
      <c r="G272" s="2" t="s">
        <v>4741</v>
      </c>
      <c r="H272" s="2" t="s">
        <v>4751</v>
      </c>
      <c r="I272" s="3" t="s">
        <v>1091</v>
      </c>
      <c r="J272" s="3" t="s">
        <v>1092</v>
      </c>
      <c r="K272" s="3" t="s">
        <v>1108</v>
      </c>
      <c r="L272" s="3" t="s">
        <v>338</v>
      </c>
      <c r="M272" s="3" t="s">
        <v>95</v>
      </c>
      <c r="N272" s="2">
        <v>253</v>
      </c>
      <c r="O272" s="3" t="s">
        <v>96</v>
      </c>
      <c r="P272" s="3" t="s">
        <v>97</v>
      </c>
      <c r="Q272" s="2" t="s">
        <v>5667</v>
      </c>
      <c r="R272" s="3" t="s">
        <v>1109</v>
      </c>
    </row>
    <row r="273" spans="1:18" x14ac:dyDescent="0.25">
      <c r="A273" s="2">
        <v>30997</v>
      </c>
      <c r="B273" s="3" t="s">
        <v>1110</v>
      </c>
      <c r="C273" s="2" t="s">
        <v>3858</v>
      </c>
      <c r="D273" s="2" t="s">
        <v>338</v>
      </c>
      <c r="E273" s="3" t="s">
        <v>333</v>
      </c>
      <c r="F273" s="3" t="s">
        <v>1071</v>
      </c>
      <c r="G273" s="2" t="s">
        <v>4741</v>
      </c>
      <c r="H273" s="2" t="s">
        <v>4752</v>
      </c>
      <c r="I273" s="3" t="s">
        <v>1111</v>
      </c>
      <c r="J273" s="3" t="s">
        <v>138</v>
      </c>
      <c r="K273" s="3" t="s">
        <v>1112</v>
      </c>
      <c r="L273" s="3" t="s">
        <v>338</v>
      </c>
      <c r="M273" s="3" t="s">
        <v>95</v>
      </c>
      <c r="N273" s="2">
        <v>253</v>
      </c>
      <c r="O273" s="3" t="s">
        <v>96</v>
      </c>
      <c r="P273" s="3" t="s">
        <v>97</v>
      </c>
      <c r="Q273" s="2" t="s">
        <v>5668</v>
      </c>
      <c r="R273" s="3" t="s">
        <v>1113</v>
      </c>
    </row>
    <row r="274" spans="1:18" x14ac:dyDescent="0.25">
      <c r="A274" s="2">
        <v>25274</v>
      </c>
      <c r="B274" s="3" t="s">
        <v>1114</v>
      </c>
      <c r="C274" s="2" t="s">
        <v>3859</v>
      </c>
      <c r="D274" s="2" t="s">
        <v>338</v>
      </c>
      <c r="E274" s="3" t="s">
        <v>333</v>
      </c>
      <c r="F274" s="3" t="s">
        <v>1071</v>
      </c>
      <c r="G274" s="2" t="s">
        <v>4741</v>
      </c>
      <c r="H274" s="2" t="s">
        <v>4753</v>
      </c>
      <c r="I274" s="3" t="s">
        <v>1091</v>
      </c>
      <c r="J274" s="3" t="s">
        <v>459</v>
      </c>
      <c r="K274" s="3" t="s">
        <v>1115</v>
      </c>
      <c r="L274" s="3" t="s">
        <v>338</v>
      </c>
      <c r="M274" s="3" t="s">
        <v>95</v>
      </c>
      <c r="N274" s="2">
        <v>253</v>
      </c>
      <c r="O274" s="3" t="s">
        <v>96</v>
      </c>
      <c r="P274" s="3" t="s">
        <v>97</v>
      </c>
      <c r="Q274" s="2" t="s">
        <v>5669</v>
      </c>
      <c r="R274" s="3" t="s">
        <v>1116</v>
      </c>
    </row>
    <row r="275" spans="1:18" x14ac:dyDescent="0.25">
      <c r="A275" s="2">
        <v>23085</v>
      </c>
      <c r="B275" s="3" t="s">
        <v>1117</v>
      </c>
      <c r="C275" s="2" t="s">
        <v>3860</v>
      </c>
      <c r="D275" s="2" t="s">
        <v>338</v>
      </c>
      <c r="E275" s="3" t="s">
        <v>333</v>
      </c>
      <c r="F275" s="3" t="s">
        <v>1071</v>
      </c>
      <c r="G275" s="2" t="s">
        <v>4741</v>
      </c>
      <c r="H275" s="2" t="s">
        <v>4754</v>
      </c>
      <c r="I275" s="3" t="s">
        <v>1072</v>
      </c>
      <c r="J275" s="3" t="s">
        <v>1118</v>
      </c>
      <c r="K275" s="3" t="s">
        <v>1119</v>
      </c>
      <c r="L275" s="3" t="s">
        <v>338</v>
      </c>
      <c r="M275" s="3" t="s">
        <v>95</v>
      </c>
      <c r="N275" s="2">
        <v>253</v>
      </c>
      <c r="O275" s="3" t="s">
        <v>96</v>
      </c>
      <c r="P275" s="3" t="s">
        <v>97</v>
      </c>
      <c r="Q275" s="2" t="s">
        <v>5670</v>
      </c>
      <c r="R275" s="3" t="s">
        <v>1120</v>
      </c>
    </row>
    <row r="276" spans="1:18" x14ac:dyDescent="0.25">
      <c r="A276" s="2">
        <v>31499</v>
      </c>
      <c r="B276" s="3" t="s">
        <v>1121</v>
      </c>
      <c r="C276" s="2" t="s">
        <v>3861</v>
      </c>
      <c r="D276" s="2" t="s">
        <v>338</v>
      </c>
      <c r="E276" s="3" t="s">
        <v>333</v>
      </c>
      <c r="F276" s="3" t="s">
        <v>1071</v>
      </c>
      <c r="G276" s="2" t="s">
        <v>4741</v>
      </c>
      <c r="H276" s="2" t="s">
        <v>4755</v>
      </c>
      <c r="I276" s="3" t="s">
        <v>1122</v>
      </c>
      <c r="J276" s="3" t="s">
        <v>1123</v>
      </c>
      <c r="K276" s="3" t="s">
        <v>1124</v>
      </c>
      <c r="L276" s="3" t="s">
        <v>338</v>
      </c>
      <c r="M276" s="3" t="s">
        <v>95</v>
      </c>
      <c r="N276" s="2">
        <v>253</v>
      </c>
      <c r="O276" s="3" t="s">
        <v>96</v>
      </c>
      <c r="P276" s="3" t="s">
        <v>97</v>
      </c>
      <c r="Q276" s="2" t="s">
        <v>5671</v>
      </c>
      <c r="R276" s="3" t="s">
        <v>1125</v>
      </c>
    </row>
    <row r="277" spans="1:18" x14ac:dyDescent="0.25">
      <c r="A277" s="2">
        <v>22131</v>
      </c>
      <c r="B277" s="3" t="s">
        <v>1126</v>
      </c>
      <c r="C277" s="2" t="s">
        <v>3862</v>
      </c>
      <c r="D277" s="2" t="s">
        <v>338</v>
      </c>
      <c r="E277" s="3" t="s">
        <v>333</v>
      </c>
      <c r="F277" s="3" t="s">
        <v>1071</v>
      </c>
      <c r="G277" s="2" t="s">
        <v>4741</v>
      </c>
      <c r="H277" s="2" t="s">
        <v>4756</v>
      </c>
      <c r="I277" s="3" t="s">
        <v>1072</v>
      </c>
      <c r="J277" s="3" t="s">
        <v>1127</v>
      </c>
      <c r="K277" s="3" t="s">
        <v>1128</v>
      </c>
      <c r="L277" s="3" t="s">
        <v>338</v>
      </c>
      <c r="M277" s="3" t="s">
        <v>95</v>
      </c>
      <c r="N277" s="2">
        <v>253</v>
      </c>
      <c r="O277" s="3" t="s">
        <v>96</v>
      </c>
      <c r="P277" s="3" t="s">
        <v>97</v>
      </c>
      <c r="Q277" s="2" t="s">
        <v>5672</v>
      </c>
      <c r="R277" s="3" t="s">
        <v>1129</v>
      </c>
    </row>
    <row r="278" spans="1:18" x14ac:dyDescent="0.25">
      <c r="A278" s="2">
        <v>38248</v>
      </c>
      <c r="B278" s="3" t="s">
        <v>1130</v>
      </c>
      <c r="C278" s="2" t="s">
        <v>3863</v>
      </c>
      <c r="D278" s="2" t="s">
        <v>338</v>
      </c>
      <c r="E278" s="3" t="s">
        <v>333</v>
      </c>
      <c r="F278" s="3" t="s">
        <v>1071</v>
      </c>
      <c r="G278" s="2" t="s">
        <v>4741</v>
      </c>
      <c r="H278" s="2" t="s">
        <v>4757</v>
      </c>
      <c r="I278" s="3" t="s">
        <v>1131</v>
      </c>
      <c r="J278" s="3" t="s">
        <v>1132</v>
      </c>
      <c r="K278" s="3" t="s">
        <v>1084</v>
      </c>
      <c r="L278" s="3" t="s">
        <v>338</v>
      </c>
      <c r="M278" s="3" t="s">
        <v>95</v>
      </c>
      <c r="N278" s="2">
        <v>253</v>
      </c>
      <c r="O278" s="3" t="s">
        <v>96</v>
      </c>
      <c r="P278" s="3" t="s">
        <v>97</v>
      </c>
      <c r="Q278" s="2" t="s">
        <v>5673</v>
      </c>
      <c r="R278" s="3" t="s">
        <v>1133</v>
      </c>
    </row>
    <row r="279" spans="1:18" x14ac:dyDescent="0.25">
      <c r="A279" s="2">
        <v>9995</v>
      </c>
      <c r="B279" s="3" t="s">
        <v>1134</v>
      </c>
      <c r="C279" s="2" t="s">
        <v>3864</v>
      </c>
      <c r="D279" s="2" t="s">
        <v>338</v>
      </c>
      <c r="E279" s="3" t="s">
        <v>333</v>
      </c>
      <c r="F279" s="3" t="s">
        <v>1071</v>
      </c>
      <c r="G279" s="2" t="s">
        <v>4741</v>
      </c>
      <c r="H279" s="2" t="s">
        <v>4758</v>
      </c>
      <c r="I279" s="3" t="s">
        <v>1079</v>
      </c>
      <c r="J279" s="3" t="s">
        <v>138</v>
      </c>
      <c r="K279" s="3" t="s">
        <v>1080</v>
      </c>
      <c r="L279" s="3" t="s">
        <v>338</v>
      </c>
      <c r="M279" s="3" t="s">
        <v>95</v>
      </c>
      <c r="N279" s="2">
        <v>253</v>
      </c>
      <c r="O279" s="3" t="s">
        <v>96</v>
      </c>
      <c r="P279" s="3" t="s">
        <v>97</v>
      </c>
      <c r="Q279" s="2" t="s">
        <v>5674</v>
      </c>
      <c r="R279" s="3" t="s">
        <v>1135</v>
      </c>
    </row>
    <row r="280" spans="1:18" x14ac:dyDescent="0.25">
      <c r="A280" s="2">
        <v>40091</v>
      </c>
      <c r="B280" s="3" t="s">
        <v>1136</v>
      </c>
      <c r="C280" s="2" t="s">
        <v>3865</v>
      </c>
      <c r="D280" s="2" t="s">
        <v>338</v>
      </c>
      <c r="E280" s="3" t="s">
        <v>333</v>
      </c>
      <c r="F280" s="3" t="s">
        <v>1071</v>
      </c>
      <c r="G280" s="2" t="s">
        <v>4741</v>
      </c>
      <c r="H280" s="2" t="s">
        <v>4759</v>
      </c>
      <c r="I280" s="3" t="s">
        <v>1079</v>
      </c>
      <c r="J280" s="3" t="s">
        <v>138</v>
      </c>
      <c r="K280" s="3" t="s">
        <v>1080</v>
      </c>
      <c r="L280" s="3" t="s">
        <v>338</v>
      </c>
      <c r="M280" s="3" t="s">
        <v>95</v>
      </c>
      <c r="N280" s="2">
        <v>253</v>
      </c>
      <c r="O280" s="3" t="s">
        <v>96</v>
      </c>
      <c r="P280" s="3" t="s">
        <v>97</v>
      </c>
      <c r="Q280" s="2" t="s">
        <v>5675</v>
      </c>
      <c r="R280" s="3" t="s">
        <v>1137</v>
      </c>
    </row>
    <row r="281" spans="1:18" x14ac:dyDescent="0.25">
      <c r="A281" s="2">
        <v>38610</v>
      </c>
      <c r="B281" s="3" t="s">
        <v>1138</v>
      </c>
      <c r="C281" s="2" t="s">
        <v>3866</v>
      </c>
      <c r="D281" s="2" t="s">
        <v>338</v>
      </c>
      <c r="E281" s="3" t="s">
        <v>333</v>
      </c>
      <c r="F281" s="3" t="s">
        <v>1071</v>
      </c>
      <c r="G281" s="2" t="s">
        <v>4741</v>
      </c>
      <c r="H281" s="2" t="s">
        <v>4760</v>
      </c>
      <c r="I281" s="3" t="s">
        <v>1139</v>
      </c>
      <c r="J281" s="3" t="s">
        <v>138</v>
      </c>
      <c r="K281" s="3" t="s">
        <v>1140</v>
      </c>
      <c r="L281" s="3" t="s">
        <v>338</v>
      </c>
      <c r="M281" s="3" t="s">
        <v>95</v>
      </c>
      <c r="N281" s="2">
        <v>253</v>
      </c>
      <c r="O281" s="3" t="s">
        <v>96</v>
      </c>
      <c r="P281" s="3" t="s">
        <v>97</v>
      </c>
      <c r="Q281" s="2" t="s">
        <v>5676</v>
      </c>
      <c r="R281" s="3" t="s">
        <v>1141</v>
      </c>
    </row>
    <row r="282" spans="1:18" x14ac:dyDescent="0.25">
      <c r="A282" s="2">
        <v>20072</v>
      </c>
      <c r="B282" s="3" t="s">
        <v>1142</v>
      </c>
      <c r="C282" s="2" t="s">
        <v>3867</v>
      </c>
      <c r="D282" s="2" t="s">
        <v>338</v>
      </c>
      <c r="E282" s="3" t="s">
        <v>333</v>
      </c>
      <c r="F282" s="3" t="s">
        <v>1143</v>
      </c>
      <c r="G282" s="2" t="s">
        <v>4546</v>
      </c>
      <c r="H282" s="2" t="s">
        <v>4761</v>
      </c>
      <c r="I282" s="3" t="s">
        <v>1144</v>
      </c>
      <c r="J282" s="3" t="s">
        <v>138</v>
      </c>
      <c r="K282" s="3" t="s">
        <v>1145</v>
      </c>
      <c r="L282" s="3" t="s">
        <v>338</v>
      </c>
      <c r="M282" s="3" t="s">
        <v>95</v>
      </c>
      <c r="N282" s="2">
        <v>400</v>
      </c>
      <c r="O282" s="3" t="s">
        <v>96</v>
      </c>
      <c r="P282" s="3" t="s">
        <v>97</v>
      </c>
      <c r="Q282" s="2" t="s">
        <v>5677</v>
      </c>
      <c r="R282" s="3" t="s">
        <v>1146</v>
      </c>
    </row>
    <row r="283" spans="1:18" x14ac:dyDescent="0.25">
      <c r="A283" s="2">
        <v>40090</v>
      </c>
      <c r="B283" s="3" t="s">
        <v>1147</v>
      </c>
      <c r="C283" s="2" t="s">
        <v>3868</v>
      </c>
      <c r="D283" s="2" t="s">
        <v>338</v>
      </c>
      <c r="E283" s="3" t="s">
        <v>333</v>
      </c>
      <c r="F283" s="3" t="s">
        <v>1143</v>
      </c>
      <c r="G283" s="2" t="s">
        <v>4546</v>
      </c>
      <c r="H283" s="2" t="s">
        <v>4762</v>
      </c>
      <c r="I283" s="3" t="s">
        <v>1148</v>
      </c>
      <c r="J283" s="3" t="s">
        <v>138</v>
      </c>
      <c r="K283" s="3" t="s">
        <v>1149</v>
      </c>
      <c r="L283" s="3" t="s">
        <v>338</v>
      </c>
      <c r="M283" s="3" t="s">
        <v>95</v>
      </c>
      <c r="N283" s="2">
        <v>400</v>
      </c>
      <c r="O283" s="3" t="s">
        <v>96</v>
      </c>
      <c r="P283" s="3" t="s">
        <v>97</v>
      </c>
      <c r="Q283" s="2" t="s">
        <v>5678</v>
      </c>
      <c r="R283" s="3" t="s">
        <v>1150</v>
      </c>
    </row>
    <row r="284" spans="1:18" x14ac:dyDescent="0.25">
      <c r="A284" s="2">
        <v>19187</v>
      </c>
      <c r="B284" s="3" t="s">
        <v>1151</v>
      </c>
      <c r="C284" s="2" t="s">
        <v>3869</v>
      </c>
      <c r="D284" s="2" t="s">
        <v>338</v>
      </c>
      <c r="E284" s="3" t="s">
        <v>333</v>
      </c>
      <c r="F284" s="3" t="s">
        <v>1143</v>
      </c>
      <c r="G284" s="2" t="s">
        <v>4546</v>
      </c>
      <c r="H284" s="2" t="s">
        <v>4763</v>
      </c>
      <c r="I284" s="3" t="s">
        <v>1152</v>
      </c>
      <c r="J284" s="3" t="s">
        <v>138</v>
      </c>
      <c r="K284" s="3" t="s">
        <v>1153</v>
      </c>
      <c r="L284" s="3" t="s">
        <v>338</v>
      </c>
      <c r="M284" s="3" t="s">
        <v>95</v>
      </c>
      <c r="N284" s="2">
        <v>400</v>
      </c>
      <c r="O284" s="3" t="s">
        <v>96</v>
      </c>
      <c r="P284" s="3" t="s">
        <v>97</v>
      </c>
      <c r="Q284" s="2" t="s">
        <v>5679</v>
      </c>
      <c r="R284" s="3" t="s">
        <v>1154</v>
      </c>
    </row>
    <row r="285" spans="1:18" x14ac:dyDescent="0.25">
      <c r="A285" s="2">
        <v>37192</v>
      </c>
      <c r="B285" s="3" t="s">
        <v>1155</v>
      </c>
      <c r="C285" s="2" t="s">
        <v>3870</v>
      </c>
      <c r="D285" s="2" t="s">
        <v>338</v>
      </c>
      <c r="E285" s="3" t="s">
        <v>333</v>
      </c>
      <c r="F285" s="3" t="s">
        <v>1143</v>
      </c>
      <c r="G285" s="2" t="s">
        <v>4546</v>
      </c>
      <c r="H285" s="2" t="s">
        <v>4764</v>
      </c>
      <c r="I285" s="3" t="s">
        <v>1156</v>
      </c>
      <c r="J285" s="3" t="s">
        <v>1157</v>
      </c>
      <c r="K285" s="3" t="s">
        <v>1158</v>
      </c>
      <c r="L285" s="3" t="s">
        <v>338</v>
      </c>
      <c r="M285" s="3" t="s">
        <v>95</v>
      </c>
      <c r="N285" s="2">
        <v>400</v>
      </c>
      <c r="O285" s="3" t="s">
        <v>96</v>
      </c>
      <c r="P285" s="3" t="s">
        <v>97</v>
      </c>
      <c r="Q285" s="2" t="s">
        <v>5680</v>
      </c>
      <c r="R285" s="3" t="s">
        <v>1159</v>
      </c>
    </row>
    <row r="286" spans="1:18" x14ac:dyDescent="0.25">
      <c r="A286" s="2">
        <v>21322</v>
      </c>
      <c r="B286" s="3" t="s">
        <v>1160</v>
      </c>
      <c r="C286" s="2" t="s">
        <v>3871</v>
      </c>
      <c r="D286" s="2" t="s">
        <v>338</v>
      </c>
      <c r="E286" s="3" t="s">
        <v>333</v>
      </c>
      <c r="F286" s="3" t="s">
        <v>1143</v>
      </c>
      <c r="G286" s="2" t="s">
        <v>4546</v>
      </c>
      <c r="H286" s="2" t="s">
        <v>4765</v>
      </c>
      <c r="I286" s="3" t="s">
        <v>1161</v>
      </c>
      <c r="J286" s="3" t="s">
        <v>138</v>
      </c>
      <c r="K286" s="3" t="s">
        <v>1162</v>
      </c>
      <c r="L286" s="3" t="s">
        <v>338</v>
      </c>
      <c r="M286" s="3" t="s">
        <v>95</v>
      </c>
      <c r="N286" s="2">
        <v>400</v>
      </c>
      <c r="O286" s="3" t="s">
        <v>96</v>
      </c>
      <c r="P286" s="3" t="s">
        <v>97</v>
      </c>
      <c r="Q286" s="2" t="s">
        <v>5681</v>
      </c>
      <c r="R286" s="3" t="s">
        <v>1163</v>
      </c>
    </row>
    <row r="287" spans="1:18" x14ac:dyDescent="0.25">
      <c r="A287" s="2">
        <v>11246</v>
      </c>
      <c r="B287" s="3" t="s">
        <v>1164</v>
      </c>
      <c r="C287" s="2" t="s">
        <v>3872</v>
      </c>
      <c r="D287" s="2" t="s">
        <v>338</v>
      </c>
      <c r="E287" s="3" t="s">
        <v>333</v>
      </c>
      <c r="F287" s="3" t="s">
        <v>1143</v>
      </c>
      <c r="G287" s="2" t="s">
        <v>4546</v>
      </c>
      <c r="H287" s="2" t="s">
        <v>4766</v>
      </c>
      <c r="I287" s="3" t="s">
        <v>1148</v>
      </c>
      <c r="J287" s="3" t="s">
        <v>138</v>
      </c>
      <c r="K287" s="3" t="s">
        <v>1145</v>
      </c>
      <c r="L287" s="3" t="s">
        <v>338</v>
      </c>
      <c r="M287" s="3" t="s">
        <v>95</v>
      </c>
      <c r="N287" s="2">
        <v>400</v>
      </c>
      <c r="O287" s="3" t="s">
        <v>96</v>
      </c>
      <c r="P287" s="3" t="s">
        <v>97</v>
      </c>
      <c r="Q287" s="2" t="s">
        <v>5682</v>
      </c>
      <c r="R287" s="3" t="s">
        <v>1165</v>
      </c>
    </row>
    <row r="288" spans="1:18" x14ac:dyDescent="0.25">
      <c r="A288" s="2">
        <v>18779</v>
      </c>
      <c r="B288" s="3" t="s">
        <v>1166</v>
      </c>
      <c r="C288" s="2" t="s">
        <v>3873</v>
      </c>
      <c r="D288" s="2" t="s">
        <v>338</v>
      </c>
      <c r="E288" s="3" t="s">
        <v>333</v>
      </c>
      <c r="F288" s="3" t="s">
        <v>1143</v>
      </c>
      <c r="G288" s="2" t="s">
        <v>4546</v>
      </c>
      <c r="H288" s="2" t="s">
        <v>4767</v>
      </c>
      <c r="I288" s="3" t="s">
        <v>1167</v>
      </c>
      <c r="J288" s="3" t="s">
        <v>138</v>
      </c>
      <c r="K288" s="3" t="s">
        <v>1168</v>
      </c>
      <c r="L288" s="3" t="s">
        <v>338</v>
      </c>
      <c r="M288" s="3" t="s">
        <v>95</v>
      </c>
      <c r="N288" s="2">
        <v>400</v>
      </c>
      <c r="O288" s="3" t="s">
        <v>96</v>
      </c>
      <c r="P288" s="3" t="s">
        <v>97</v>
      </c>
      <c r="Q288" s="2" t="s">
        <v>5683</v>
      </c>
      <c r="R288" s="3" t="s">
        <v>1169</v>
      </c>
    </row>
    <row r="289" spans="1:18" x14ac:dyDescent="0.25">
      <c r="A289" s="2">
        <v>24806</v>
      </c>
      <c r="B289" s="3" t="s">
        <v>1170</v>
      </c>
      <c r="C289" s="2" t="s">
        <v>3874</v>
      </c>
      <c r="D289" s="2" t="s">
        <v>338</v>
      </c>
      <c r="E289" s="3" t="s">
        <v>333</v>
      </c>
      <c r="F289" s="3" t="s">
        <v>1143</v>
      </c>
      <c r="G289" s="2" t="s">
        <v>4546</v>
      </c>
      <c r="H289" s="2" t="s">
        <v>4768</v>
      </c>
      <c r="I289" s="3" t="s">
        <v>1148</v>
      </c>
      <c r="J289" s="3" t="s">
        <v>138</v>
      </c>
      <c r="K289" s="3" t="s">
        <v>1171</v>
      </c>
      <c r="L289" s="3" t="s">
        <v>338</v>
      </c>
      <c r="M289" s="3" t="s">
        <v>95</v>
      </c>
      <c r="N289" s="2">
        <v>400</v>
      </c>
      <c r="O289" s="3" t="s">
        <v>96</v>
      </c>
      <c r="P289" s="3" t="s">
        <v>97</v>
      </c>
      <c r="Q289" s="2" t="s">
        <v>5684</v>
      </c>
      <c r="R289" s="3" t="s">
        <v>1172</v>
      </c>
    </row>
    <row r="290" spans="1:18" x14ac:dyDescent="0.25">
      <c r="A290" s="2">
        <v>34864</v>
      </c>
      <c r="B290" s="3" t="s">
        <v>1173</v>
      </c>
      <c r="C290" s="2" t="s">
        <v>3875</v>
      </c>
      <c r="D290" s="2" t="s">
        <v>338</v>
      </c>
      <c r="E290" s="3" t="s">
        <v>1174</v>
      </c>
      <c r="F290" s="3" t="s">
        <v>1175</v>
      </c>
      <c r="G290" s="2" t="s">
        <v>4769</v>
      </c>
      <c r="H290" s="2" t="s">
        <v>4770</v>
      </c>
      <c r="I290" s="3" t="s">
        <v>1176</v>
      </c>
      <c r="J290" s="3" t="s">
        <v>1177</v>
      </c>
      <c r="K290" s="3" t="s">
        <v>1178</v>
      </c>
      <c r="L290" s="3" t="s">
        <v>338</v>
      </c>
      <c r="M290" s="3" t="s">
        <v>95</v>
      </c>
      <c r="N290" s="2">
        <v>3619</v>
      </c>
      <c r="O290" s="3" t="s">
        <v>21</v>
      </c>
      <c r="P290" s="3" t="s">
        <v>97</v>
      </c>
      <c r="Q290" s="2" t="s">
        <v>5685</v>
      </c>
      <c r="R290" s="3" t="s">
        <v>1179</v>
      </c>
    </row>
    <row r="291" spans="1:18" x14ac:dyDescent="0.25">
      <c r="A291" s="2">
        <v>23476</v>
      </c>
      <c r="B291" s="3" t="s">
        <v>1180</v>
      </c>
      <c r="C291" s="2" t="s">
        <v>3876</v>
      </c>
      <c r="D291" s="2" t="s">
        <v>338</v>
      </c>
      <c r="E291" s="3" t="s">
        <v>1174</v>
      </c>
      <c r="F291" s="3" t="s">
        <v>1175</v>
      </c>
      <c r="G291" s="2" t="s">
        <v>4769</v>
      </c>
      <c r="H291" s="2" t="s">
        <v>4771</v>
      </c>
      <c r="I291" s="3" t="s">
        <v>1176</v>
      </c>
      <c r="J291" s="3" t="s">
        <v>1181</v>
      </c>
      <c r="K291" s="3" t="s">
        <v>1182</v>
      </c>
      <c r="L291" s="3" t="s">
        <v>338</v>
      </c>
      <c r="M291" s="3" t="s">
        <v>95</v>
      </c>
      <c r="N291" s="2">
        <v>3619</v>
      </c>
      <c r="O291" s="3" t="s">
        <v>21</v>
      </c>
      <c r="P291" s="3" t="s">
        <v>97</v>
      </c>
      <c r="Q291" s="2" t="s">
        <v>5686</v>
      </c>
      <c r="R291" s="3" t="s">
        <v>1183</v>
      </c>
    </row>
    <row r="292" spans="1:18" x14ac:dyDescent="0.25">
      <c r="A292" s="2">
        <v>13742</v>
      </c>
      <c r="B292" s="3" t="s">
        <v>1184</v>
      </c>
      <c r="C292" s="2" t="s">
        <v>3877</v>
      </c>
      <c r="D292" s="2" t="s">
        <v>338</v>
      </c>
      <c r="E292" s="3" t="s">
        <v>1174</v>
      </c>
      <c r="F292" s="3" t="s">
        <v>1175</v>
      </c>
      <c r="G292" s="2" t="s">
        <v>4769</v>
      </c>
      <c r="H292" s="2" t="s">
        <v>4772</v>
      </c>
      <c r="I292" s="3" t="s">
        <v>1185</v>
      </c>
      <c r="J292" s="3" t="s">
        <v>138</v>
      </c>
      <c r="K292" s="3" t="s">
        <v>1186</v>
      </c>
      <c r="L292" s="3" t="s">
        <v>338</v>
      </c>
      <c r="M292" s="3" t="s">
        <v>95</v>
      </c>
      <c r="N292" s="2">
        <v>3619</v>
      </c>
      <c r="O292" s="3" t="s">
        <v>21</v>
      </c>
      <c r="P292" s="3" t="s">
        <v>97</v>
      </c>
      <c r="Q292" s="2" t="s">
        <v>5687</v>
      </c>
      <c r="R292" s="3" t="s">
        <v>1187</v>
      </c>
    </row>
    <row r="293" spans="1:18" x14ac:dyDescent="0.25">
      <c r="A293" s="2">
        <v>15806</v>
      </c>
      <c r="B293" s="3" t="s">
        <v>1188</v>
      </c>
      <c r="C293" s="2" t="s">
        <v>3878</v>
      </c>
      <c r="D293" s="2" t="s">
        <v>338</v>
      </c>
      <c r="E293" s="3" t="s">
        <v>1174</v>
      </c>
      <c r="F293" s="3" t="s">
        <v>1175</v>
      </c>
      <c r="G293" s="2" t="s">
        <v>4769</v>
      </c>
      <c r="H293" s="2" t="s">
        <v>4773</v>
      </c>
      <c r="I293" s="3" t="s">
        <v>1176</v>
      </c>
      <c r="J293" s="3" t="s">
        <v>138</v>
      </c>
      <c r="K293" s="3" t="s">
        <v>1189</v>
      </c>
      <c r="L293" s="3" t="s">
        <v>338</v>
      </c>
      <c r="M293" s="3" t="s">
        <v>95</v>
      </c>
      <c r="N293" s="2">
        <v>3619</v>
      </c>
      <c r="O293" s="3" t="s">
        <v>21</v>
      </c>
      <c r="P293" s="3" t="s">
        <v>97</v>
      </c>
      <c r="Q293" s="2" t="s">
        <v>5688</v>
      </c>
      <c r="R293" s="3" t="s">
        <v>1190</v>
      </c>
    </row>
    <row r="294" spans="1:18" x14ac:dyDescent="0.25">
      <c r="A294" s="2">
        <v>17741</v>
      </c>
      <c r="B294" s="3" t="s">
        <v>1191</v>
      </c>
      <c r="C294" s="2" t="s">
        <v>3879</v>
      </c>
      <c r="D294" s="2" t="s">
        <v>338</v>
      </c>
      <c r="E294" s="3" t="s">
        <v>1174</v>
      </c>
      <c r="F294" s="3" t="s">
        <v>1175</v>
      </c>
      <c r="G294" s="2" t="s">
        <v>4769</v>
      </c>
      <c r="H294" s="2" t="s">
        <v>4774</v>
      </c>
      <c r="I294" s="3" t="s">
        <v>1185</v>
      </c>
      <c r="J294" s="3" t="s">
        <v>138</v>
      </c>
      <c r="K294" s="3" t="s">
        <v>1186</v>
      </c>
      <c r="L294" s="3" t="s">
        <v>338</v>
      </c>
      <c r="M294" s="3" t="s">
        <v>95</v>
      </c>
      <c r="N294" s="2">
        <v>3619</v>
      </c>
      <c r="O294" s="3" t="s">
        <v>21</v>
      </c>
      <c r="P294" s="3" t="s">
        <v>97</v>
      </c>
      <c r="Q294" s="2" t="s">
        <v>5689</v>
      </c>
      <c r="R294" s="3" t="s">
        <v>1192</v>
      </c>
    </row>
    <row r="295" spans="1:18" x14ac:dyDescent="0.25">
      <c r="A295" s="2">
        <v>30453</v>
      </c>
      <c r="B295" s="3" t="s">
        <v>1193</v>
      </c>
      <c r="C295" s="2" t="s">
        <v>3880</v>
      </c>
      <c r="D295" s="2" t="s">
        <v>338</v>
      </c>
      <c r="E295" s="3" t="s">
        <v>1174</v>
      </c>
      <c r="F295" s="3" t="s">
        <v>1175</v>
      </c>
      <c r="G295" s="2" t="s">
        <v>4769</v>
      </c>
      <c r="H295" s="2" t="s">
        <v>4775</v>
      </c>
      <c r="I295" s="3" t="s">
        <v>1176</v>
      </c>
      <c r="J295" s="3" t="s">
        <v>1194</v>
      </c>
      <c r="K295" s="3" t="s">
        <v>1195</v>
      </c>
      <c r="L295" s="3" t="s">
        <v>338</v>
      </c>
      <c r="M295" s="3" t="s">
        <v>95</v>
      </c>
      <c r="N295" s="2">
        <v>3619</v>
      </c>
      <c r="O295" s="3" t="s">
        <v>21</v>
      </c>
      <c r="P295" s="3" t="s">
        <v>97</v>
      </c>
      <c r="Q295" s="2" t="s">
        <v>5690</v>
      </c>
      <c r="R295" s="3" t="s">
        <v>1196</v>
      </c>
    </row>
    <row r="296" spans="1:18" x14ac:dyDescent="0.25">
      <c r="A296" s="2">
        <v>694</v>
      </c>
      <c r="B296" s="3" t="s">
        <v>1197</v>
      </c>
      <c r="C296" s="2" t="s">
        <v>3881</v>
      </c>
      <c r="D296" s="2" t="s">
        <v>338</v>
      </c>
      <c r="E296" s="3" t="s">
        <v>1174</v>
      </c>
      <c r="F296" s="3" t="s">
        <v>1198</v>
      </c>
      <c r="G296" s="2" t="s">
        <v>4776</v>
      </c>
      <c r="H296" s="2" t="s">
        <v>4777</v>
      </c>
      <c r="I296" s="3" t="s">
        <v>1199</v>
      </c>
      <c r="J296" s="3" t="s">
        <v>138</v>
      </c>
      <c r="K296" s="3" t="s">
        <v>1200</v>
      </c>
      <c r="L296" s="3" t="s">
        <v>338</v>
      </c>
      <c r="M296" s="3" t="s">
        <v>20</v>
      </c>
      <c r="N296" s="2">
        <v>2833</v>
      </c>
      <c r="O296" s="3" t="s">
        <v>21</v>
      </c>
      <c r="P296" s="3" t="s">
        <v>22</v>
      </c>
      <c r="Q296" s="2" t="s">
        <v>5691</v>
      </c>
      <c r="R296" s="3" t="s">
        <v>1201</v>
      </c>
    </row>
    <row r="297" spans="1:18" x14ac:dyDescent="0.25">
      <c r="A297" s="2">
        <v>37370</v>
      </c>
      <c r="B297" s="3" t="s">
        <v>1202</v>
      </c>
      <c r="C297" s="2" t="s">
        <v>3882</v>
      </c>
      <c r="D297" s="2" t="s">
        <v>338</v>
      </c>
      <c r="E297" s="3" t="s">
        <v>1174</v>
      </c>
      <c r="F297" s="3" t="s">
        <v>1198</v>
      </c>
      <c r="G297" s="2" t="s">
        <v>4776</v>
      </c>
      <c r="H297" s="2" t="s">
        <v>4778</v>
      </c>
      <c r="I297" s="3" t="s">
        <v>1199</v>
      </c>
      <c r="J297" s="3" t="s">
        <v>1203</v>
      </c>
      <c r="K297" s="3" t="s">
        <v>1204</v>
      </c>
      <c r="L297" s="3" t="s">
        <v>338</v>
      </c>
      <c r="M297" s="3" t="s">
        <v>20</v>
      </c>
      <c r="N297" s="2">
        <v>2833</v>
      </c>
      <c r="O297" s="3" t="s">
        <v>21</v>
      </c>
      <c r="P297" s="3" t="s">
        <v>22</v>
      </c>
      <c r="Q297" s="2" t="s">
        <v>5692</v>
      </c>
      <c r="R297" s="3" t="s">
        <v>1205</v>
      </c>
    </row>
    <row r="298" spans="1:18" x14ac:dyDescent="0.25">
      <c r="A298" s="2">
        <v>2890</v>
      </c>
      <c r="B298" s="3" t="s">
        <v>1206</v>
      </c>
      <c r="C298" s="2" t="s">
        <v>3883</v>
      </c>
      <c r="D298" s="2" t="s">
        <v>338</v>
      </c>
      <c r="E298" s="3" t="s">
        <v>1174</v>
      </c>
      <c r="F298" s="3" t="s">
        <v>1198</v>
      </c>
      <c r="G298" s="2" t="s">
        <v>4776</v>
      </c>
      <c r="H298" s="2" t="s">
        <v>4779</v>
      </c>
      <c r="I298" s="3" t="s">
        <v>1199</v>
      </c>
      <c r="J298" s="3" t="s">
        <v>1207</v>
      </c>
      <c r="K298" s="3" t="s">
        <v>1208</v>
      </c>
      <c r="L298" s="3" t="s">
        <v>338</v>
      </c>
      <c r="M298" s="3" t="s">
        <v>20</v>
      </c>
      <c r="N298" s="2">
        <v>2833</v>
      </c>
      <c r="O298" s="3" t="s">
        <v>21</v>
      </c>
      <c r="P298" s="3" t="s">
        <v>22</v>
      </c>
      <c r="Q298" s="2" t="s">
        <v>5693</v>
      </c>
      <c r="R298" s="3" t="s">
        <v>1209</v>
      </c>
    </row>
    <row r="299" spans="1:18" x14ac:dyDescent="0.25">
      <c r="A299" s="2">
        <v>39993</v>
      </c>
      <c r="B299" s="3" t="s">
        <v>1210</v>
      </c>
      <c r="C299" s="2" t="s">
        <v>3884</v>
      </c>
      <c r="D299" s="2" t="s">
        <v>338</v>
      </c>
      <c r="E299" s="3" t="s">
        <v>1174</v>
      </c>
      <c r="F299" s="3" t="s">
        <v>1198</v>
      </c>
      <c r="G299" s="2" t="s">
        <v>4776</v>
      </c>
      <c r="H299" s="2" t="s">
        <v>4780</v>
      </c>
      <c r="I299" s="3" t="s">
        <v>1199</v>
      </c>
      <c r="J299" s="3" t="s">
        <v>1211</v>
      </c>
      <c r="K299" s="3" t="s">
        <v>1212</v>
      </c>
      <c r="L299" s="3" t="s">
        <v>338</v>
      </c>
      <c r="M299" s="3" t="s">
        <v>20</v>
      </c>
      <c r="N299" s="2">
        <v>2833</v>
      </c>
      <c r="O299" s="3" t="s">
        <v>21</v>
      </c>
      <c r="P299" s="3" t="s">
        <v>22</v>
      </c>
      <c r="Q299" s="2" t="s">
        <v>5694</v>
      </c>
      <c r="R299" s="3" t="s">
        <v>1213</v>
      </c>
    </row>
    <row r="300" spans="1:18" x14ac:dyDescent="0.25">
      <c r="A300" s="2">
        <v>1141</v>
      </c>
      <c r="B300" s="3" t="s">
        <v>1214</v>
      </c>
      <c r="C300" s="2" t="s">
        <v>3885</v>
      </c>
      <c r="D300" s="2" t="s">
        <v>338</v>
      </c>
      <c r="E300" s="3" t="s">
        <v>1174</v>
      </c>
      <c r="F300" s="3" t="s">
        <v>1198</v>
      </c>
      <c r="G300" s="2" t="s">
        <v>4776</v>
      </c>
      <c r="H300" s="2" t="s">
        <v>4781</v>
      </c>
      <c r="I300" s="3" t="s">
        <v>1199</v>
      </c>
      <c r="J300" s="3" t="s">
        <v>138</v>
      </c>
      <c r="K300" s="3" t="s">
        <v>1215</v>
      </c>
      <c r="L300" s="3" t="s">
        <v>338</v>
      </c>
      <c r="M300" s="3" t="s">
        <v>20</v>
      </c>
      <c r="N300" s="2">
        <v>2833</v>
      </c>
      <c r="O300" s="3" t="s">
        <v>21</v>
      </c>
      <c r="P300" s="3" t="s">
        <v>22</v>
      </c>
      <c r="Q300" s="2" t="s">
        <v>5695</v>
      </c>
      <c r="R300" s="3" t="s">
        <v>1216</v>
      </c>
    </row>
    <row r="301" spans="1:18" x14ac:dyDescent="0.25">
      <c r="A301" s="2">
        <v>661</v>
      </c>
      <c r="B301" s="3" t="s">
        <v>1217</v>
      </c>
      <c r="C301" s="2" t="s">
        <v>3886</v>
      </c>
      <c r="D301" s="2" t="s">
        <v>338</v>
      </c>
      <c r="E301" s="3" t="s">
        <v>1174</v>
      </c>
      <c r="F301" s="3" t="s">
        <v>1198</v>
      </c>
      <c r="G301" s="2" t="s">
        <v>4776</v>
      </c>
      <c r="H301" s="2" t="s">
        <v>4782</v>
      </c>
      <c r="I301" s="3" t="s">
        <v>1199</v>
      </c>
      <c r="J301" s="3" t="s">
        <v>138</v>
      </c>
      <c r="K301" s="3" t="s">
        <v>1200</v>
      </c>
      <c r="L301" s="3" t="s">
        <v>338</v>
      </c>
      <c r="M301" s="3" t="s">
        <v>20</v>
      </c>
      <c r="N301" s="2">
        <v>2833</v>
      </c>
      <c r="O301" s="3" t="s">
        <v>21</v>
      </c>
      <c r="P301" s="3" t="s">
        <v>22</v>
      </c>
      <c r="Q301" s="2" t="s">
        <v>5696</v>
      </c>
      <c r="R301" s="3" t="s">
        <v>1218</v>
      </c>
    </row>
    <row r="302" spans="1:18" x14ac:dyDescent="0.25">
      <c r="A302" s="2">
        <v>37342</v>
      </c>
      <c r="B302" s="3" t="s">
        <v>1219</v>
      </c>
      <c r="C302" s="2" t="s">
        <v>3887</v>
      </c>
      <c r="D302" s="2" t="s">
        <v>338</v>
      </c>
      <c r="E302" s="3" t="s">
        <v>1174</v>
      </c>
      <c r="F302" s="3" t="s">
        <v>1198</v>
      </c>
      <c r="G302" s="2" t="s">
        <v>4776</v>
      </c>
      <c r="H302" s="2" t="s">
        <v>4783</v>
      </c>
      <c r="I302" s="3" t="s">
        <v>1199</v>
      </c>
      <c r="J302" s="3" t="s">
        <v>1220</v>
      </c>
      <c r="K302" s="3" t="s">
        <v>1221</v>
      </c>
      <c r="L302" s="3" t="s">
        <v>338</v>
      </c>
      <c r="M302" s="3" t="s">
        <v>20</v>
      </c>
      <c r="N302" s="2">
        <v>2833</v>
      </c>
      <c r="O302" s="3" t="s">
        <v>21</v>
      </c>
      <c r="P302" s="3" t="s">
        <v>22</v>
      </c>
      <c r="Q302" s="2" t="s">
        <v>5697</v>
      </c>
      <c r="R302" s="3" t="s">
        <v>1222</v>
      </c>
    </row>
    <row r="303" spans="1:18" x14ac:dyDescent="0.25">
      <c r="A303" s="2">
        <v>36637</v>
      </c>
      <c r="B303" s="3" t="s">
        <v>1223</v>
      </c>
      <c r="C303" s="2" t="s">
        <v>3888</v>
      </c>
      <c r="D303" s="2" t="s">
        <v>338</v>
      </c>
      <c r="E303" s="3" t="s">
        <v>1174</v>
      </c>
      <c r="F303" s="3" t="s">
        <v>1198</v>
      </c>
      <c r="G303" s="2" t="s">
        <v>4776</v>
      </c>
      <c r="H303" s="2" t="s">
        <v>4784</v>
      </c>
      <c r="I303" s="3" t="s">
        <v>1199</v>
      </c>
      <c r="J303" s="3" t="s">
        <v>1224</v>
      </c>
      <c r="K303" s="3" t="s">
        <v>1225</v>
      </c>
      <c r="L303" s="3" t="s">
        <v>338</v>
      </c>
      <c r="M303" s="3" t="s">
        <v>20</v>
      </c>
      <c r="N303" s="2">
        <v>2833</v>
      </c>
      <c r="O303" s="3" t="s">
        <v>21</v>
      </c>
      <c r="P303" s="3" t="s">
        <v>22</v>
      </c>
      <c r="Q303" s="2" t="s">
        <v>5698</v>
      </c>
      <c r="R303" s="3" t="s">
        <v>1226</v>
      </c>
    </row>
    <row r="304" spans="1:18" x14ac:dyDescent="0.25">
      <c r="A304" s="2">
        <v>18886</v>
      </c>
      <c r="B304" s="3" t="s">
        <v>1227</v>
      </c>
      <c r="C304" s="2" t="s">
        <v>3889</v>
      </c>
      <c r="D304" s="2" t="s">
        <v>338</v>
      </c>
      <c r="E304" s="3" t="s">
        <v>1174</v>
      </c>
      <c r="F304" s="3" t="s">
        <v>1198</v>
      </c>
      <c r="G304" s="2" t="s">
        <v>4776</v>
      </c>
      <c r="H304" s="2" t="s">
        <v>4785</v>
      </c>
      <c r="I304" s="3" t="s">
        <v>1199</v>
      </c>
      <c r="J304" s="3" t="s">
        <v>138</v>
      </c>
      <c r="K304" s="3" t="s">
        <v>1215</v>
      </c>
      <c r="L304" s="3" t="s">
        <v>338</v>
      </c>
      <c r="M304" s="3" t="s">
        <v>20</v>
      </c>
      <c r="N304" s="2">
        <v>2833</v>
      </c>
      <c r="O304" s="3" t="s">
        <v>21</v>
      </c>
      <c r="P304" s="3" t="s">
        <v>22</v>
      </c>
      <c r="Q304" s="2" t="s">
        <v>5699</v>
      </c>
      <c r="R304" s="3" t="s">
        <v>1228</v>
      </c>
    </row>
    <row r="305" spans="1:18" x14ac:dyDescent="0.25">
      <c r="A305" s="2">
        <v>35061</v>
      </c>
      <c r="B305" s="3" t="s">
        <v>1229</v>
      </c>
      <c r="C305" s="2" t="s">
        <v>3890</v>
      </c>
      <c r="D305" s="2" t="s">
        <v>338</v>
      </c>
      <c r="E305" s="3" t="s">
        <v>1174</v>
      </c>
      <c r="F305" s="3" t="s">
        <v>1198</v>
      </c>
      <c r="G305" s="2" t="s">
        <v>4776</v>
      </c>
      <c r="H305" s="2" t="s">
        <v>4786</v>
      </c>
      <c r="I305" s="3" t="s">
        <v>1199</v>
      </c>
      <c r="J305" s="3" t="s">
        <v>1230</v>
      </c>
      <c r="K305" s="3" t="s">
        <v>1231</v>
      </c>
      <c r="L305" s="3" t="s">
        <v>338</v>
      </c>
      <c r="M305" s="3" t="s">
        <v>20</v>
      </c>
      <c r="N305" s="2">
        <v>2833</v>
      </c>
      <c r="O305" s="3" t="s">
        <v>21</v>
      </c>
      <c r="P305" s="3" t="s">
        <v>22</v>
      </c>
      <c r="Q305" s="2" t="s">
        <v>5700</v>
      </c>
      <c r="R305" s="3" t="s">
        <v>1232</v>
      </c>
    </row>
    <row r="306" spans="1:18" x14ac:dyDescent="0.25">
      <c r="A306" s="2">
        <v>12993</v>
      </c>
      <c r="B306" s="3" t="s">
        <v>1233</v>
      </c>
      <c r="C306" s="2" t="s">
        <v>3891</v>
      </c>
      <c r="D306" s="2" t="s">
        <v>338</v>
      </c>
      <c r="E306" s="3" t="s">
        <v>1174</v>
      </c>
      <c r="F306" s="3" t="s">
        <v>1198</v>
      </c>
      <c r="G306" s="2" t="s">
        <v>4776</v>
      </c>
      <c r="H306" s="2" t="s">
        <v>4787</v>
      </c>
      <c r="I306" s="3" t="s">
        <v>1199</v>
      </c>
      <c r="J306" s="3" t="s">
        <v>1234</v>
      </c>
      <c r="K306" s="3" t="s">
        <v>1235</v>
      </c>
      <c r="L306" s="3" t="s">
        <v>338</v>
      </c>
      <c r="M306" s="3" t="s">
        <v>20</v>
      </c>
      <c r="N306" s="2">
        <v>2833</v>
      </c>
      <c r="O306" s="3" t="s">
        <v>21</v>
      </c>
      <c r="P306" s="3" t="s">
        <v>22</v>
      </c>
      <c r="Q306" s="2" t="s">
        <v>5701</v>
      </c>
      <c r="R306" s="3" t="s">
        <v>1236</v>
      </c>
    </row>
    <row r="307" spans="1:18" x14ac:dyDescent="0.25">
      <c r="A307" s="2">
        <v>13970</v>
      </c>
      <c r="B307" s="3" t="s">
        <v>1237</v>
      </c>
      <c r="C307" s="2" t="s">
        <v>3892</v>
      </c>
      <c r="D307" s="2" t="s">
        <v>338</v>
      </c>
      <c r="E307" s="3" t="s">
        <v>1174</v>
      </c>
      <c r="F307" s="3" t="s">
        <v>1198</v>
      </c>
      <c r="G307" s="2" t="s">
        <v>4769</v>
      </c>
      <c r="H307" s="2" t="s">
        <v>4788</v>
      </c>
      <c r="I307" s="3" t="s">
        <v>1238</v>
      </c>
      <c r="J307" s="3" t="s">
        <v>1239</v>
      </c>
      <c r="K307" s="3" t="s">
        <v>1240</v>
      </c>
      <c r="L307" s="3" t="s">
        <v>338</v>
      </c>
      <c r="M307" s="3" t="s">
        <v>95</v>
      </c>
      <c r="N307" s="2">
        <v>2833</v>
      </c>
      <c r="O307" s="3" t="s">
        <v>21</v>
      </c>
      <c r="P307" s="3" t="s">
        <v>97</v>
      </c>
      <c r="Q307" s="2" t="s">
        <v>5702</v>
      </c>
      <c r="R307" s="3" t="s">
        <v>1241</v>
      </c>
    </row>
    <row r="308" spans="1:18" x14ac:dyDescent="0.25">
      <c r="A308" s="2">
        <v>11484</v>
      </c>
      <c r="B308" s="3" t="s">
        <v>1242</v>
      </c>
      <c r="C308" s="2" t="s">
        <v>3893</v>
      </c>
      <c r="D308" s="2" t="s">
        <v>338</v>
      </c>
      <c r="E308" s="3" t="s">
        <v>1174</v>
      </c>
      <c r="F308" s="3" t="s">
        <v>1198</v>
      </c>
      <c r="G308" s="2" t="s">
        <v>4776</v>
      </c>
      <c r="H308" s="2" t="s">
        <v>4789</v>
      </c>
      <c r="I308" s="3" t="s">
        <v>1199</v>
      </c>
      <c r="J308" s="3" t="s">
        <v>1243</v>
      </c>
      <c r="K308" s="3" t="s">
        <v>1244</v>
      </c>
      <c r="L308" s="3" t="s">
        <v>338</v>
      </c>
      <c r="M308" s="3" t="s">
        <v>20</v>
      </c>
      <c r="N308" s="2">
        <v>2833</v>
      </c>
      <c r="O308" s="3" t="s">
        <v>21</v>
      </c>
      <c r="P308" s="3" t="s">
        <v>22</v>
      </c>
      <c r="Q308" s="2" t="s">
        <v>5703</v>
      </c>
      <c r="R308" s="3" t="s">
        <v>1245</v>
      </c>
    </row>
    <row r="309" spans="1:18" x14ac:dyDescent="0.25">
      <c r="A309" s="2">
        <v>30948</v>
      </c>
      <c r="B309" s="3" t="s">
        <v>1246</v>
      </c>
      <c r="C309" s="2" t="s">
        <v>1246</v>
      </c>
      <c r="D309" s="2" t="s">
        <v>338</v>
      </c>
      <c r="E309" s="3" t="s">
        <v>1174</v>
      </c>
      <c r="F309" s="3" t="s">
        <v>1198</v>
      </c>
      <c r="G309" s="2" t="s">
        <v>4776</v>
      </c>
      <c r="H309" s="2" t="s">
        <v>4790</v>
      </c>
      <c r="I309" s="3" t="s">
        <v>1199</v>
      </c>
      <c r="J309" s="3" t="s">
        <v>138</v>
      </c>
      <c r="K309" s="3" t="s">
        <v>1247</v>
      </c>
      <c r="L309" s="3" t="s">
        <v>338</v>
      </c>
      <c r="M309" s="3" t="s">
        <v>20</v>
      </c>
      <c r="N309" s="2">
        <v>2833</v>
      </c>
      <c r="O309" s="3" t="s">
        <v>21</v>
      </c>
      <c r="P309" s="3" t="s">
        <v>22</v>
      </c>
      <c r="Q309" s="2" t="s">
        <v>5704</v>
      </c>
      <c r="R309" s="3" t="s">
        <v>1248</v>
      </c>
    </row>
    <row r="310" spans="1:18" x14ac:dyDescent="0.25">
      <c r="A310" s="2">
        <v>17211</v>
      </c>
      <c r="B310" s="3" t="s">
        <v>1249</v>
      </c>
      <c r="C310" s="2" t="s">
        <v>3894</v>
      </c>
      <c r="D310" s="2" t="s">
        <v>338</v>
      </c>
      <c r="E310" s="3" t="s">
        <v>1174</v>
      </c>
      <c r="F310" s="3" t="s">
        <v>1198</v>
      </c>
      <c r="G310" s="2" t="s">
        <v>4776</v>
      </c>
      <c r="H310" s="2" t="s">
        <v>4791</v>
      </c>
      <c r="I310" s="3" t="s">
        <v>1199</v>
      </c>
      <c r="J310" s="3" t="s">
        <v>138</v>
      </c>
      <c r="K310" s="3" t="s">
        <v>1250</v>
      </c>
      <c r="L310" s="3" t="s">
        <v>338</v>
      </c>
      <c r="M310" s="3" t="s">
        <v>20</v>
      </c>
      <c r="N310" s="2">
        <v>2833</v>
      </c>
      <c r="O310" s="3" t="s">
        <v>21</v>
      </c>
      <c r="P310" s="3" t="s">
        <v>22</v>
      </c>
      <c r="Q310" s="2" t="s">
        <v>5705</v>
      </c>
      <c r="R310" s="3" t="s">
        <v>1251</v>
      </c>
    </row>
    <row r="311" spans="1:18" x14ac:dyDescent="0.25">
      <c r="A311" s="2">
        <v>33261</v>
      </c>
      <c r="B311" s="3" t="s">
        <v>1252</v>
      </c>
      <c r="C311" s="2" t="s">
        <v>3895</v>
      </c>
      <c r="D311" s="2" t="s">
        <v>338</v>
      </c>
      <c r="E311" s="3" t="s">
        <v>1174</v>
      </c>
      <c r="F311" s="3" t="s">
        <v>1198</v>
      </c>
      <c r="G311" s="2" t="s">
        <v>4776</v>
      </c>
      <c r="H311" s="2" t="s">
        <v>4792</v>
      </c>
      <c r="I311" s="3" t="s">
        <v>1199</v>
      </c>
      <c r="J311" s="3" t="s">
        <v>138</v>
      </c>
      <c r="K311" s="3" t="s">
        <v>1215</v>
      </c>
      <c r="L311" s="3" t="s">
        <v>338</v>
      </c>
      <c r="M311" s="3" t="s">
        <v>20</v>
      </c>
      <c r="N311" s="2">
        <v>2833</v>
      </c>
      <c r="O311" s="3" t="s">
        <v>21</v>
      </c>
      <c r="P311" s="3" t="s">
        <v>22</v>
      </c>
      <c r="Q311" s="2" t="s">
        <v>5706</v>
      </c>
      <c r="R311" s="3" t="s">
        <v>1253</v>
      </c>
    </row>
    <row r="312" spans="1:18" x14ac:dyDescent="0.25">
      <c r="A312" s="2">
        <v>34219</v>
      </c>
      <c r="B312" s="3" t="s">
        <v>1254</v>
      </c>
      <c r="C312" s="2" t="s">
        <v>3896</v>
      </c>
      <c r="D312" s="2" t="s">
        <v>338</v>
      </c>
      <c r="E312" s="3" t="s">
        <v>1174</v>
      </c>
      <c r="F312" s="3" t="s">
        <v>1198</v>
      </c>
      <c r="G312" s="2" t="s">
        <v>4776</v>
      </c>
      <c r="H312" s="2" t="s">
        <v>4793</v>
      </c>
      <c r="I312" s="3" t="s">
        <v>1199</v>
      </c>
      <c r="J312" s="3" t="s">
        <v>1255</v>
      </c>
      <c r="K312" s="3" t="s">
        <v>1256</v>
      </c>
      <c r="L312" s="3" t="s">
        <v>338</v>
      </c>
      <c r="M312" s="3" t="s">
        <v>20</v>
      </c>
      <c r="N312" s="2">
        <v>2833</v>
      </c>
      <c r="O312" s="3" t="s">
        <v>21</v>
      </c>
      <c r="P312" s="3" t="s">
        <v>22</v>
      </c>
      <c r="Q312" s="2" t="s">
        <v>5707</v>
      </c>
      <c r="R312" s="3" t="s">
        <v>1257</v>
      </c>
    </row>
    <row r="313" spans="1:18" x14ac:dyDescent="0.25">
      <c r="A313" s="2">
        <v>39898</v>
      </c>
      <c r="B313" s="3" t="s">
        <v>1258</v>
      </c>
      <c r="C313" s="2" t="s">
        <v>3897</v>
      </c>
      <c r="D313" s="2" t="s">
        <v>338</v>
      </c>
      <c r="E313" s="3" t="s">
        <v>1174</v>
      </c>
      <c r="F313" s="3" t="s">
        <v>1198</v>
      </c>
      <c r="G313" s="2" t="s">
        <v>4776</v>
      </c>
      <c r="H313" s="2" t="s">
        <v>4794</v>
      </c>
      <c r="I313" s="3" t="s">
        <v>1199</v>
      </c>
      <c r="J313" s="3" t="s">
        <v>1259</v>
      </c>
      <c r="K313" s="3" t="s">
        <v>1260</v>
      </c>
      <c r="L313" s="3" t="s">
        <v>338</v>
      </c>
      <c r="M313" s="3" t="s">
        <v>20</v>
      </c>
      <c r="N313" s="2">
        <v>2833</v>
      </c>
      <c r="O313" s="3" t="s">
        <v>21</v>
      </c>
      <c r="P313" s="3" t="s">
        <v>22</v>
      </c>
      <c r="Q313" s="2" t="s">
        <v>5708</v>
      </c>
      <c r="R313" s="3" t="s">
        <v>1261</v>
      </c>
    </row>
    <row r="314" spans="1:18" x14ac:dyDescent="0.25">
      <c r="A314" s="2">
        <v>41235</v>
      </c>
      <c r="B314" s="3" t="s">
        <v>1262</v>
      </c>
      <c r="C314" s="2" t="s">
        <v>3898</v>
      </c>
      <c r="D314" s="2" t="s">
        <v>338</v>
      </c>
      <c r="E314" s="3" t="s">
        <v>1174</v>
      </c>
      <c r="F314" s="3" t="s">
        <v>1198</v>
      </c>
      <c r="G314" s="2" t="s">
        <v>4776</v>
      </c>
      <c r="H314" s="2" t="s">
        <v>4795</v>
      </c>
      <c r="I314" s="3" t="s">
        <v>1199</v>
      </c>
      <c r="J314" s="3" t="s">
        <v>138</v>
      </c>
      <c r="K314" s="3" t="s">
        <v>1263</v>
      </c>
      <c r="L314" s="3" t="s">
        <v>338</v>
      </c>
      <c r="M314" s="3" t="s">
        <v>20</v>
      </c>
      <c r="N314" s="2">
        <v>2833</v>
      </c>
      <c r="O314" s="3" t="s">
        <v>21</v>
      </c>
      <c r="P314" s="3" t="s">
        <v>22</v>
      </c>
      <c r="Q314" s="2" t="s">
        <v>5709</v>
      </c>
      <c r="R314" s="3" t="s">
        <v>1264</v>
      </c>
    </row>
    <row r="315" spans="1:18" x14ac:dyDescent="0.25">
      <c r="A315" s="2">
        <v>41233</v>
      </c>
      <c r="B315" s="3" t="s">
        <v>1265</v>
      </c>
      <c r="C315" s="2" t="s">
        <v>3899</v>
      </c>
      <c r="D315" s="2" t="s">
        <v>338</v>
      </c>
      <c r="E315" s="3" t="s">
        <v>1174</v>
      </c>
      <c r="F315" s="3" t="s">
        <v>1198</v>
      </c>
      <c r="G315" s="2" t="s">
        <v>4776</v>
      </c>
      <c r="H315" s="2" t="s">
        <v>4796</v>
      </c>
      <c r="I315" s="3" t="s">
        <v>1199</v>
      </c>
      <c r="J315" s="3" t="s">
        <v>138</v>
      </c>
      <c r="K315" s="3" t="s">
        <v>1247</v>
      </c>
      <c r="L315" s="3" t="s">
        <v>338</v>
      </c>
      <c r="M315" s="3" t="s">
        <v>20</v>
      </c>
      <c r="N315" s="2">
        <v>2833</v>
      </c>
      <c r="O315" s="3" t="s">
        <v>21</v>
      </c>
      <c r="P315" s="3" t="s">
        <v>22</v>
      </c>
      <c r="Q315" s="2" t="s">
        <v>5710</v>
      </c>
      <c r="R315" s="3" t="s">
        <v>1266</v>
      </c>
    </row>
    <row r="316" spans="1:18" x14ac:dyDescent="0.25">
      <c r="A316" s="2">
        <v>41234</v>
      </c>
      <c r="B316" s="3" t="s">
        <v>1267</v>
      </c>
      <c r="C316" s="2" t="s">
        <v>3900</v>
      </c>
      <c r="D316" s="2" t="s">
        <v>338</v>
      </c>
      <c r="E316" s="3" t="s">
        <v>1174</v>
      </c>
      <c r="F316" s="3" t="s">
        <v>1198</v>
      </c>
      <c r="G316" s="2" t="s">
        <v>4776</v>
      </c>
      <c r="H316" s="2" t="s">
        <v>4797</v>
      </c>
      <c r="I316" s="3" t="s">
        <v>1199</v>
      </c>
      <c r="J316" s="3" t="s">
        <v>1268</v>
      </c>
      <c r="K316" s="3" t="s">
        <v>1269</v>
      </c>
      <c r="L316" s="3" t="s">
        <v>338</v>
      </c>
      <c r="M316" s="3" t="s">
        <v>20</v>
      </c>
      <c r="N316" s="2">
        <v>2833</v>
      </c>
      <c r="O316" s="3" t="s">
        <v>21</v>
      </c>
      <c r="P316" s="3" t="s">
        <v>22</v>
      </c>
      <c r="Q316" s="2" t="s">
        <v>5711</v>
      </c>
      <c r="R316" s="3" t="s">
        <v>1270</v>
      </c>
    </row>
    <row r="317" spans="1:18" x14ac:dyDescent="0.25">
      <c r="A317" s="2">
        <v>38326</v>
      </c>
      <c r="B317" s="3" t="s">
        <v>1271</v>
      </c>
      <c r="C317" s="2" t="s">
        <v>3901</v>
      </c>
      <c r="D317" s="2" t="s">
        <v>338</v>
      </c>
      <c r="E317" s="3" t="s">
        <v>1174</v>
      </c>
      <c r="F317" s="3" t="s">
        <v>1198</v>
      </c>
      <c r="G317" s="2" t="s">
        <v>4776</v>
      </c>
      <c r="H317" s="2" t="s">
        <v>4798</v>
      </c>
      <c r="I317" s="3" t="s">
        <v>1199</v>
      </c>
      <c r="J317" s="3" t="s">
        <v>138</v>
      </c>
      <c r="K317" s="3" t="s">
        <v>1215</v>
      </c>
      <c r="L317" s="3" t="s">
        <v>338</v>
      </c>
      <c r="M317" s="3" t="s">
        <v>20</v>
      </c>
      <c r="N317" s="2">
        <v>2833</v>
      </c>
      <c r="O317" s="3" t="s">
        <v>21</v>
      </c>
      <c r="P317" s="3" t="s">
        <v>22</v>
      </c>
      <c r="Q317" s="2" t="s">
        <v>5712</v>
      </c>
      <c r="R317" s="3" t="s">
        <v>1272</v>
      </c>
    </row>
    <row r="318" spans="1:18" x14ac:dyDescent="0.25">
      <c r="A318" s="2">
        <v>14684</v>
      </c>
      <c r="B318" s="3" t="s">
        <v>1273</v>
      </c>
      <c r="C318" s="2" t="s">
        <v>3902</v>
      </c>
      <c r="D318" s="2" t="s">
        <v>338</v>
      </c>
      <c r="E318" s="3" t="s">
        <v>1174</v>
      </c>
      <c r="F318" s="3" t="s">
        <v>1198</v>
      </c>
      <c r="G318" s="2" t="s">
        <v>4776</v>
      </c>
      <c r="H318" s="2" t="s">
        <v>4799</v>
      </c>
      <c r="I318" s="3" t="s">
        <v>1274</v>
      </c>
      <c r="J318" s="3" t="s">
        <v>138</v>
      </c>
      <c r="K318" s="3" t="s">
        <v>1275</v>
      </c>
      <c r="L318" s="3" t="s">
        <v>338</v>
      </c>
      <c r="M318" s="3" t="s">
        <v>95</v>
      </c>
      <c r="N318" s="2">
        <v>2833</v>
      </c>
      <c r="O318" s="3" t="s">
        <v>21</v>
      </c>
      <c r="P318" s="3" t="s">
        <v>97</v>
      </c>
      <c r="Q318" s="2" t="s">
        <v>5713</v>
      </c>
      <c r="R318" s="3" t="s">
        <v>1276</v>
      </c>
    </row>
    <row r="319" spans="1:18" x14ac:dyDescent="0.25">
      <c r="A319" s="2">
        <v>17732</v>
      </c>
      <c r="B319" s="3" t="s">
        <v>1277</v>
      </c>
      <c r="C319" s="2" t="s">
        <v>3903</v>
      </c>
      <c r="D319" s="2" t="s">
        <v>338</v>
      </c>
      <c r="E319" s="3" t="s">
        <v>1174</v>
      </c>
      <c r="F319" s="3" t="s">
        <v>1198</v>
      </c>
      <c r="G319" s="2" t="s">
        <v>4776</v>
      </c>
      <c r="H319" s="2" t="s">
        <v>4800</v>
      </c>
      <c r="I319" s="3" t="s">
        <v>1199</v>
      </c>
      <c r="J319" s="3" t="s">
        <v>138</v>
      </c>
      <c r="K319" s="3" t="s">
        <v>1215</v>
      </c>
      <c r="L319" s="3" t="s">
        <v>338</v>
      </c>
      <c r="M319" s="3" t="s">
        <v>20</v>
      </c>
      <c r="N319" s="2">
        <v>2833</v>
      </c>
      <c r="O319" s="3" t="s">
        <v>21</v>
      </c>
      <c r="P319" s="3" t="s">
        <v>22</v>
      </c>
      <c r="Q319" s="2" t="s">
        <v>5714</v>
      </c>
      <c r="R319" s="3" t="s">
        <v>1278</v>
      </c>
    </row>
    <row r="320" spans="1:18" x14ac:dyDescent="0.25">
      <c r="A320" s="2">
        <v>37687</v>
      </c>
      <c r="B320" s="3" t="s">
        <v>1279</v>
      </c>
      <c r="C320" s="2" t="s">
        <v>3904</v>
      </c>
      <c r="D320" s="2" t="s">
        <v>338</v>
      </c>
      <c r="E320" s="3" t="s">
        <v>1174</v>
      </c>
      <c r="F320" s="3" t="s">
        <v>1198</v>
      </c>
      <c r="G320" s="2" t="s">
        <v>4776</v>
      </c>
      <c r="H320" s="2" t="s">
        <v>4801</v>
      </c>
      <c r="I320" s="3" t="s">
        <v>1199</v>
      </c>
      <c r="J320" s="3" t="s">
        <v>1280</v>
      </c>
      <c r="K320" s="3" t="s">
        <v>1281</v>
      </c>
      <c r="L320" s="3" t="s">
        <v>338</v>
      </c>
      <c r="M320" s="3" t="s">
        <v>20</v>
      </c>
      <c r="N320" s="2">
        <v>2833</v>
      </c>
      <c r="O320" s="3" t="s">
        <v>21</v>
      </c>
      <c r="P320" s="3" t="s">
        <v>22</v>
      </c>
      <c r="Q320" s="2" t="s">
        <v>5715</v>
      </c>
      <c r="R320" s="3" t="s">
        <v>1282</v>
      </c>
    </row>
    <row r="321" spans="1:18" x14ac:dyDescent="0.25">
      <c r="A321" s="2">
        <v>41094</v>
      </c>
      <c r="B321" s="3" t="s">
        <v>1283</v>
      </c>
      <c r="C321" s="2" t="s">
        <v>3905</v>
      </c>
      <c r="D321" s="2" t="s">
        <v>338</v>
      </c>
      <c r="E321" s="3" t="s">
        <v>1174</v>
      </c>
      <c r="F321" s="3" t="s">
        <v>1198</v>
      </c>
      <c r="G321" s="2" t="s">
        <v>4776</v>
      </c>
      <c r="H321" s="2" t="s">
        <v>4802</v>
      </c>
      <c r="I321" s="3" t="s">
        <v>1199</v>
      </c>
      <c r="J321" s="3" t="s">
        <v>138</v>
      </c>
      <c r="K321" s="3" t="s">
        <v>1284</v>
      </c>
      <c r="L321" s="3" t="s">
        <v>338</v>
      </c>
      <c r="M321" s="3" t="s">
        <v>20</v>
      </c>
      <c r="N321" s="2">
        <v>2833</v>
      </c>
      <c r="O321" s="3" t="s">
        <v>21</v>
      </c>
      <c r="P321" s="3" t="s">
        <v>22</v>
      </c>
      <c r="Q321" s="2" t="s">
        <v>5716</v>
      </c>
      <c r="R321" s="3" t="s">
        <v>1285</v>
      </c>
    </row>
    <row r="322" spans="1:18" x14ac:dyDescent="0.25">
      <c r="A322" s="2">
        <v>40601</v>
      </c>
      <c r="B322" s="3" t="s">
        <v>1286</v>
      </c>
      <c r="C322" s="2" t="s">
        <v>3906</v>
      </c>
      <c r="D322" s="2" t="s">
        <v>338</v>
      </c>
      <c r="E322" s="3" t="s">
        <v>1174</v>
      </c>
      <c r="F322" s="3" t="s">
        <v>1198</v>
      </c>
      <c r="G322" s="2" t="s">
        <v>4776</v>
      </c>
      <c r="H322" s="2" t="s">
        <v>4803</v>
      </c>
      <c r="I322" s="3" t="s">
        <v>1199</v>
      </c>
      <c r="J322" s="3" t="s">
        <v>138</v>
      </c>
      <c r="K322" s="3" t="s">
        <v>1287</v>
      </c>
      <c r="L322" s="3" t="s">
        <v>338</v>
      </c>
      <c r="M322" s="3" t="s">
        <v>20</v>
      </c>
      <c r="N322" s="2">
        <v>2833</v>
      </c>
      <c r="O322" s="3" t="s">
        <v>21</v>
      </c>
      <c r="P322" s="3" t="s">
        <v>22</v>
      </c>
      <c r="Q322" s="2" t="s">
        <v>5717</v>
      </c>
      <c r="R322" s="3" t="s">
        <v>1288</v>
      </c>
    </row>
    <row r="323" spans="1:18" x14ac:dyDescent="0.25">
      <c r="A323" s="2">
        <v>27345</v>
      </c>
      <c r="B323" s="3" t="s">
        <v>1289</v>
      </c>
      <c r="C323" s="2" t="s">
        <v>3907</v>
      </c>
      <c r="D323" s="2" t="s">
        <v>338</v>
      </c>
      <c r="E323" s="3" t="s">
        <v>1174</v>
      </c>
      <c r="F323" s="3" t="s">
        <v>1290</v>
      </c>
      <c r="G323" s="2" t="s">
        <v>4804</v>
      </c>
      <c r="H323" s="2" t="s">
        <v>4805</v>
      </c>
      <c r="I323" s="3" t="s">
        <v>1291</v>
      </c>
      <c r="J323" s="3" t="s">
        <v>1292</v>
      </c>
      <c r="K323" s="3" t="s">
        <v>1293</v>
      </c>
      <c r="L323" s="3" t="s">
        <v>338</v>
      </c>
      <c r="M323" s="3" t="s">
        <v>95</v>
      </c>
      <c r="N323" s="2">
        <v>2004</v>
      </c>
      <c r="O323" s="3" t="s">
        <v>21</v>
      </c>
      <c r="P323" s="3" t="s">
        <v>97</v>
      </c>
      <c r="Q323" s="2" t="s">
        <v>5718</v>
      </c>
      <c r="R323" s="3" t="s">
        <v>1294</v>
      </c>
    </row>
    <row r="324" spans="1:18" x14ac:dyDescent="0.25">
      <c r="A324" s="2">
        <v>19545</v>
      </c>
      <c r="B324" s="3" t="s">
        <v>1295</v>
      </c>
      <c r="C324" s="2" t="s">
        <v>3908</v>
      </c>
      <c r="D324" s="2" t="s">
        <v>338</v>
      </c>
      <c r="E324" s="3" t="s">
        <v>1174</v>
      </c>
      <c r="F324" s="3" t="s">
        <v>1290</v>
      </c>
      <c r="G324" s="2" t="s">
        <v>4804</v>
      </c>
      <c r="H324" s="2" t="s">
        <v>4806</v>
      </c>
      <c r="I324" s="3" t="s">
        <v>1296</v>
      </c>
      <c r="J324" s="3" t="s">
        <v>1292</v>
      </c>
      <c r="K324" s="3" t="s">
        <v>1297</v>
      </c>
      <c r="L324" s="3" t="s">
        <v>338</v>
      </c>
      <c r="M324" s="3" t="s">
        <v>95</v>
      </c>
      <c r="N324" s="2">
        <v>2004</v>
      </c>
      <c r="O324" s="3" t="s">
        <v>244</v>
      </c>
      <c r="P324" s="3" t="s">
        <v>97</v>
      </c>
      <c r="Q324" s="2" t="s">
        <v>5719</v>
      </c>
      <c r="R324" s="3" t="s">
        <v>1298</v>
      </c>
    </row>
    <row r="325" spans="1:18" x14ac:dyDescent="0.25">
      <c r="A325" s="2">
        <v>3571</v>
      </c>
      <c r="B325" s="3" t="s">
        <v>1299</v>
      </c>
      <c r="C325" s="2" t="s">
        <v>3909</v>
      </c>
      <c r="D325" s="2" t="s">
        <v>338</v>
      </c>
      <c r="E325" s="3" t="s">
        <v>1174</v>
      </c>
      <c r="F325" s="3" t="s">
        <v>1290</v>
      </c>
      <c r="G325" s="2" t="s">
        <v>4804</v>
      </c>
      <c r="H325" s="2" t="s">
        <v>4807</v>
      </c>
      <c r="I325" s="3" t="s">
        <v>1291</v>
      </c>
      <c r="J325" s="3" t="s">
        <v>1292</v>
      </c>
      <c r="K325" s="3" t="s">
        <v>1300</v>
      </c>
      <c r="L325" s="3" t="s">
        <v>338</v>
      </c>
      <c r="M325" s="3" t="s">
        <v>95</v>
      </c>
      <c r="N325" s="2">
        <v>2004</v>
      </c>
      <c r="O325" s="3" t="s">
        <v>21</v>
      </c>
      <c r="P325" s="3" t="s">
        <v>97</v>
      </c>
      <c r="Q325" s="2" t="s">
        <v>5720</v>
      </c>
      <c r="R325" s="3" t="s">
        <v>1301</v>
      </c>
    </row>
    <row r="326" spans="1:18" x14ac:dyDescent="0.25">
      <c r="A326" s="2">
        <v>38087</v>
      </c>
      <c r="B326" s="3" t="s">
        <v>1302</v>
      </c>
      <c r="C326" s="2" t="s">
        <v>3910</v>
      </c>
      <c r="D326" s="2" t="s">
        <v>338</v>
      </c>
      <c r="E326" s="3" t="s">
        <v>1174</v>
      </c>
      <c r="F326" s="3" t="s">
        <v>1290</v>
      </c>
      <c r="G326" s="2" t="s">
        <v>4804</v>
      </c>
      <c r="H326" s="2" t="s">
        <v>4808</v>
      </c>
      <c r="I326" s="3" t="s">
        <v>1291</v>
      </c>
      <c r="J326" s="3" t="s">
        <v>1303</v>
      </c>
      <c r="K326" s="3" t="s">
        <v>1304</v>
      </c>
      <c r="L326" s="3" t="s">
        <v>338</v>
      </c>
      <c r="M326" s="3" t="s">
        <v>95</v>
      </c>
      <c r="N326" s="2">
        <v>2004</v>
      </c>
      <c r="O326" s="3" t="s">
        <v>21</v>
      </c>
      <c r="P326" s="3" t="s">
        <v>97</v>
      </c>
      <c r="Q326" s="2" t="s">
        <v>5721</v>
      </c>
      <c r="R326" s="3" t="s">
        <v>1305</v>
      </c>
    </row>
    <row r="327" spans="1:18" x14ac:dyDescent="0.25">
      <c r="A327" s="2">
        <v>10824</v>
      </c>
      <c r="B327" s="3" t="s">
        <v>1306</v>
      </c>
      <c r="C327" s="2" t="s">
        <v>3911</v>
      </c>
      <c r="D327" s="2" t="s">
        <v>338</v>
      </c>
      <c r="E327" s="3" t="s">
        <v>1174</v>
      </c>
      <c r="F327" s="3" t="s">
        <v>1290</v>
      </c>
      <c r="G327" s="2" t="s">
        <v>4804</v>
      </c>
      <c r="H327" s="2" t="s">
        <v>4809</v>
      </c>
      <c r="I327" s="3" t="s">
        <v>1291</v>
      </c>
      <c r="J327" s="3" t="s">
        <v>1307</v>
      </c>
      <c r="K327" s="3" t="s">
        <v>1308</v>
      </c>
      <c r="L327" s="3" t="s">
        <v>338</v>
      </c>
      <c r="M327" s="3" t="s">
        <v>95</v>
      </c>
      <c r="N327" s="2">
        <v>2004</v>
      </c>
      <c r="O327" s="3" t="s">
        <v>21</v>
      </c>
      <c r="P327" s="3" t="s">
        <v>97</v>
      </c>
      <c r="Q327" s="2" t="s">
        <v>5722</v>
      </c>
      <c r="R327" s="3" t="s">
        <v>1309</v>
      </c>
    </row>
    <row r="328" spans="1:18" x14ac:dyDescent="0.25">
      <c r="A328" s="2">
        <v>37303</v>
      </c>
      <c r="B328" s="3" t="s">
        <v>1310</v>
      </c>
      <c r="C328" s="2" t="s">
        <v>3912</v>
      </c>
      <c r="D328" s="2" t="s">
        <v>338</v>
      </c>
      <c r="E328" s="3" t="s">
        <v>1174</v>
      </c>
      <c r="F328" s="3" t="s">
        <v>1290</v>
      </c>
      <c r="G328" s="2" t="s">
        <v>4804</v>
      </c>
      <c r="H328" s="2" t="s">
        <v>4810</v>
      </c>
      <c r="I328" s="3" t="s">
        <v>1291</v>
      </c>
      <c r="J328" s="3" t="s">
        <v>1307</v>
      </c>
      <c r="K328" s="3" t="s">
        <v>1311</v>
      </c>
      <c r="L328" s="3" t="s">
        <v>338</v>
      </c>
      <c r="M328" s="3" t="s">
        <v>95</v>
      </c>
      <c r="N328" s="2">
        <v>2004</v>
      </c>
      <c r="O328" s="3" t="s">
        <v>21</v>
      </c>
      <c r="P328" s="3" t="s">
        <v>97</v>
      </c>
      <c r="Q328" s="2" t="s">
        <v>5723</v>
      </c>
      <c r="R328" s="3" t="s">
        <v>1312</v>
      </c>
    </row>
    <row r="329" spans="1:18" x14ac:dyDescent="0.25">
      <c r="A329" s="2">
        <v>18609</v>
      </c>
      <c r="B329" s="3" t="s">
        <v>1313</v>
      </c>
      <c r="C329" s="2" t="s">
        <v>3913</v>
      </c>
      <c r="D329" s="2" t="s">
        <v>338</v>
      </c>
      <c r="E329" s="3" t="s">
        <v>1174</v>
      </c>
      <c r="F329" s="3" t="s">
        <v>1290</v>
      </c>
      <c r="G329" s="2" t="s">
        <v>4804</v>
      </c>
      <c r="H329" s="2" t="s">
        <v>4811</v>
      </c>
      <c r="I329" s="3" t="s">
        <v>1291</v>
      </c>
      <c r="J329" s="3" t="s">
        <v>1314</v>
      </c>
      <c r="K329" s="3" t="s">
        <v>1315</v>
      </c>
      <c r="L329" s="3" t="s">
        <v>338</v>
      </c>
      <c r="M329" s="3" t="s">
        <v>95</v>
      </c>
      <c r="N329" s="2">
        <v>2004</v>
      </c>
      <c r="O329" s="3" t="s">
        <v>21</v>
      </c>
      <c r="P329" s="3" t="s">
        <v>97</v>
      </c>
      <c r="Q329" s="2" t="s">
        <v>5724</v>
      </c>
      <c r="R329" s="3" t="s">
        <v>1316</v>
      </c>
    </row>
    <row r="330" spans="1:18" x14ac:dyDescent="0.25">
      <c r="A330" s="2">
        <v>37116</v>
      </c>
      <c r="B330" s="3" t="s">
        <v>1317</v>
      </c>
      <c r="C330" s="2" t="s">
        <v>3914</v>
      </c>
      <c r="D330" s="2" t="s">
        <v>338</v>
      </c>
      <c r="E330" s="3" t="s">
        <v>1174</v>
      </c>
      <c r="F330" s="3" t="s">
        <v>1290</v>
      </c>
      <c r="G330" s="2" t="s">
        <v>4804</v>
      </c>
      <c r="H330" s="2" t="s">
        <v>4812</v>
      </c>
      <c r="I330" s="3" t="s">
        <v>1291</v>
      </c>
      <c r="J330" s="3" t="s">
        <v>1292</v>
      </c>
      <c r="K330" s="3" t="s">
        <v>1318</v>
      </c>
      <c r="L330" s="3" t="s">
        <v>338</v>
      </c>
      <c r="M330" s="3" t="s">
        <v>95</v>
      </c>
      <c r="N330" s="2">
        <v>2004</v>
      </c>
      <c r="O330" s="3" t="s">
        <v>21</v>
      </c>
      <c r="P330" s="3" t="s">
        <v>97</v>
      </c>
      <c r="Q330" s="2" t="s">
        <v>5725</v>
      </c>
      <c r="R330" s="3" t="s">
        <v>1319</v>
      </c>
    </row>
    <row r="331" spans="1:18" x14ac:dyDescent="0.25">
      <c r="A331" s="2">
        <v>17849</v>
      </c>
      <c r="B331" s="3" t="s">
        <v>1320</v>
      </c>
      <c r="C331" s="2" t="s">
        <v>3915</v>
      </c>
      <c r="D331" s="2" t="s">
        <v>338</v>
      </c>
      <c r="E331" s="3" t="s">
        <v>1174</v>
      </c>
      <c r="F331" s="3" t="s">
        <v>1290</v>
      </c>
      <c r="G331" s="2" t="s">
        <v>4804</v>
      </c>
      <c r="H331" s="2" t="s">
        <v>4813</v>
      </c>
      <c r="I331" s="3" t="s">
        <v>1291</v>
      </c>
      <c r="J331" s="3" t="s">
        <v>1321</v>
      </c>
      <c r="K331" s="3" t="s">
        <v>1322</v>
      </c>
      <c r="L331" s="3" t="s">
        <v>338</v>
      </c>
      <c r="M331" s="3" t="s">
        <v>95</v>
      </c>
      <c r="N331" s="2">
        <v>2004</v>
      </c>
      <c r="O331" s="3" t="s">
        <v>21</v>
      </c>
      <c r="P331" s="3" t="s">
        <v>97</v>
      </c>
      <c r="Q331" s="2" t="s">
        <v>5726</v>
      </c>
      <c r="R331" s="3" t="s">
        <v>1323</v>
      </c>
    </row>
    <row r="332" spans="1:18" x14ac:dyDescent="0.25">
      <c r="A332" s="2">
        <v>39437</v>
      </c>
      <c r="B332" s="3" t="s">
        <v>1324</v>
      </c>
      <c r="C332" s="2" t="s">
        <v>3916</v>
      </c>
      <c r="D332" s="2" t="s">
        <v>338</v>
      </c>
      <c r="E332" s="3" t="s">
        <v>1174</v>
      </c>
      <c r="F332" s="3" t="s">
        <v>1290</v>
      </c>
      <c r="G332" s="2" t="s">
        <v>4804</v>
      </c>
      <c r="H332" s="2" t="s">
        <v>4814</v>
      </c>
      <c r="I332" s="3" t="s">
        <v>1296</v>
      </c>
      <c r="J332" s="3" t="s">
        <v>1325</v>
      </c>
      <c r="K332" s="3" t="s">
        <v>1326</v>
      </c>
      <c r="L332" s="3" t="s">
        <v>338</v>
      </c>
      <c r="M332" s="3" t="s">
        <v>95</v>
      </c>
      <c r="N332" s="2">
        <v>2004</v>
      </c>
      <c r="O332" s="3" t="s">
        <v>244</v>
      </c>
      <c r="P332" s="3" t="s">
        <v>97</v>
      </c>
      <c r="Q332" s="2" t="s">
        <v>5727</v>
      </c>
      <c r="R332" s="3" t="s">
        <v>1327</v>
      </c>
    </row>
    <row r="333" spans="1:18" x14ac:dyDescent="0.25">
      <c r="A333" s="2">
        <v>35125</v>
      </c>
      <c r="B333" s="3" t="s">
        <v>1328</v>
      </c>
      <c r="C333" s="2" t="s">
        <v>3917</v>
      </c>
      <c r="D333" s="2" t="s">
        <v>338</v>
      </c>
      <c r="E333" s="3" t="s">
        <v>1174</v>
      </c>
      <c r="F333" s="3" t="s">
        <v>1290</v>
      </c>
      <c r="G333" s="2" t="s">
        <v>4804</v>
      </c>
      <c r="H333" s="2" t="s">
        <v>4815</v>
      </c>
      <c r="I333" s="3" t="s">
        <v>1291</v>
      </c>
      <c r="J333" s="3" t="s">
        <v>1329</v>
      </c>
      <c r="K333" s="3" t="s">
        <v>1330</v>
      </c>
      <c r="L333" s="3" t="s">
        <v>338</v>
      </c>
      <c r="M333" s="3" t="s">
        <v>95</v>
      </c>
      <c r="N333" s="2">
        <v>2004</v>
      </c>
      <c r="O333" s="3" t="s">
        <v>21</v>
      </c>
      <c r="P333" s="3" t="s">
        <v>97</v>
      </c>
      <c r="Q333" s="2" t="s">
        <v>5728</v>
      </c>
      <c r="R333" s="3" t="s">
        <v>1331</v>
      </c>
    </row>
    <row r="334" spans="1:18" x14ac:dyDescent="0.25">
      <c r="A334" s="2">
        <v>14280</v>
      </c>
      <c r="B334" s="3" t="s">
        <v>1332</v>
      </c>
      <c r="C334" s="2" t="s">
        <v>3918</v>
      </c>
      <c r="D334" s="2" t="s">
        <v>338</v>
      </c>
      <c r="E334" s="3" t="s">
        <v>1174</v>
      </c>
      <c r="F334" s="3" t="s">
        <v>1290</v>
      </c>
      <c r="G334" s="2" t="s">
        <v>4804</v>
      </c>
      <c r="H334" s="2" t="s">
        <v>4816</v>
      </c>
      <c r="I334" s="3" t="s">
        <v>1291</v>
      </c>
      <c r="J334" s="3" t="s">
        <v>1292</v>
      </c>
      <c r="K334" s="3" t="s">
        <v>1333</v>
      </c>
      <c r="L334" s="3" t="s">
        <v>338</v>
      </c>
      <c r="M334" s="3" t="s">
        <v>95</v>
      </c>
      <c r="N334" s="2">
        <v>2004</v>
      </c>
      <c r="O334" s="3" t="s">
        <v>244</v>
      </c>
      <c r="P334" s="3" t="s">
        <v>97</v>
      </c>
      <c r="Q334" s="2" t="s">
        <v>5729</v>
      </c>
      <c r="R334" s="3" t="s">
        <v>1334</v>
      </c>
    </row>
    <row r="335" spans="1:18" x14ac:dyDescent="0.25">
      <c r="A335" s="2">
        <v>19544</v>
      </c>
      <c r="B335" s="3" t="s">
        <v>1335</v>
      </c>
      <c r="C335" s="2" t="s">
        <v>3919</v>
      </c>
      <c r="D335" s="2" t="s">
        <v>338</v>
      </c>
      <c r="E335" s="3" t="s">
        <v>1174</v>
      </c>
      <c r="F335" s="3" t="s">
        <v>1290</v>
      </c>
      <c r="G335" s="2" t="s">
        <v>4804</v>
      </c>
      <c r="H335" s="2" t="s">
        <v>4817</v>
      </c>
      <c r="I335" s="3" t="s">
        <v>1296</v>
      </c>
      <c r="J335" s="3" t="s">
        <v>1325</v>
      </c>
      <c r="K335" s="3" t="s">
        <v>1336</v>
      </c>
      <c r="L335" s="3" t="s">
        <v>338</v>
      </c>
      <c r="M335" s="3" t="s">
        <v>95</v>
      </c>
      <c r="N335" s="2">
        <v>2004</v>
      </c>
      <c r="O335" s="3" t="s">
        <v>244</v>
      </c>
      <c r="P335" s="3" t="s">
        <v>97</v>
      </c>
      <c r="Q335" s="2" t="s">
        <v>5730</v>
      </c>
      <c r="R335" s="3" t="s">
        <v>1337</v>
      </c>
    </row>
    <row r="336" spans="1:18" x14ac:dyDescent="0.25">
      <c r="A336" s="2">
        <v>12339</v>
      </c>
      <c r="B336" s="3" t="s">
        <v>1338</v>
      </c>
      <c r="C336" s="2" t="s">
        <v>3920</v>
      </c>
      <c r="D336" s="2" t="s">
        <v>338</v>
      </c>
      <c r="E336" s="3" t="s">
        <v>1174</v>
      </c>
      <c r="F336" s="3" t="s">
        <v>1290</v>
      </c>
      <c r="G336" s="2" t="s">
        <v>4804</v>
      </c>
      <c r="H336" s="2" t="s">
        <v>4818</v>
      </c>
      <c r="I336" s="3" t="s">
        <v>1291</v>
      </c>
      <c r="J336" s="3" t="s">
        <v>1321</v>
      </c>
      <c r="K336" s="3" t="s">
        <v>1339</v>
      </c>
      <c r="L336" s="3" t="s">
        <v>338</v>
      </c>
      <c r="M336" s="3" t="s">
        <v>95</v>
      </c>
      <c r="N336" s="2">
        <v>2004</v>
      </c>
      <c r="O336" s="3" t="s">
        <v>244</v>
      </c>
      <c r="P336" s="3" t="s">
        <v>97</v>
      </c>
      <c r="Q336" s="2" t="s">
        <v>5731</v>
      </c>
      <c r="R336" s="3" t="s">
        <v>1340</v>
      </c>
    </row>
    <row r="337" spans="1:18" x14ac:dyDescent="0.25">
      <c r="A337" s="2">
        <v>21951</v>
      </c>
      <c r="B337" s="3" t="s">
        <v>1341</v>
      </c>
      <c r="C337" s="2" t="s">
        <v>3921</v>
      </c>
      <c r="D337" s="2" t="s">
        <v>338</v>
      </c>
      <c r="E337" s="3" t="s">
        <v>1174</v>
      </c>
      <c r="F337" s="3" t="s">
        <v>1290</v>
      </c>
      <c r="G337" s="2" t="s">
        <v>4804</v>
      </c>
      <c r="H337" s="2" t="s">
        <v>4819</v>
      </c>
      <c r="I337" s="3" t="s">
        <v>1291</v>
      </c>
      <c r="J337" s="3" t="s">
        <v>138</v>
      </c>
      <c r="K337" s="3" t="s">
        <v>1300</v>
      </c>
      <c r="L337" s="3" t="s">
        <v>338</v>
      </c>
      <c r="M337" s="3" t="s">
        <v>95</v>
      </c>
      <c r="N337" s="2">
        <v>2004</v>
      </c>
      <c r="O337" s="3" t="s">
        <v>244</v>
      </c>
      <c r="P337" s="3" t="s">
        <v>97</v>
      </c>
      <c r="Q337" s="2" t="s">
        <v>5732</v>
      </c>
      <c r="R337" s="3" t="s">
        <v>1342</v>
      </c>
    </row>
    <row r="338" spans="1:18" x14ac:dyDescent="0.25">
      <c r="A338" s="2">
        <v>17478</v>
      </c>
      <c r="B338" s="3" t="s">
        <v>1343</v>
      </c>
      <c r="C338" s="2" t="s">
        <v>3922</v>
      </c>
      <c r="D338" s="2" t="s">
        <v>338</v>
      </c>
      <c r="E338" s="3" t="s">
        <v>1174</v>
      </c>
      <c r="F338" s="3" t="s">
        <v>1344</v>
      </c>
      <c r="G338" s="2" t="s">
        <v>4804</v>
      </c>
      <c r="H338" s="2" t="s">
        <v>4820</v>
      </c>
      <c r="I338" s="3" t="s">
        <v>1345</v>
      </c>
      <c r="J338" s="3" t="s">
        <v>138</v>
      </c>
      <c r="K338" s="3" t="s">
        <v>1346</v>
      </c>
      <c r="L338" s="3" t="s">
        <v>338</v>
      </c>
      <c r="M338" s="3" t="s">
        <v>95</v>
      </c>
      <c r="N338" s="2">
        <v>1673</v>
      </c>
      <c r="O338" s="3" t="s">
        <v>244</v>
      </c>
      <c r="P338" s="3" t="s">
        <v>97</v>
      </c>
      <c r="Q338" s="2" t="s">
        <v>5733</v>
      </c>
      <c r="R338" s="3" t="s">
        <v>1347</v>
      </c>
    </row>
    <row r="339" spans="1:18" x14ac:dyDescent="0.25">
      <c r="A339" s="2">
        <v>18423</v>
      </c>
      <c r="B339" s="3" t="s">
        <v>1348</v>
      </c>
      <c r="C339" s="2" t="s">
        <v>3923</v>
      </c>
      <c r="D339" s="2" t="s">
        <v>338</v>
      </c>
      <c r="E339" s="3" t="s">
        <v>1174</v>
      </c>
      <c r="F339" s="3" t="s">
        <v>1344</v>
      </c>
      <c r="G339" s="2" t="s">
        <v>4821</v>
      </c>
      <c r="H339" s="2" t="s">
        <v>4822</v>
      </c>
      <c r="I339" s="3" t="s">
        <v>1349</v>
      </c>
      <c r="J339" s="3" t="s">
        <v>1350</v>
      </c>
      <c r="K339" s="3" t="s">
        <v>1351</v>
      </c>
      <c r="L339" s="3" t="s">
        <v>338</v>
      </c>
      <c r="M339" s="3" t="s">
        <v>95</v>
      </c>
      <c r="N339" s="2">
        <v>1673</v>
      </c>
      <c r="O339" s="3" t="s">
        <v>244</v>
      </c>
      <c r="P339" s="3" t="s">
        <v>97</v>
      </c>
      <c r="Q339" s="2" t="s">
        <v>5734</v>
      </c>
      <c r="R339" s="3" t="s">
        <v>1352</v>
      </c>
    </row>
    <row r="340" spans="1:18" x14ac:dyDescent="0.25">
      <c r="A340" s="2">
        <v>26783</v>
      </c>
      <c r="B340" s="3" t="s">
        <v>1353</v>
      </c>
      <c r="C340" s="2" t="s">
        <v>3924</v>
      </c>
      <c r="D340" s="2" t="s">
        <v>338</v>
      </c>
      <c r="E340" s="3" t="s">
        <v>1174</v>
      </c>
      <c r="F340" s="3" t="s">
        <v>1344</v>
      </c>
      <c r="G340" s="2" t="s">
        <v>4804</v>
      </c>
      <c r="H340" s="2" t="s">
        <v>4823</v>
      </c>
      <c r="I340" s="3" t="s">
        <v>1354</v>
      </c>
      <c r="J340" s="3" t="s">
        <v>1325</v>
      </c>
      <c r="K340" s="3" t="s">
        <v>1355</v>
      </c>
      <c r="L340" s="3" t="s">
        <v>338</v>
      </c>
      <c r="M340" s="3" t="s">
        <v>95</v>
      </c>
      <c r="N340" s="2">
        <v>1673</v>
      </c>
      <c r="O340" s="3" t="s">
        <v>244</v>
      </c>
      <c r="P340" s="3" t="s">
        <v>97</v>
      </c>
      <c r="Q340" s="2" t="s">
        <v>5735</v>
      </c>
      <c r="R340" s="3" t="s">
        <v>1356</v>
      </c>
    </row>
    <row r="341" spans="1:18" x14ac:dyDescent="0.25">
      <c r="A341" s="2">
        <v>23008</v>
      </c>
      <c r="B341" s="3" t="s">
        <v>1357</v>
      </c>
      <c r="C341" s="2" t="s">
        <v>3925</v>
      </c>
      <c r="D341" s="2" t="s">
        <v>338</v>
      </c>
      <c r="E341" s="3" t="s">
        <v>1174</v>
      </c>
      <c r="F341" s="3" t="s">
        <v>1344</v>
      </c>
      <c r="G341" s="2" t="s">
        <v>4824</v>
      </c>
      <c r="H341" s="2" t="s">
        <v>4825</v>
      </c>
      <c r="I341" s="3" t="s">
        <v>1358</v>
      </c>
      <c r="J341" s="3" t="s">
        <v>1359</v>
      </c>
      <c r="K341" s="3" t="s">
        <v>1360</v>
      </c>
      <c r="L341" s="3" t="s">
        <v>338</v>
      </c>
      <c r="M341" s="3" t="s">
        <v>95</v>
      </c>
      <c r="N341" s="2">
        <v>1673</v>
      </c>
      <c r="O341" s="3" t="s">
        <v>271</v>
      </c>
      <c r="P341" s="3" t="s">
        <v>97</v>
      </c>
      <c r="Q341" s="2" t="s">
        <v>5736</v>
      </c>
      <c r="R341" s="3" t="s">
        <v>1361</v>
      </c>
    </row>
    <row r="342" spans="1:18" x14ac:dyDescent="0.25">
      <c r="A342" s="2">
        <v>31924</v>
      </c>
      <c r="B342" s="3" t="s">
        <v>1362</v>
      </c>
      <c r="C342" s="2" t="s">
        <v>3926</v>
      </c>
      <c r="D342" s="2" t="s">
        <v>338</v>
      </c>
      <c r="E342" s="3" t="s">
        <v>1174</v>
      </c>
      <c r="F342" s="3" t="s">
        <v>1344</v>
      </c>
      <c r="G342" s="2" t="s">
        <v>4824</v>
      </c>
      <c r="H342" s="2" t="s">
        <v>4826</v>
      </c>
      <c r="I342" s="3" t="s">
        <v>1363</v>
      </c>
      <c r="J342" s="3" t="s">
        <v>138</v>
      </c>
      <c r="K342" s="3" t="s">
        <v>1364</v>
      </c>
      <c r="L342" s="3" t="s">
        <v>338</v>
      </c>
      <c r="M342" s="3" t="s">
        <v>95</v>
      </c>
      <c r="N342" s="2">
        <v>1673</v>
      </c>
      <c r="O342" s="3" t="s">
        <v>271</v>
      </c>
      <c r="P342" s="3" t="s">
        <v>97</v>
      </c>
      <c r="Q342" s="2" t="s">
        <v>5737</v>
      </c>
      <c r="R342" s="3" t="s">
        <v>1365</v>
      </c>
    </row>
    <row r="343" spans="1:18" x14ac:dyDescent="0.25">
      <c r="A343" s="2">
        <v>38196</v>
      </c>
      <c r="B343" s="3" t="s">
        <v>1366</v>
      </c>
      <c r="C343" s="2" t="s">
        <v>3927</v>
      </c>
      <c r="D343" s="2" t="s">
        <v>338</v>
      </c>
      <c r="E343" s="3" t="s">
        <v>1174</v>
      </c>
      <c r="F343" s="3" t="s">
        <v>1344</v>
      </c>
      <c r="G343" s="2" t="s">
        <v>4804</v>
      </c>
      <c r="H343" s="2" t="s">
        <v>4827</v>
      </c>
      <c r="I343" s="3" t="s">
        <v>1345</v>
      </c>
      <c r="J343" s="3" t="s">
        <v>1367</v>
      </c>
      <c r="K343" s="3" t="s">
        <v>1368</v>
      </c>
      <c r="L343" s="3" t="s">
        <v>338</v>
      </c>
      <c r="M343" s="3" t="s">
        <v>95</v>
      </c>
      <c r="N343" s="2">
        <v>1673</v>
      </c>
      <c r="O343" s="3" t="s">
        <v>244</v>
      </c>
      <c r="P343" s="3" t="s">
        <v>97</v>
      </c>
      <c r="Q343" s="2" t="s">
        <v>5738</v>
      </c>
      <c r="R343" s="3" t="s">
        <v>1369</v>
      </c>
    </row>
    <row r="344" spans="1:18" x14ac:dyDescent="0.25">
      <c r="A344" s="2">
        <v>38000</v>
      </c>
      <c r="B344" s="3" t="s">
        <v>1370</v>
      </c>
      <c r="C344" s="2" t="s">
        <v>3928</v>
      </c>
      <c r="D344" s="2" t="s">
        <v>338</v>
      </c>
      <c r="E344" s="3" t="s">
        <v>1174</v>
      </c>
      <c r="F344" s="3" t="s">
        <v>1344</v>
      </c>
      <c r="G344" s="2" t="s">
        <v>4821</v>
      </c>
      <c r="H344" s="2" t="s">
        <v>4828</v>
      </c>
      <c r="I344" s="3" t="s">
        <v>1371</v>
      </c>
      <c r="J344" s="3" t="s">
        <v>1372</v>
      </c>
      <c r="K344" s="3" t="s">
        <v>1373</v>
      </c>
      <c r="L344" s="3" t="s">
        <v>338</v>
      </c>
      <c r="M344" s="3" t="s">
        <v>95</v>
      </c>
      <c r="N344" s="2">
        <v>1673</v>
      </c>
      <c r="O344" s="3" t="s">
        <v>271</v>
      </c>
      <c r="P344" s="3" t="s">
        <v>97</v>
      </c>
      <c r="Q344" s="2" t="s">
        <v>5739</v>
      </c>
      <c r="R344" s="3" t="s">
        <v>1374</v>
      </c>
    </row>
    <row r="345" spans="1:18" x14ac:dyDescent="0.25">
      <c r="A345" s="2">
        <v>19113</v>
      </c>
      <c r="B345" s="3" t="s">
        <v>1375</v>
      </c>
      <c r="C345" s="2" t="s">
        <v>3929</v>
      </c>
      <c r="D345" s="2" t="s">
        <v>338</v>
      </c>
      <c r="E345" s="3" t="s">
        <v>1174</v>
      </c>
      <c r="F345" s="3" t="s">
        <v>1344</v>
      </c>
      <c r="G345" s="2" t="s">
        <v>4824</v>
      </c>
      <c r="H345" s="2" t="s">
        <v>4829</v>
      </c>
      <c r="I345" s="3" t="s">
        <v>1358</v>
      </c>
      <c r="J345" s="3" t="s">
        <v>138</v>
      </c>
      <c r="K345" s="3" t="s">
        <v>1376</v>
      </c>
      <c r="L345" s="3" t="s">
        <v>338</v>
      </c>
      <c r="M345" s="3" t="s">
        <v>95</v>
      </c>
      <c r="N345" s="2">
        <v>1673</v>
      </c>
      <c r="O345" s="3" t="s">
        <v>271</v>
      </c>
      <c r="P345" s="3" t="s">
        <v>97</v>
      </c>
      <c r="Q345" s="2" t="s">
        <v>5740</v>
      </c>
      <c r="R345" s="3" t="s">
        <v>1377</v>
      </c>
    </row>
    <row r="346" spans="1:18" x14ac:dyDescent="0.25">
      <c r="A346" s="2">
        <v>17656</v>
      </c>
      <c r="B346" s="3" t="s">
        <v>1378</v>
      </c>
      <c r="C346" s="2" t="s">
        <v>3930</v>
      </c>
      <c r="D346" s="2" t="s">
        <v>338</v>
      </c>
      <c r="E346" s="3" t="s">
        <v>1174</v>
      </c>
      <c r="F346" s="3" t="s">
        <v>1344</v>
      </c>
      <c r="G346" s="2" t="s">
        <v>4821</v>
      </c>
      <c r="H346" s="2" t="s">
        <v>4830</v>
      </c>
      <c r="I346" s="3" t="s">
        <v>1379</v>
      </c>
      <c r="J346" s="3" t="s">
        <v>1380</v>
      </c>
      <c r="K346" s="3" t="s">
        <v>1381</v>
      </c>
      <c r="L346" s="3" t="s">
        <v>338</v>
      </c>
      <c r="M346" s="3" t="s">
        <v>95</v>
      </c>
      <c r="N346" s="2">
        <v>1673</v>
      </c>
      <c r="O346" s="3" t="s">
        <v>271</v>
      </c>
      <c r="P346" s="3" t="s">
        <v>97</v>
      </c>
      <c r="Q346" s="2" t="s">
        <v>5741</v>
      </c>
      <c r="R346" s="3" t="s">
        <v>1382</v>
      </c>
    </row>
    <row r="347" spans="1:18" x14ac:dyDescent="0.25">
      <c r="A347" s="2">
        <v>17223</v>
      </c>
      <c r="B347" s="3" t="s">
        <v>1383</v>
      </c>
      <c r="C347" s="2" t="s">
        <v>3931</v>
      </c>
      <c r="D347" s="2" t="s">
        <v>338</v>
      </c>
      <c r="E347" s="3" t="s">
        <v>1174</v>
      </c>
      <c r="F347" s="3" t="s">
        <v>1344</v>
      </c>
      <c r="G347" s="2" t="s">
        <v>4804</v>
      </c>
      <c r="H347" s="2" t="s">
        <v>4831</v>
      </c>
      <c r="I347" s="3" t="s">
        <v>1384</v>
      </c>
      <c r="J347" s="3" t="s">
        <v>138</v>
      </c>
      <c r="K347" s="3" t="s">
        <v>1385</v>
      </c>
      <c r="L347" s="3" t="s">
        <v>338</v>
      </c>
      <c r="M347" s="3" t="s">
        <v>95</v>
      </c>
      <c r="N347" s="2">
        <v>1673</v>
      </c>
      <c r="O347" s="3" t="s">
        <v>271</v>
      </c>
      <c r="P347" s="3" t="s">
        <v>97</v>
      </c>
      <c r="Q347" s="2" t="s">
        <v>5742</v>
      </c>
      <c r="R347" s="3" t="s">
        <v>1386</v>
      </c>
    </row>
    <row r="348" spans="1:18" x14ac:dyDescent="0.25">
      <c r="A348" s="2">
        <v>21742</v>
      </c>
      <c r="B348" s="3" t="s">
        <v>1387</v>
      </c>
      <c r="C348" s="2" t="s">
        <v>3932</v>
      </c>
      <c r="D348" s="2" t="s">
        <v>338</v>
      </c>
      <c r="E348" s="3" t="s">
        <v>1174</v>
      </c>
      <c r="F348" s="3" t="s">
        <v>1344</v>
      </c>
      <c r="G348" s="2" t="s">
        <v>4821</v>
      </c>
      <c r="H348" s="2" t="s">
        <v>4832</v>
      </c>
      <c r="I348" s="3" t="s">
        <v>1388</v>
      </c>
      <c r="J348" s="3" t="s">
        <v>1389</v>
      </c>
      <c r="K348" s="3" t="s">
        <v>1390</v>
      </c>
      <c r="L348" s="3" t="s">
        <v>338</v>
      </c>
      <c r="M348" s="3" t="s">
        <v>95</v>
      </c>
      <c r="N348" s="2">
        <v>1673</v>
      </c>
      <c r="O348" s="3" t="s">
        <v>271</v>
      </c>
      <c r="P348" s="3" t="s">
        <v>97</v>
      </c>
      <c r="Q348" s="2" t="s">
        <v>5743</v>
      </c>
      <c r="R348" s="3" t="s">
        <v>1391</v>
      </c>
    </row>
    <row r="349" spans="1:18" x14ac:dyDescent="0.25">
      <c r="A349" s="2">
        <v>17543</v>
      </c>
      <c r="B349" s="3" t="s">
        <v>1392</v>
      </c>
      <c r="C349" s="2" t="s">
        <v>3933</v>
      </c>
      <c r="D349" s="2" t="s">
        <v>338</v>
      </c>
      <c r="E349" s="3" t="s">
        <v>1174</v>
      </c>
      <c r="F349" s="3" t="s">
        <v>1344</v>
      </c>
      <c r="G349" s="2" t="s">
        <v>4804</v>
      </c>
      <c r="H349" s="2" t="s">
        <v>4833</v>
      </c>
      <c r="I349" s="3" t="s">
        <v>1393</v>
      </c>
      <c r="J349" s="3" t="s">
        <v>138</v>
      </c>
      <c r="K349" s="3" t="s">
        <v>1394</v>
      </c>
      <c r="L349" s="3" t="s">
        <v>338</v>
      </c>
      <c r="M349" s="3" t="s">
        <v>95</v>
      </c>
      <c r="N349" s="2">
        <v>1673</v>
      </c>
      <c r="O349" s="3" t="s">
        <v>244</v>
      </c>
      <c r="P349" s="3" t="s">
        <v>97</v>
      </c>
      <c r="Q349" s="2" t="s">
        <v>5744</v>
      </c>
      <c r="R349" s="3" t="s">
        <v>1395</v>
      </c>
    </row>
    <row r="350" spans="1:18" x14ac:dyDescent="0.25">
      <c r="A350" s="2">
        <v>39233</v>
      </c>
      <c r="B350" s="3" t="s">
        <v>1396</v>
      </c>
      <c r="C350" s="2" t="s">
        <v>3934</v>
      </c>
      <c r="D350" s="2" t="s">
        <v>338</v>
      </c>
      <c r="E350" s="3" t="s">
        <v>1174</v>
      </c>
      <c r="F350" s="3" t="s">
        <v>1344</v>
      </c>
      <c r="G350" s="2" t="s">
        <v>4804</v>
      </c>
      <c r="H350" s="2" t="s">
        <v>4834</v>
      </c>
      <c r="I350" s="3" t="s">
        <v>1397</v>
      </c>
      <c r="J350" s="3" t="s">
        <v>1398</v>
      </c>
      <c r="K350" s="3" t="s">
        <v>1399</v>
      </c>
      <c r="L350" s="3" t="s">
        <v>338</v>
      </c>
      <c r="M350" s="3" t="s">
        <v>95</v>
      </c>
      <c r="N350" s="2">
        <v>1673</v>
      </c>
      <c r="O350" s="3" t="s">
        <v>244</v>
      </c>
      <c r="P350" s="3" t="s">
        <v>97</v>
      </c>
      <c r="Q350" s="2" t="s">
        <v>5745</v>
      </c>
      <c r="R350" s="3" t="s">
        <v>1400</v>
      </c>
    </row>
    <row r="351" spans="1:18" x14ac:dyDescent="0.25">
      <c r="A351" s="2">
        <v>37187</v>
      </c>
      <c r="B351" s="3" t="s">
        <v>1401</v>
      </c>
      <c r="C351" s="2" t="s">
        <v>3935</v>
      </c>
      <c r="D351" s="2" t="s">
        <v>338</v>
      </c>
      <c r="E351" s="3" t="s">
        <v>1174</v>
      </c>
      <c r="F351" s="3" t="s">
        <v>1344</v>
      </c>
      <c r="G351" s="2" t="s">
        <v>4804</v>
      </c>
      <c r="H351" s="2" t="s">
        <v>4835</v>
      </c>
      <c r="I351" s="3" t="s">
        <v>1397</v>
      </c>
      <c r="J351" s="3" t="s">
        <v>1402</v>
      </c>
      <c r="K351" s="3" t="s">
        <v>1403</v>
      </c>
      <c r="L351" s="3" t="s">
        <v>338</v>
      </c>
      <c r="M351" s="3" t="s">
        <v>95</v>
      </c>
      <c r="N351" s="2">
        <v>1673</v>
      </c>
      <c r="O351" s="3" t="s">
        <v>244</v>
      </c>
      <c r="P351" s="3" t="s">
        <v>97</v>
      </c>
      <c r="Q351" s="2" t="s">
        <v>5746</v>
      </c>
      <c r="R351" s="3" t="s">
        <v>1404</v>
      </c>
    </row>
    <row r="352" spans="1:18" x14ac:dyDescent="0.25">
      <c r="A352" s="2">
        <v>38857</v>
      </c>
      <c r="B352" s="3" t="s">
        <v>1405</v>
      </c>
      <c r="C352" s="2" t="s">
        <v>3936</v>
      </c>
      <c r="D352" s="2" t="s">
        <v>338</v>
      </c>
      <c r="E352" s="3" t="s">
        <v>1174</v>
      </c>
      <c r="F352" s="3" t="s">
        <v>1344</v>
      </c>
      <c r="G352" s="2" t="s">
        <v>4824</v>
      </c>
      <c r="H352" s="2" t="s">
        <v>4836</v>
      </c>
      <c r="I352" s="3" t="s">
        <v>1406</v>
      </c>
      <c r="J352" s="3" t="s">
        <v>459</v>
      </c>
      <c r="K352" s="3" t="s">
        <v>1407</v>
      </c>
      <c r="L352" s="3" t="s">
        <v>338</v>
      </c>
      <c r="M352" s="3" t="s">
        <v>95</v>
      </c>
      <c r="N352" s="2">
        <v>1673</v>
      </c>
      <c r="O352" s="3" t="s">
        <v>271</v>
      </c>
      <c r="P352" s="3" t="s">
        <v>97</v>
      </c>
      <c r="Q352" s="2" t="s">
        <v>5747</v>
      </c>
      <c r="R352" s="3" t="s">
        <v>1408</v>
      </c>
    </row>
    <row r="353" spans="1:18" x14ac:dyDescent="0.25">
      <c r="A353" s="2">
        <v>22215</v>
      </c>
      <c r="B353" s="3" t="s">
        <v>1409</v>
      </c>
      <c r="C353" s="2" t="s">
        <v>3937</v>
      </c>
      <c r="D353" s="2" t="s">
        <v>338</v>
      </c>
      <c r="E353" s="3" t="s">
        <v>1174</v>
      </c>
      <c r="F353" s="3" t="s">
        <v>1344</v>
      </c>
      <c r="G353" s="2" t="s">
        <v>4804</v>
      </c>
      <c r="H353" s="2" t="s">
        <v>4837</v>
      </c>
      <c r="I353" s="3" t="s">
        <v>1410</v>
      </c>
      <c r="J353" s="3" t="s">
        <v>1411</v>
      </c>
      <c r="K353" s="3" t="s">
        <v>1412</v>
      </c>
      <c r="L353" s="3" t="s">
        <v>338</v>
      </c>
      <c r="M353" s="3" t="s">
        <v>20</v>
      </c>
      <c r="N353" s="2">
        <v>1673</v>
      </c>
      <c r="O353" s="3" t="s">
        <v>21</v>
      </c>
      <c r="P353" s="3" t="s">
        <v>22</v>
      </c>
      <c r="Q353" s="2" t="s">
        <v>5748</v>
      </c>
      <c r="R353" s="3" t="s">
        <v>1413</v>
      </c>
    </row>
    <row r="354" spans="1:18" x14ac:dyDescent="0.25">
      <c r="A354" s="2">
        <v>38717</v>
      </c>
      <c r="B354" s="3" t="s">
        <v>1414</v>
      </c>
      <c r="C354" s="2" t="s">
        <v>3938</v>
      </c>
      <c r="D354" s="2" t="s">
        <v>338</v>
      </c>
      <c r="E354" s="3" t="s">
        <v>1174</v>
      </c>
      <c r="F354" s="3" t="s">
        <v>1344</v>
      </c>
      <c r="G354" s="2" t="s">
        <v>4824</v>
      </c>
      <c r="H354" s="2" t="s">
        <v>4838</v>
      </c>
      <c r="I354" s="3" t="s">
        <v>1415</v>
      </c>
      <c r="J354" s="3" t="s">
        <v>138</v>
      </c>
      <c r="K354" s="3" t="s">
        <v>1416</v>
      </c>
      <c r="L354" s="3" t="s">
        <v>338</v>
      </c>
      <c r="M354" s="3" t="s">
        <v>95</v>
      </c>
      <c r="N354" s="2">
        <v>1673</v>
      </c>
      <c r="O354" s="3" t="s">
        <v>271</v>
      </c>
      <c r="P354" s="3" t="s">
        <v>97</v>
      </c>
      <c r="Q354" s="2" t="s">
        <v>5749</v>
      </c>
      <c r="R354" s="3" t="s">
        <v>1417</v>
      </c>
    </row>
    <row r="355" spans="1:18" x14ac:dyDescent="0.25">
      <c r="A355" s="2">
        <v>40793</v>
      </c>
      <c r="B355" s="3" t="s">
        <v>1418</v>
      </c>
      <c r="C355" s="2" t="s">
        <v>3939</v>
      </c>
      <c r="D355" s="2" t="s">
        <v>338</v>
      </c>
      <c r="E355" s="3" t="s">
        <v>1174</v>
      </c>
      <c r="F355" s="3" t="s">
        <v>1344</v>
      </c>
      <c r="G355" s="2" t="s">
        <v>4821</v>
      </c>
      <c r="H355" s="2" t="s">
        <v>4839</v>
      </c>
      <c r="I355" s="3" t="s">
        <v>1419</v>
      </c>
      <c r="J355" s="3" t="s">
        <v>1420</v>
      </c>
      <c r="K355" s="3" t="s">
        <v>1381</v>
      </c>
      <c r="L355" s="3" t="s">
        <v>338</v>
      </c>
      <c r="M355" s="3" t="s">
        <v>95</v>
      </c>
      <c r="N355" s="2">
        <v>1673</v>
      </c>
      <c r="O355" s="3" t="s">
        <v>271</v>
      </c>
      <c r="P355" s="3" t="s">
        <v>97</v>
      </c>
      <c r="Q355" s="2" t="s">
        <v>5750</v>
      </c>
      <c r="R355" s="3" t="s">
        <v>1421</v>
      </c>
    </row>
    <row r="356" spans="1:18" x14ac:dyDescent="0.25">
      <c r="A356" s="2">
        <v>38488</v>
      </c>
      <c r="B356" s="3" t="s">
        <v>1422</v>
      </c>
      <c r="C356" s="2" t="s">
        <v>3940</v>
      </c>
      <c r="D356" s="2" t="s">
        <v>338</v>
      </c>
      <c r="E356" s="3" t="s">
        <v>1174</v>
      </c>
      <c r="F356" s="3" t="s">
        <v>1344</v>
      </c>
      <c r="G356" s="2" t="s">
        <v>4804</v>
      </c>
      <c r="H356" s="2" t="s">
        <v>4840</v>
      </c>
      <c r="I356" s="3" t="s">
        <v>1423</v>
      </c>
      <c r="J356" s="3" t="s">
        <v>1424</v>
      </c>
      <c r="K356" s="3" t="s">
        <v>1425</v>
      </c>
      <c r="L356" s="3" t="s">
        <v>338</v>
      </c>
      <c r="M356" s="3" t="s">
        <v>95</v>
      </c>
      <c r="N356" s="2">
        <v>1673</v>
      </c>
      <c r="O356" s="3" t="s">
        <v>271</v>
      </c>
      <c r="P356" s="3" t="s">
        <v>97</v>
      </c>
      <c r="Q356" s="2" t="s">
        <v>5751</v>
      </c>
      <c r="R356" s="3" t="s">
        <v>1426</v>
      </c>
    </row>
    <row r="357" spans="1:18" x14ac:dyDescent="0.25">
      <c r="A357" s="2">
        <v>19081</v>
      </c>
      <c r="B357" s="3" t="s">
        <v>1427</v>
      </c>
      <c r="C357" s="2" t="s">
        <v>3941</v>
      </c>
      <c r="D357" s="2" t="s">
        <v>338</v>
      </c>
      <c r="E357" s="3" t="s">
        <v>1174</v>
      </c>
      <c r="F357" s="3" t="s">
        <v>1344</v>
      </c>
      <c r="G357" s="2" t="s">
        <v>4804</v>
      </c>
      <c r="H357" s="2" t="s">
        <v>4841</v>
      </c>
      <c r="I357" s="3" t="s">
        <v>1345</v>
      </c>
      <c r="J357" s="3" t="s">
        <v>138</v>
      </c>
      <c r="K357" s="3" t="s">
        <v>1428</v>
      </c>
      <c r="L357" s="3" t="s">
        <v>338</v>
      </c>
      <c r="M357" s="3" t="s">
        <v>95</v>
      </c>
      <c r="N357" s="2">
        <v>1673</v>
      </c>
      <c r="O357" s="3" t="s">
        <v>244</v>
      </c>
      <c r="P357" s="3" t="s">
        <v>97</v>
      </c>
      <c r="Q357" s="2" t="s">
        <v>5752</v>
      </c>
      <c r="R357" s="3" t="s">
        <v>1429</v>
      </c>
    </row>
    <row r="358" spans="1:18" x14ac:dyDescent="0.25">
      <c r="A358" s="2">
        <v>38037</v>
      </c>
      <c r="B358" s="3" t="s">
        <v>1430</v>
      </c>
      <c r="C358" s="2" t="s">
        <v>3942</v>
      </c>
      <c r="D358" s="2" t="s">
        <v>338</v>
      </c>
      <c r="E358" s="3" t="s">
        <v>1174</v>
      </c>
      <c r="F358" s="3" t="s">
        <v>1344</v>
      </c>
      <c r="G358" s="2" t="s">
        <v>4804</v>
      </c>
      <c r="H358" s="2" t="s">
        <v>4842</v>
      </c>
      <c r="I358" s="3" t="s">
        <v>1431</v>
      </c>
      <c r="J358" s="3" t="s">
        <v>1432</v>
      </c>
      <c r="K358" s="3" t="s">
        <v>1433</v>
      </c>
      <c r="L358" s="3" t="s">
        <v>338</v>
      </c>
      <c r="M358" s="3" t="s">
        <v>95</v>
      </c>
      <c r="N358" s="2">
        <v>1673</v>
      </c>
      <c r="O358" s="3" t="s">
        <v>244</v>
      </c>
      <c r="P358" s="3" t="s">
        <v>97</v>
      </c>
      <c r="Q358" s="2" t="s">
        <v>5753</v>
      </c>
      <c r="R358" s="3" t="s">
        <v>1434</v>
      </c>
    </row>
    <row r="359" spans="1:18" x14ac:dyDescent="0.25">
      <c r="A359" s="2">
        <v>38563</v>
      </c>
      <c r="B359" s="3" t="s">
        <v>1435</v>
      </c>
      <c r="C359" s="2" t="s">
        <v>3943</v>
      </c>
      <c r="D359" s="2" t="s">
        <v>338</v>
      </c>
      <c r="E359" s="3" t="s">
        <v>1174</v>
      </c>
      <c r="F359" s="3" t="s">
        <v>1344</v>
      </c>
      <c r="G359" s="2" t="s">
        <v>4821</v>
      </c>
      <c r="H359" s="2" t="s">
        <v>4843</v>
      </c>
      <c r="I359" s="3" t="s">
        <v>1419</v>
      </c>
      <c r="J359" s="3" t="s">
        <v>1436</v>
      </c>
      <c r="K359" s="3" t="s">
        <v>1381</v>
      </c>
      <c r="L359" s="3" t="s">
        <v>338</v>
      </c>
      <c r="M359" s="3" t="s">
        <v>95</v>
      </c>
      <c r="N359" s="2">
        <v>1673</v>
      </c>
      <c r="O359" s="3" t="s">
        <v>271</v>
      </c>
      <c r="P359" s="3" t="s">
        <v>97</v>
      </c>
      <c r="Q359" s="2" t="s">
        <v>5754</v>
      </c>
      <c r="R359" s="3" t="s">
        <v>1437</v>
      </c>
    </row>
    <row r="360" spans="1:18" x14ac:dyDescent="0.25">
      <c r="A360" s="2">
        <v>38553</v>
      </c>
      <c r="B360" s="3" t="s">
        <v>1438</v>
      </c>
      <c r="C360" s="2" t="s">
        <v>3944</v>
      </c>
      <c r="D360" s="2" t="s">
        <v>338</v>
      </c>
      <c r="E360" s="3" t="s">
        <v>1174</v>
      </c>
      <c r="F360" s="3" t="s">
        <v>1344</v>
      </c>
      <c r="G360" s="2" t="s">
        <v>4804</v>
      </c>
      <c r="H360" s="2" t="s">
        <v>4844</v>
      </c>
      <c r="I360" s="3" t="s">
        <v>1345</v>
      </c>
      <c r="J360" s="3" t="s">
        <v>1439</v>
      </c>
      <c r="K360" s="3" t="s">
        <v>1440</v>
      </c>
      <c r="L360" s="3" t="s">
        <v>338</v>
      </c>
      <c r="M360" s="3" t="s">
        <v>95</v>
      </c>
      <c r="N360" s="2">
        <v>1673</v>
      </c>
      <c r="O360" s="3" t="s">
        <v>244</v>
      </c>
      <c r="P360" s="3" t="s">
        <v>97</v>
      </c>
      <c r="Q360" s="2" t="s">
        <v>5755</v>
      </c>
      <c r="R360" s="3" t="s">
        <v>1441</v>
      </c>
    </row>
    <row r="361" spans="1:18" x14ac:dyDescent="0.25">
      <c r="A361" s="2">
        <v>20688</v>
      </c>
      <c r="B361" s="3" t="s">
        <v>1442</v>
      </c>
      <c r="C361" s="2" t="s">
        <v>3945</v>
      </c>
      <c r="D361" s="2" t="s">
        <v>338</v>
      </c>
      <c r="E361" s="3" t="s">
        <v>1174</v>
      </c>
      <c r="F361" s="3" t="s">
        <v>1344</v>
      </c>
      <c r="G361" s="2" t="s">
        <v>4804</v>
      </c>
      <c r="H361" s="2" t="s">
        <v>4845</v>
      </c>
      <c r="I361" s="3" t="s">
        <v>1354</v>
      </c>
      <c r="J361" s="3" t="s">
        <v>1443</v>
      </c>
      <c r="K361" s="3" t="s">
        <v>1444</v>
      </c>
      <c r="L361" s="3" t="s">
        <v>338</v>
      </c>
      <c r="M361" s="3" t="s">
        <v>95</v>
      </c>
      <c r="N361" s="2">
        <v>1673</v>
      </c>
      <c r="O361" s="3" t="s">
        <v>244</v>
      </c>
      <c r="P361" s="3" t="s">
        <v>97</v>
      </c>
      <c r="Q361" s="2" t="s">
        <v>5756</v>
      </c>
      <c r="R361" s="3" t="s">
        <v>1445</v>
      </c>
    </row>
    <row r="362" spans="1:18" x14ac:dyDescent="0.25">
      <c r="A362" s="2">
        <v>10366</v>
      </c>
      <c r="B362" s="3" t="s">
        <v>1446</v>
      </c>
      <c r="C362" s="2" t="s">
        <v>3946</v>
      </c>
      <c r="D362" s="2" t="s">
        <v>338</v>
      </c>
      <c r="E362" s="3" t="s">
        <v>1174</v>
      </c>
      <c r="F362" s="3" t="s">
        <v>1344</v>
      </c>
      <c r="G362" s="2" t="s">
        <v>4824</v>
      </c>
      <c r="H362" s="2" t="s">
        <v>4846</v>
      </c>
      <c r="I362" s="3" t="s">
        <v>1358</v>
      </c>
      <c r="J362" s="3" t="s">
        <v>1447</v>
      </c>
      <c r="K362" s="3" t="s">
        <v>1448</v>
      </c>
      <c r="L362" s="3" t="s">
        <v>338</v>
      </c>
      <c r="M362" s="3" t="s">
        <v>95</v>
      </c>
      <c r="N362" s="2">
        <v>1673</v>
      </c>
      <c r="O362" s="3" t="s">
        <v>271</v>
      </c>
      <c r="P362" s="3" t="s">
        <v>97</v>
      </c>
      <c r="Q362" s="2" t="s">
        <v>5757</v>
      </c>
      <c r="R362" s="3" t="s">
        <v>1449</v>
      </c>
    </row>
    <row r="363" spans="1:18" x14ac:dyDescent="0.25">
      <c r="A363" s="2">
        <v>31694</v>
      </c>
      <c r="B363" s="3" t="s">
        <v>1450</v>
      </c>
      <c r="C363" s="2" t="s">
        <v>3947</v>
      </c>
      <c r="D363" s="2" t="s">
        <v>338</v>
      </c>
      <c r="E363" s="3" t="s">
        <v>1174</v>
      </c>
      <c r="F363" s="3" t="s">
        <v>1344</v>
      </c>
      <c r="G363" s="2" t="s">
        <v>4804</v>
      </c>
      <c r="H363" s="2" t="s">
        <v>4847</v>
      </c>
      <c r="I363" s="3" t="s">
        <v>1451</v>
      </c>
      <c r="J363" s="3" t="s">
        <v>1398</v>
      </c>
      <c r="K363" s="3" t="s">
        <v>1452</v>
      </c>
      <c r="L363" s="3" t="s">
        <v>338</v>
      </c>
      <c r="M363" s="3" t="s">
        <v>95</v>
      </c>
      <c r="N363" s="2">
        <v>1673</v>
      </c>
      <c r="O363" s="3" t="s">
        <v>244</v>
      </c>
      <c r="P363" s="3" t="s">
        <v>97</v>
      </c>
      <c r="Q363" s="2" t="s">
        <v>5758</v>
      </c>
      <c r="R363" s="3" t="s">
        <v>1453</v>
      </c>
    </row>
    <row r="364" spans="1:18" x14ac:dyDescent="0.25">
      <c r="A364" s="2">
        <v>39817</v>
      </c>
      <c r="B364" s="3" t="s">
        <v>1454</v>
      </c>
      <c r="C364" s="2" t="s">
        <v>3948</v>
      </c>
      <c r="D364" s="2" t="s">
        <v>338</v>
      </c>
      <c r="E364" s="3" t="s">
        <v>1174</v>
      </c>
      <c r="F364" s="3" t="s">
        <v>1344</v>
      </c>
      <c r="G364" s="2" t="s">
        <v>4804</v>
      </c>
      <c r="H364" s="2" t="s">
        <v>4848</v>
      </c>
      <c r="I364" s="3" t="s">
        <v>1451</v>
      </c>
      <c r="J364" s="3" t="s">
        <v>1455</v>
      </c>
      <c r="K364" s="3" t="s">
        <v>1456</v>
      </c>
      <c r="L364" s="3" t="s">
        <v>338</v>
      </c>
      <c r="M364" s="3" t="s">
        <v>95</v>
      </c>
      <c r="N364" s="2">
        <v>1673</v>
      </c>
      <c r="O364" s="3" t="s">
        <v>244</v>
      </c>
      <c r="P364" s="3" t="s">
        <v>97</v>
      </c>
      <c r="Q364" s="2" t="s">
        <v>5759</v>
      </c>
      <c r="R364" s="3" t="s">
        <v>1457</v>
      </c>
    </row>
    <row r="365" spans="1:18" x14ac:dyDescent="0.25">
      <c r="A365" s="2">
        <v>37682</v>
      </c>
      <c r="B365" s="3" t="s">
        <v>1458</v>
      </c>
      <c r="C365" s="2" t="s">
        <v>3949</v>
      </c>
      <c r="D365" s="2" t="s">
        <v>338</v>
      </c>
      <c r="E365" s="3" t="s">
        <v>1174</v>
      </c>
      <c r="F365" s="3" t="s">
        <v>1344</v>
      </c>
      <c r="G365" s="2" t="s">
        <v>4804</v>
      </c>
      <c r="H365" s="2" t="s">
        <v>4849</v>
      </c>
      <c r="I365" s="3" t="s">
        <v>1354</v>
      </c>
      <c r="J365" s="3" t="s">
        <v>1459</v>
      </c>
      <c r="K365" s="3" t="s">
        <v>1444</v>
      </c>
      <c r="L365" s="3" t="s">
        <v>338</v>
      </c>
      <c r="M365" s="3" t="s">
        <v>95</v>
      </c>
      <c r="N365" s="2">
        <v>1673</v>
      </c>
      <c r="O365" s="3" t="s">
        <v>244</v>
      </c>
      <c r="P365" s="3" t="s">
        <v>97</v>
      </c>
      <c r="Q365" s="2" t="s">
        <v>5760</v>
      </c>
      <c r="R365" s="3" t="s">
        <v>1460</v>
      </c>
    </row>
    <row r="366" spans="1:18" x14ac:dyDescent="0.25">
      <c r="A366" s="2">
        <v>9923</v>
      </c>
      <c r="B366" s="3" t="s">
        <v>1461</v>
      </c>
      <c r="C366" s="2" t="s">
        <v>3950</v>
      </c>
      <c r="D366" s="2" t="s">
        <v>338</v>
      </c>
      <c r="E366" s="3" t="s">
        <v>1174</v>
      </c>
      <c r="F366" s="3" t="s">
        <v>1344</v>
      </c>
      <c r="G366" s="2" t="s">
        <v>4824</v>
      </c>
      <c r="H366" s="2" t="s">
        <v>4850</v>
      </c>
      <c r="I366" s="3" t="s">
        <v>1358</v>
      </c>
      <c r="J366" s="3" t="s">
        <v>1462</v>
      </c>
      <c r="K366" s="3" t="s">
        <v>1463</v>
      </c>
      <c r="L366" s="3" t="s">
        <v>338</v>
      </c>
      <c r="M366" s="3" t="s">
        <v>95</v>
      </c>
      <c r="N366" s="2">
        <v>1673</v>
      </c>
      <c r="O366" s="3" t="s">
        <v>271</v>
      </c>
      <c r="P366" s="3" t="s">
        <v>97</v>
      </c>
      <c r="Q366" s="2" t="s">
        <v>5761</v>
      </c>
      <c r="R366" s="3" t="s">
        <v>1464</v>
      </c>
    </row>
    <row r="367" spans="1:18" x14ac:dyDescent="0.25">
      <c r="A367" s="2">
        <v>19926</v>
      </c>
      <c r="B367" s="3" t="s">
        <v>1465</v>
      </c>
      <c r="C367" s="2" t="s">
        <v>3951</v>
      </c>
      <c r="D367" s="2" t="s">
        <v>338</v>
      </c>
      <c r="E367" s="3" t="s">
        <v>1174</v>
      </c>
      <c r="F367" s="3" t="s">
        <v>1344</v>
      </c>
      <c r="G367" s="2" t="s">
        <v>4804</v>
      </c>
      <c r="H367" s="2" t="s">
        <v>4851</v>
      </c>
      <c r="I367" s="3" t="s">
        <v>1466</v>
      </c>
      <c r="J367" s="3" t="s">
        <v>138</v>
      </c>
      <c r="K367" s="3" t="s">
        <v>1467</v>
      </c>
      <c r="L367" s="3" t="s">
        <v>338</v>
      </c>
      <c r="M367" s="3" t="s">
        <v>95</v>
      </c>
      <c r="N367" s="2">
        <v>1673</v>
      </c>
      <c r="O367" s="3" t="s">
        <v>244</v>
      </c>
      <c r="P367" s="3" t="s">
        <v>97</v>
      </c>
      <c r="Q367" s="2" t="s">
        <v>5762</v>
      </c>
      <c r="R367" s="3" t="s">
        <v>1468</v>
      </c>
    </row>
    <row r="368" spans="1:18" x14ac:dyDescent="0.25">
      <c r="A368" s="2">
        <v>27121</v>
      </c>
      <c r="B368" s="3" t="s">
        <v>1469</v>
      </c>
      <c r="C368" s="2" t="s">
        <v>3952</v>
      </c>
      <c r="D368" s="2" t="s">
        <v>338</v>
      </c>
      <c r="E368" s="3" t="s">
        <v>1174</v>
      </c>
      <c r="F368" s="3" t="s">
        <v>1344</v>
      </c>
      <c r="G368" s="2" t="s">
        <v>4824</v>
      </c>
      <c r="H368" s="2" t="s">
        <v>4852</v>
      </c>
      <c r="I368" s="3" t="s">
        <v>1358</v>
      </c>
      <c r="J368" s="3" t="s">
        <v>1470</v>
      </c>
      <c r="K368" s="3" t="s">
        <v>1471</v>
      </c>
      <c r="L368" s="3" t="s">
        <v>338</v>
      </c>
      <c r="M368" s="3" t="s">
        <v>95</v>
      </c>
      <c r="N368" s="2">
        <v>1673</v>
      </c>
      <c r="O368" s="3" t="s">
        <v>271</v>
      </c>
      <c r="P368" s="3" t="s">
        <v>97</v>
      </c>
      <c r="Q368" s="2" t="s">
        <v>5763</v>
      </c>
      <c r="R368" s="3" t="s">
        <v>1472</v>
      </c>
    </row>
    <row r="369" spans="1:18" x14ac:dyDescent="0.25">
      <c r="A369" s="2">
        <v>17655</v>
      </c>
      <c r="B369" s="3" t="s">
        <v>1473</v>
      </c>
      <c r="C369" s="2" t="s">
        <v>3953</v>
      </c>
      <c r="D369" s="2" t="s">
        <v>338</v>
      </c>
      <c r="E369" s="3" t="s">
        <v>1174</v>
      </c>
      <c r="F369" s="3" t="s">
        <v>1344</v>
      </c>
      <c r="G369" s="2" t="s">
        <v>4821</v>
      </c>
      <c r="H369" s="2" t="s">
        <v>4853</v>
      </c>
      <c r="I369" s="3" t="s">
        <v>1379</v>
      </c>
      <c r="J369" s="3" t="s">
        <v>1380</v>
      </c>
      <c r="K369" s="3" t="s">
        <v>1381</v>
      </c>
      <c r="L369" s="3" t="s">
        <v>338</v>
      </c>
      <c r="M369" s="3" t="s">
        <v>95</v>
      </c>
      <c r="N369" s="2">
        <v>1673</v>
      </c>
      <c r="O369" s="3" t="s">
        <v>271</v>
      </c>
      <c r="P369" s="3" t="s">
        <v>97</v>
      </c>
      <c r="Q369" s="2" t="s">
        <v>5764</v>
      </c>
      <c r="R369" s="3" t="s">
        <v>1474</v>
      </c>
    </row>
    <row r="370" spans="1:18" x14ac:dyDescent="0.25">
      <c r="A370" s="2">
        <v>30205</v>
      </c>
      <c r="B370" s="3" t="s">
        <v>1475</v>
      </c>
      <c r="C370" s="2" t="s">
        <v>3954</v>
      </c>
      <c r="D370" s="2" t="s">
        <v>338</v>
      </c>
      <c r="E370" s="3" t="s">
        <v>1174</v>
      </c>
      <c r="F370" s="3" t="s">
        <v>1344</v>
      </c>
      <c r="G370" s="2" t="s">
        <v>4804</v>
      </c>
      <c r="H370" s="2" t="s">
        <v>4854</v>
      </c>
      <c r="I370" s="3" t="s">
        <v>1466</v>
      </c>
      <c r="J370" s="3" t="s">
        <v>138</v>
      </c>
      <c r="K370" s="3" t="s">
        <v>1467</v>
      </c>
      <c r="L370" s="3" t="s">
        <v>338</v>
      </c>
      <c r="M370" s="3" t="s">
        <v>95</v>
      </c>
      <c r="N370" s="2">
        <v>1673</v>
      </c>
      <c r="O370" s="3" t="s">
        <v>244</v>
      </c>
      <c r="P370" s="3" t="s">
        <v>97</v>
      </c>
      <c r="Q370" s="2" t="s">
        <v>5765</v>
      </c>
      <c r="R370" s="3" t="s">
        <v>1476</v>
      </c>
    </row>
    <row r="371" spans="1:18" x14ac:dyDescent="0.25">
      <c r="A371" s="2">
        <v>38309</v>
      </c>
      <c r="B371" s="3" t="s">
        <v>1477</v>
      </c>
      <c r="C371" s="2" t="s">
        <v>3955</v>
      </c>
      <c r="D371" s="2" t="s">
        <v>338</v>
      </c>
      <c r="E371" s="3" t="s">
        <v>1174</v>
      </c>
      <c r="F371" s="3" t="s">
        <v>1344</v>
      </c>
      <c r="G371" s="2" t="s">
        <v>4824</v>
      </c>
      <c r="H371" s="2" t="s">
        <v>4855</v>
      </c>
      <c r="I371" s="3" t="s">
        <v>1478</v>
      </c>
      <c r="J371" s="3" t="s">
        <v>1479</v>
      </c>
      <c r="K371" s="3" t="s">
        <v>1480</v>
      </c>
      <c r="L371" s="3" t="s">
        <v>338</v>
      </c>
      <c r="M371" s="3" t="s">
        <v>95</v>
      </c>
      <c r="N371" s="2">
        <v>1673</v>
      </c>
      <c r="O371" s="3" t="s">
        <v>271</v>
      </c>
      <c r="P371" s="3" t="s">
        <v>97</v>
      </c>
      <c r="Q371" s="2" t="s">
        <v>5766</v>
      </c>
      <c r="R371" s="3" t="s">
        <v>1481</v>
      </c>
    </row>
    <row r="372" spans="1:18" x14ac:dyDescent="0.25">
      <c r="A372" s="2">
        <v>37398</v>
      </c>
      <c r="B372" s="3" t="s">
        <v>1482</v>
      </c>
      <c r="C372" s="2" t="s">
        <v>3956</v>
      </c>
      <c r="D372" s="2" t="s">
        <v>338</v>
      </c>
      <c r="E372" s="3" t="s">
        <v>1174</v>
      </c>
      <c r="F372" s="3" t="s">
        <v>1344</v>
      </c>
      <c r="G372" s="2" t="s">
        <v>4821</v>
      </c>
      <c r="H372" s="2" t="s">
        <v>4856</v>
      </c>
      <c r="I372" s="3" t="s">
        <v>1483</v>
      </c>
      <c r="J372" s="3" t="s">
        <v>138</v>
      </c>
      <c r="K372" s="3" t="s">
        <v>1484</v>
      </c>
      <c r="L372" s="3" t="s">
        <v>338</v>
      </c>
      <c r="M372" s="3" t="s">
        <v>95</v>
      </c>
      <c r="N372" s="2">
        <v>1673</v>
      </c>
      <c r="O372" s="3" t="s">
        <v>271</v>
      </c>
      <c r="P372" s="3" t="s">
        <v>97</v>
      </c>
      <c r="Q372" s="2" t="s">
        <v>5767</v>
      </c>
      <c r="R372" s="3" t="s">
        <v>1485</v>
      </c>
    </row>
    <row r="373" spans="1:18" x14ac:dyDescent="0.25">
      <c r="A373" s="2">
        <v>37211</v>
      </c>
      <c r="B373" s="3" t="s">
        <v>1486</v>
      </c>
      <c r="C373" s="2" t="s">
        <v>3957</v>
      </c>
      <c r="D373" s="2" t="s">
        <v>338</v>
      </c>
      <c r="E373" s="3" t="s">
        <v>1174</v>
      </c>
      <c r="F373" s="3" t="s">
        <v>1344</v>
      </c>
      <c r="G373" s="2" t="s">
        <v>4824</v>
      </c>
      <c r="H373" s="2" t="s">
        <v>4857</v>
      </c>
      <c r="I373" s="3" t="s">
        <v>1487</v>
      </c>
      <c r="J373" s="3" t="s">
        <v>138</v>
      </c>
      <c r="K373" s="3" t="s">
        <v>1488</v>
      </c>
      <c r="L373" s="3" t="s">
        <v>338</v>
      </c>
      <c r="M373" s="3" t="s">
        <v>95</v>
      </c>
      <c r="N373" s="2">
        <v>1673</v>
      </c>
      <c r="O373" s="3" t="s">
        <v>244</v>
      </c>
      <c r="P373" s="3" t="s">
        <v>97</v>
      </c>
      <c r="Q373" s="2" t="s">
        <v>5768</v>
      </c>
      <c r="R373" s="3" t="s">
        <v>1489</v>
      </c>
    </row>
    <row r="374" spans="1:18" x14ac:dyDescent="0.25">
      <c r="A374" s="2">
        <v>40115</v>
      </c>
      <c r="B374" s="3" t="s">
        <v>1490</v>
      </c>
      <c r="C374" s="2" t="s">
        <v>3958</v>
      </c>
      <c r="D374" s="2" t="s">
        <v>338</v>
      </c>
      <c r="E374" s="3" t="s">
        <v>1174</v>
      </c>
      <c r="F374" s="3" t="s">
        <v>1344</v>
      </c>
      <c r="G374" s="2" t="s">
        <v>4824</v>
      </c>
      <c r="H374" s="2" t="s">
        <v>4858</v>
      </c>
      <c r="I374" s="3" t="s">
        <v>1491</v>
      </c>
      <c r="J374" s="3" t="s">
        <v>1492</v>
      </c>
      <c r="K374" s="3" t="s">
        <v>1493</v>
      </c>
      <c r="L374" s="3" t="s">
        <v>338</v>
      </c>
      <c r="M374" s="3" t="s">
        <v>95</v>
      </c>
      <c r="N374" s="2">
        <v>1673</v>
      </c>
      <c r="O374" s="3" t="s">
        <v>271</v>
      </c>
      <c r="P374" s="3" t="s">
        <v>97</v>
      </c>
      <c r="Q374" s="2" t="s">
        <v>5769</v>
      </c>
      <c r="R374" s="3" t="s">
        <v>1494</v>
      </c>
    </row>
    <row r="375" spans="1:18" x14ac:dyDescent="0.25">
      <c r="A375" s="2">
        <v>19481</v>
      </c>
      <c r="B375" s="3" t="s">
        <v>1495</v>
      </c>
      <c r="C375" s="2" t="s">
        <v>3959</v>
      </c>
      <c r="D375" s="2" t="s">
        <v>338</v>
      </c>
      <c r="E375" s="3" t="s">
        <v>1174</v>
      </c>
      <c r="F375" s="3" t="s">
        <v>1344</v>
      </c>
      <c r="G375" s="2" t="s">
        <v>4804</v>
      </c>
      <c r="H375" s="2" t="s">
        <v>4859</v>
      </c>
      <c r="I375" s="3" t="s">
        <v>1496</v>
      </c>
      <c r="J375" s="3" t="s">
        <v>1497</v>
      </c>
      <c r="K375" s="3" t="s">
        <v>1498</v>
      </c>
      <c r="L375" s="3" t="s">
        <v>338</v>
      </c>
      <c r="M375" s="3" t="s">
        <v>95</v>
      </c>
      <c r="N375" s="2">
        <v>1673</v>
      </c>
      <c r="O375" s="3" t="s">
        <v>271</v>
      </c>
      <c r="P375" s="3" t="s">
        <v>97</v>
      </c>
      <c r="Q375" s="2" t="s">
        <v>5770</v>
      </c>
      <c r="R375" s="3" t="s">
        <v>1499</v>
      </c>
    </row>
    <row r="376" spans="1:18" x14ac:dyDescent="0.25">
      <c r="A376" s="2">
        <v>37100</v>
      </c>
      <c r="B376" s="3" t="s">
        <v>1500</v>
      </c>
      <c r="C376" s="2" t="s">
        <v>3960</v>
      </c>
      <c r="D376" s="2" t="s">
        <v>338</v>
      </c>
      <c r="E376" s="3" t="s">
        <v>1174</v>
      </c>
      <c r="F376" s="3" t="s">
        <v>1344</v>
      </c>
      <c r="G376" s="2" t="s">
        <v>4804</v>
      </c>
      <c r="H376" s="2" t="s">
        <v>4860</v>
      </c>
      <c r="I376" s="3" t="s">
        <v>1410</v>
      </c>
      <c r="J376" s="3" t="s">
        <v>1411</v>
      </c>
      <c r="K376" s="3" t="s">
        <v>1412</v>
      </c>
      <c r="L376" s="3" t="s">
        <v>338</v>
      </c>
      <c r="M376" s="3" t="s">
        <v>20</v>
      </c>
      <c r="N376" s="2">
        <v>1673</v>
      </c>
      <c r="O376" s="3" t="s">
        <v>21</v>
      </c>
      <c r="P376" s="3" t="s">
        <v>22</v>
      </c>
      <c r="Q376" s="2" t="s">
        <v>5771</v>
      </c>
      <c r="R376" s="3" t="s">
        <v>1501</v>
      </c>
    </row>
    <row r="377" spans="1:18" x14ac:dyDescent="0.25">
      <c r="A377" s="2">
        <v>40680</v>
      </c>
      <c r="B377" s="3" t="s">
        <v>1502</v>
      </c>
      <c r="C377" s="2" t="s">
        <v>3961</v>
      </c>
      <c r="D377" s="2" t="s">
        <v>338</v>
      </c>
      <c r="E377" s="3" t="s">
        <v>1174</v>
      </c>
      <c r="F377" s="3" t="s">
        <v>1344</v>
      </c>
      <c r="G377" s="2" t="s">
        <v>4804</v>
      </c>
      <c r="H377" s="2" t="s">
        <v>4861</v>
      </c>
      <c r="I377" s="3" t="s">
        <v>1503</v>
      </c>
      <c r="J377" s="3" t="s">
        <v>1504</v>
      </c>
      <c r="K377" s="3" t="s">
        <v>1505</v>
      </c>
      <c r="L377" s="3" t="s">
        <v>338</v>
      </c>
      <c r="M377" s="3" t="s">
        <v>20</v>
      </c>
      <c r="N377" s="2">
        <v>1673</v>
      </c>
      <c r="O377" s="3" t="s">
        <v>21</v>
      </c>
      <c r="P377" s="3" t="s">
        <v>22</v>
      </c>
      <c r="Q377" s="2" t="s">
        <v>5772</v>
      </c>
      <c r="R377" s="3" t="s">
        <v>1506</v>
      </c>
    </row>
    <row r="378" spans="1:18" x14ac:dyDescent="0.25">
      <c r="A378" s="2">
        <v>25993</v>
      </c>
      <c r="B378" s="3" t="s">
        <v>1507</v>
      </c>
      <c r="C378" s="2" t="s">
        <v>3962</v>
      </c>
      <c r="D378" s="2" t="s">
        <v>338</v>
      </c>
      <c r="E378" s="3" t="s">
        <v>1174</v>
      </c>
      <c r="F378" s="3" t="s">
        <v>1344</v>
      </c>
      <c r="G378" s="2" t="s">
        <v>4824</v>
      </c>
      <c r="H378" s="2" t="s">
        <v>4862</v>
      </c>
      <c r="I378" s="3" t="s">
        <v>1358</v>
      </c>
      <c r="J378" s="3" t="s">
        <v>138</v>
      </c>
      <c r="K378" s="3" t="s">
        <v>1508</v>
      </c>
      <c r="L378" s="3" t="s">
        <v>338</v>
      </c>
      <c r="M378" s="3" t="s">
        <v>95</v>
      </c>
      <c r="N378" s="2">
        <v>1673</v>
      </c>
      <c r="O378" s="3" t="s">
        <v>271</v>
      </c>
      <c r="P378" s="3" t="s">
        <v>97</v>
      </c>
      <c r="Q378" s="2" t="s">
        <v>5773</v>
      </c>
      <c r="R378" s="3" t="s">
        <v>1509</v>
      </c>
    </row>
    <row r="379" spans="1:18" x14ac:dyDescent="0.25">
      <c r="A379" s="2">
        <v>24760</v>
      </c>
      <c r="B379" s="3" t="s">
        <v>1510</v>
      </c>
      <c r="C379" s="2" t="s">
        <v>3963</v>
      </c>
      <c r="D379" s="2" t="s">
        <v>338</v>
      </c>
      <c r="E379" s="3" t="s">
        <v>1174</v>
      </c>
      <c r="F379" s="3" t="s">
        <v>1344</v>
      </c>
      <c r="G379" s="2" t="s">
        <v>4821</v>
      </c>
      <c r="H379" s="2" t="s">
        <v>4863</v>
      </c>
      <c r="I379" s="3" t="s">
        <v>1388</v>
      </c>
      <c r="J379" s="3" t="s">
        <v>1380</v>
      </c>
      <c r="K379" s="3" t="s">
        <v>1511</v>
      </c>
      <c r="L379" s="3" t="s">
        <v>338</v>
      </c>
      <c r="M379" s="3" t="s">
        <v>95</v>
      </c>
      <c r="N379" s="2">
        <v>1673</v>
      </c>
      <c r="O379" s="3" t="s">
        <v>271</v>
      </c>
      <c r="P379" s="3" t="s">
        <v>97</v>
      </c>
      <c r="Q379" s="2" t="s">
        <v>5774</v>
      </c>
      <c r="R379" s="3" t="s">
        <v>1512</v>
      </c>
    </row>
    <row r="380" spans="1:18" x14ac:dyDescent="0.25">
      <c r="A380" s="2">
        <v>35684</v>
      </c>
      <c r="B380" s="3" t="s">
        <v>1513</v>
      </c>
      <c r="C380" s="2" t="s">
        <v>3964</v>
      </c>
      <c r="D380" s="2" t="s">
        <v>338</v>
      </c>
      <c r="E380" s="3" t="s">
        <v>1174</v>
      </c>
      <c r="F380" s="3" t="s">
        <v>1344</v>
      </c>
      <c r="G380" s="2" t="s">
        <v>4824</v>
      </c>
      <c r="H380" s="2" t="s">
        <v>4864</v>
      </c>
      <c r="I380" s="3" t="s">
        <v>1358</v>
      </c>
      <c r="J380" s="3" t="s">
        <v>138</v>
      </c>
      <c r="K380" s="3" t="s">
        <v>1416</v>
      </c>
      <c r="L380" s="3" t="s">
        <v>338</v>
      </c>
      <c r="M380" s="3" t="s">
        <v>95</v>
      </c>
      <c r="N380" s="2">
        <v>1673</v>
      </c>
      <c r="O380" s="3" t="s">
        <v>271</v>
      </c>
      <c r="P380" s="3" t="s">
        <v>97</v>
      </c>
      <c r="Q380" s="2" t="s">
        <v>5775</v>
      </c>
      <c r="R380" s="3" t="s">
        <v>1514</v>
      </c>
    </row>
    <row r="381" spans="1:18" x14ac:dyDescent="0.25">
      <c r="A381" s="2">
        <v>39234</v>
      </c>
      <c r="B381" s="3" t="s">
        <v>1515</v>
      </c>
      <c r="C381" s="2" t="s">
        <v>3965</v>
      </c>
      <c r="D381" s="2" t="s">
        <v>338</v>
      </c>
      <c r="E381" s="3" t="s">
        <v>1174</v>
      </c>
      <c r="F381" s="3" t="s">
        <v>1344</v>
      </c>
      <c r="G381" s="2" t="s">
        <v>4804</v>
      </c>
      <c r="H381" s="2" t="s">
        <v>4865</v>
      </c>
      <c r="I381" s="3" t="s">
        <v>1503</v>
      </c>
      <c r="J381" s="3" t="s">
        <v>1516</v>
      </c>
      <c r="K381" s="3" t="s">
        <v>1517</v>
      </c>
      <c r="L381" s="3" t="s">
        <v>338</v>
      </c>
      <c r="M381" s="3" t="s">
        <v>20</v>
      </c>
      <c r="N381" s="2">
        <v>1673</v>
      </c>
      <c r="O381" s="3" t="s">
        <v>21</v>
      </c>
      <c r="P381" s="3" t="s">
        <v>22</v>
      </c>
      <c r="Q381" s="2" t="s">
        <v>5776</v>
      </c>
      <c r="R381" s="3" t="s">
        <v>1518</v>
      </c>
    </row>
    <row r="382" spans="1:18" x14ac:dyDescent="0.25">
      <c r="A382" s="2">
        <v>31704</v>
      </c>
      <c r="B382" s="3" t="s">
        <v>1519</v>
      </c>
      <c r="C382" s="2" t="s">
        <v>3966</v>
      </c>
      <c r="D382" s="2" t="s">
        <v>338</v>
      </c>
      <c r="E382" s="3" t="s">
        <v>1174</v>
      </c>
      <c r="F382" s="3" t="s">
        <v>1344</v>
      </c>
      <c r="G382" s="2" t="s">
        <v>4804</v>
      </c>
      <c r="H382" s="2" t="s">
        <v>4866</v>
      </c>
      <c r="I382" s="3" t="s">
        <v>1520</v>
      </c>
      <c r="J382" s="3" t="s">
        <v>1521</v>
      </c>
      <c r="K382" s="3" t="s">
        <v>1522</v>
      </c>
      <c r="L382" s="3" t="s">
        <v>338</v>
      </c>
      <c r="M382" s="3" t="s">
        <v>95</v>
      </c>
      <c r="N382" s="2">
        <v>1673</v>
      </c>
      <c r="O382" s="3" t="s">
        <v>244</v>
      </c>
      <c r="P382" s="3" t="s">
        <v>97</v>
      </c>
      <c r="Q382" s="2" t="s">
        <v>5777</v>
      </c>
      <c r="R382" s="3" t="s">
        <v>1523</v>
      </c>
    </row>
    <row r="383" spans="1:18" x14ac:dyDescent="0.25">
      <c r="A383" s="2">
        <v>9120</v>
      </c>
      <c r="B383" s="3" t="s">
        <v>1524</v>
      </c>
      <c r="C383" s="2" t="s">
        <v>3967</v>
      </c>
      <c r="D383" s="2" t="s">
        <v>338</v>
      </c>
      <c r="E383" s="3" t="s">
        <v>1174</v>
      </c>
      <c r="F383" s="3" t="s">
        <v>1344</v>
      </c>
      <c r="G383" s="2" t="s">
        <v>4824</v>
      </c>
      <c r="H383" s="2" t="s">
        <v>4867</v>
      </c>
      <c r="I383" s="3" t="s">
        <v>1525</v>
      </c>
      <c r="J383" s="3" t="s">
        <v>1526</v>
      </c>
      <c r="K383" s="3" t="s">
        <v>1527</v>
      </c>
      <c r="L383" s="3" t="s">
        <v>338</v>
      </c>
      <c r="M383" s="3" t="s">
        <v>95</v>
      </c>
      <c r="N383" s="2">
        <v>1673</v>
      </c>
      <c r="O383" s="3" t="s">
        <v>244</v>
      </c>
      <c r="P383" s="3" t="s">
        <v>97</v>
      </c>
      <c r="Q383" s="2" t="s">
        <v>5778</v>
      </c>
      <c r="R383" s="3" t="s">
        <v>1528</v>
      </c>
    </row>
    <row r="384" spans="1:18" x14ac:dyDescent="0.25">
      <c r="A384" s="2">
        <v>37750</v>
      </c>
      <c r="B384" s="3" t="s">
        <v>1529</v>
      </c>
      <c r="C384" s="2" t="s">
        <v>3968</v>
      </c>
      <c r="D384" s="2" t="s">
        <v>338</v>
      </c>
      <c r="E384" s="3" t="s">
        <v>1174</v>
      </c>
      <c r="F384" s="3" t="s">
        <v>1344</v>
      </c>
      <c r="G384" s="2" t="s">
        <v>4804</v>
      </c>
      <c r="H384" s="2" t="s">
        <v>4868</v>
      </c>
      <c r="I384" s="3" t="s">
        <v>1530</v>
      </c>
      <c r="J384" s="3" t="s">
        <v>1531</v>
      </c>
      <c r="K384" s="3" t="s">
        <v>1532</v>
      </c>
      <c r="L384" s="3" t="s">
        <v>338</v>
      </c>
      <c r="M384" s="3" t="s">
        <v>95</v>
      </c>
      <c r="N384" s="2">
        <v>1673</v>
      </c>
      <c r="O384" s="3" t="s">
        <v>244</v>
      </c>
      <c r="P384" s="3" t="s">
        <v>97</v>
      </c>
      <c r="Q384" s="2" t="s">
        <v>5779</v>
      </c>
      <c r="R384" s="3" t="s">
        <v>1533</v>
      </c>
    </row>
    <row r="385" spans="1:18" x14ac:dyDescent="0.25">
      <c r="A385" s="2">
        <v>19066</v>
      </c>
      <c r="B385" s="3" t="s">
        <v>1534</v>
      </c>
      <c r="C385" s="2" t="s">
        <v>3969</v>
      </c>
      <c r="D385" s="2" t="s">
        <v>338</v>
      </c>
      <c r="E385" s="3" t="s">
        <v>1174</v>
      </c>
      <c r="F385" s="3" t="s">
        <v>1344</v>
      </c>
      <c r="G385" s="2" t="s">
        <v>4821</v>
      </c>
      <c r="H385" s="2" t="s">
        <v>4869</v>
      </c>
      <c r="I385" s="3" t="s">
        <v>1535</v>
      </c>
      <c r="J385" s="3" t="s">
        <v>138</v>
      </c>
      <c r="K385" s="3" t="s">
        <v>1536</v>
      </c>
      <c r="L385" s="3" t="s">
        <v>338</v>
      </c>
      <c r="M385" s="3" t="s">
        <v>95</v>
      </c>
      <c r="N385" s="2">
        <v>1673</v>
      </c>
      <c r="O385" s="3" t="s">
        <v>271</v>
      </c>
      <c r="P385" s="3" t="s">
        <v>97</v>
      </c>
      <c r="Q385" s="2" t="s">
        <v>5780</v>
      </c>
      <c r="R385" s="3" t="s">
        <v>1537</v>
      </c>
    </row>
    <row r="386" spans="1:18" x14ac:dyDescent="0.25">
      <c r="A386" s="2">
        <v>34899</v>
      </c>
      <c r="B386" s="3" t="s">
        <v>1538</v>
      </c>
      <c r="C386" s="2" t="s">
        <v>3970</v>
      </c>
      <c r="D386" s="2" t="s">
        <v>338</v>
      </c>
      <c r="E386" s="3" t="s">
        <v>1174</v>
      </c>
      <c r="F386" s="3" t="s">
        <v>1344</v>
      </c>
      <c r="G386" s="2" t="s">
        <v>4824</v>
      </c>
      <c r="H386" s="2" t="s">
        <v>4870</v>
      </c>
      <c r="I386" s="3" t="s">
        <v>1358</v>
      </c>
      <c r="J386" s="3" t="s">
        <v>138</v>
      </c>
      <c r="K386" s="3" t="s">
        <v>1539</v>
      </c>
      <c r="L386" s="3" t="s">
        <v>338</v>
      </c>
      <c r="M386" s="3" t="s">
        <v>95</v>
      </c>
      <c r="N386" s="2">
        <v>1673</v>
      </c>
      <c r="O386" s="3" t="s">
        <v>271</v>
      </c>
      <c r="P386" s="3" t="s">
        <v>97</v>
      </c>
      <c r="Q386" s="2" t="s">
        <v>5781</v>
      </c>
      <c r="R386" s="3" t="s">
        <v>1540</v>
      </c>
    </row>
    <row r="387" spans="1:18" x14ac:dyDescent="0.25">
      <c r="A387" s="2">
        <v>18222</v>
      </c>
      <c r="B387" s="3" t="s">
        <v>1541</v>
      </c>
      <c r="C387" s="2" t="s">
        <v>3971</v>
      </c>
      <c r="D387" s="2" t="s">
        <v>338</v>
      </c>
      <c r="E387" s="3" t="s">
        <v>1174</v>
      </c>
      <c r="F387" s="3" t="s">
        <v>1344</v>
      </c>
      <c r="G387" s="2" t="s">
        <v>4821</v>
      </c>
      <c r="H387" s="2" t="s">
        <v>4871</v>
      </c>
      <c r="I387" s="3" t="s">
        <v>1542</v>
      </c>
      <c r="J387" s="3" t="s">
        <v>1543</v>
      </c>
      <c r="K387" s="3" t="s">
        <v>1544</v>
      </c>
      <c r="L387" s="3" t="s">
        <v>338</v>
      </c>
      <c r="M387" s="3" t="s">
        <v>95</v>
      </c>
      <c r="N387" s="2">
        <v>1673</v>
      </c>
      <c r="O387" s="3" t="s">
        <v>271</v>
      </c>
      <c r="P387" s="3" t="s">
        <v>97</v>
      </c>
      <c r="Q387" s="2" t="s">
        <v>5782</v>
      </c>
      <c r="R387" s="3" t="s">
        <v>1545</v>
      </c>
    </row>
    <row r="388" spans="1:18" x14ac:dyDescent="0.25">
      <c r="A388" s="2">
        <v>11026</v>
      </c>
      <c r="B388" s="3" t="s">
        <v>1546</v>
      </c>
      <c r="C388" s="2" t="s">
        <v>3972</v>
      </c>
      <c r="D388" s="2" t="s">
        <v>338</v>
      </c>
      <c r="E388" s="3" t="s">
        <v>1174</v>
      </c>
      <c r="F388" s="3" t="s">
        <v>1344</v>
      </c>
      <c r="G388" s="2" t="s">
        <v>4824</v>
      </c>
      <c r="H388" s="2" t="s">
        <v>4872</v>
      </c>
      <c r="I388" s="3" t="s">
        <v>1525</v>
      </c>
      <c r="J388" s="3" t="s">
        <v>138</v>
      </c>
      <c r="K388" s="3" t="s">
        <v>1547</v>
      </c>
      <c r="L388" s="3" t="s">
        <v>338</v>
      </c>
      <c r="M388" s="3" t="s">
        <v>95</v>
      </c>
      <c r="N388" s="2">
        <v>1673</v>
      </c>
      <c r="O388" s="3" t="s">
        <v>244</v>
      </c>
      <c r="P388" s="3" t="s">
        <v>97</v>
      </c>
      <c r="Q388" s="2" t="s">
        <v>5783</v>
      </c>
      <c r="R388" s="3" t="s">
        <v>1548</v>
      </c>
    </row>
    <row r="389" spans="1:18" x14ac:dyDescent="0.25">
      <c r="A389" s="2">
        <v>39328</v>
      </c>
      <c r="B389" s="3" t="s">
        <v>1549</v>
      </c>
      <c r="C389" s="2" t="s">
        <v>3973</v>
      </c>
      <c r="D389" s="2" t="s">
        <v>338</v>
      </c>
      <c r="E389" s="3" t="s">
        <v>1174</v>
      </c>
      <c r="F389" s="3" t="s">
        <v>1344</v>
      </c>
      <c r="G389" s="2" t="s">
        <v>4821</v>
      </c>
      <c r="H389" s="2" t="s">
        <v>4873</v>
      </c>
      <c r="I389" s="3" t="s">
        <v>1419</v>
      </c>
      <c r="J389" s="3" t="s">
        <v>1550</v>
      </c>
      <c r="K389" s="3" t="s">
        <v>1381</v>
      </c>
      <c r="L389" s="3" t="s">
        <v>338</v>
      </c>
      <c r="M389" s="3" t="s">
        <v>95</v>
      </c>
      <c r="N389" s="2">
        <v>1673</v>
      </c>
      <c r="O389" s="3" t="s">
        <v>271</v>
      </c>
      <c r="P389" s="3" t="s">
        <v>97</v>
      </c>
      <c r="Q389" s="2" t="s">
        <v>5784</v>
      </c>
      <c r="R389" s="3" t="s">
        <v>1551</v>
      </c>
    </row>
    <row r="390" spans="1:18" x14ac:dyDescent="0.25">
      <c r="A390" s="2">
        <v>39699</v>
      </c>
      <c r="B390" s="3" t="s">
        <v>1552</v>
      </c>
      <c r="C390" s="2" t="s">
        <v>3974</v>
      </c>
      <c r="D390" s="2" t="s">
        <v>338</v>
      </c>
      <c r="E390" s="3" t="s">
        <v>1174</v>
      </c>
      <c r="F390" s="3" t="s">
        <v>1344</v>
      </c>
      <c r="G390" s="2" t="s">
        <v>4804</v>
      </c>
      <c r="H390" s="2" t="s">
        <v>4874</v>
      </c>
      <c r="I390" s="3" t="s">
        <v>1345</v>
      </c>
      <c r="J390" s="3" t="s">
        <v>138</v>
      </c>
      <c r="K390" s="3" t="s">
        <v>1553</v>
      </c>
      <c r="L390" s="3" t="s">
        <v>338</v>
      </c>
      <c r="M390" s="3" t="s">
        <v>95</v>
      </c>
      <c r="N390" s="2">
        <v>1673</v>
      </c>
      <c r="O390" s="3" t="s">
        <v>244</v>
      </c>
      <c r="P390" s="3" t="s">
        <v>97</v>
      </c>
      <c r="Q390" s="2" t="s">
        <v>5785</v>
      </c>
      <c r="R390" s="3" t="s">
        <v>1554</v>
      </c>
    </row>
    <row r="391" spans="1:18" x14ac:dyDescent="0.25">
      <c r="A391" s="2">
        <v>22457</v>
      </c>
      <c r="B391" s="3" t="s">
        <v>1555</v>
      </c>
      <c r="C391" s="2" t="s">
        <v>3975</v>
      </c>
      <c r="D391" s="2" t="s">
        <v>338</v>
      </c>
      <c r="E391" s="3" t="s">
        <v>1174</v>
      </c>
      <c r="F391" s="3" t="s">
        <v>1344</v>
      </c>
      <c r="G391" s="2" t="s">
        <v>4824</v>
      </c>
      <c r="H391" s="2" t="s">
        <v>4875</v>
      </c>
      <c r="I391" s="3" t="s">
        <v>1556</v>
      </c>
      <c r="J391" s="3" t="s">
        <v>1557</v>
      </c>
      <c r="K391" s="3" t="s">
        <v>1558</v>
      </c>
      <c r="L391" s="3" t="s">
        <v>338</v>
      </c>
      <c r="M391" s="3" t="s">
        <v>95</v>
      </c>
      <c r="N391" s="2">
        <v>1673</v>
      </c>
      <c r="O391" s="3" t="s">
        <v>244</v>
      </c>
      <c r="P391" s="3" t="s">
        <v>97</v>
      </c>
      <c r="Q391" s="2" t="s">
        <v>5786</v>
      </c>
      <c r="R391" s="3" t="s">
        <v>1559</v>
      </c>
    </row>
    <row r="392" spans="1:18" x14ac:dyDescent="0.25">
      <c r="A392" s="2">
        <v>37013</v>
      </c>
      <c r="B392" s="3" t="s">
        <v>1560</v>
      </c>
      <c r="C392" s="2" t="s">
        <v>3976</v>
      </c>
      <c r="D392" s="2" t="s">
        <v>338</v>
      </c>
      <c r="E392" s="3" t="s">
        <v>1174</v>
      </c>
      <c r="F392" s="3" t="s">
        <v>1344</v>
      </c>
      <c r="G392" s="2" t="s">
        <v>4804</v>
      </c>
      <c r="H392" s="2" t="s">
        <v>4876</v>
      </c>
      <c r="I392" s="3" t="s">
        <v>1561</v>
      </c>
      <c r="J392" s="3" t="s">
        <v>138</v>
      </c>
      <c r="K392" s="3" t="s">
        <v>1562</v>
      </c>
      <c r="L392" s="3" t="s">
        <v>338</v>
      </c>
      <c r="M392" s="3" t="s">
        <v>95</v>
      </c>
      <c r="N392" s="2">
        <v>1673</v>
      </c>
      <c r="O392" s="3" t="s">
        <v>271</v>
      </c>
      <c r="P392" s="3" t="s">
        <v>97</v>
      </c>
      <c r="Q392" s="2" t="s">
        <v>5787</v>
      </c>
      <c r="R392" s="3" t="s">
        <v>1563</v>
      </c>
    </row>
    <row r="393" spans="1:18" x14ac:dyDescent="0.25">
      <c r="A393" s="2">
        <v>38399</v>
      </c>
      <c r="B393" s="3" t="s">
        <v>1564</v>
      </c>
      <c r="C393" s="2" t="s">
        <v>3977</v>
      </c>
      <c r="D393" s="2" t="s">
        <v>338</v>
      </c>
      <c r="E393" s="3" t="s">
        <v>1174</v>
      </c>
      <c r="F393" s="3" t="s">
        <v>1344</v>
      </c>
      <c r="G393" s="2" t="s">
        <v>4804</v>
      </c>
      <c r="H393" s="2" t="s">
        <v>4877</v>
      </c>
      <c r="I393" s="3" t="s">
        <v>1565</v>
      </c>
      <c r="J393" s="3" t="s">
        <v>138</v>
      </c>
      <c r="K393" s="3" t="s">
        <v>1566</v>
      </c>
      <c r="L393" s="3" t="s">
        <v>338</v>
      </c>
      <c r="M393" s="3" t="s">
        <v>95</v>
      </c>
      <c r="N393" s="2">
        <v>1673</v>
      </c>
      <c r="O393" s="3" t="s">
        <v>244</v>
      </c>
      <c r="P393" s="3" t="s">
        <v>97</v>
      </c>
      <c r="Q393" s="2" t="s">
        <v>5788</v>
      </c>
      <c r="R393" s="3" t="s">
        <v>1567</v>
      </c>
    </row>
    <row r="394" spans="1:18" x14ac:dyDescent="0.25">
      <c r="A394" s="2">
        <v>37036</v>
      </c>
      <c r="B394" s="3" t="s">
        <v>1568</v>
      </c>
      <c r="C394" s="2" t="s">
        <v>3978</v>
      </c>
      <c r="D394" s="2" t="s">
        <v>338</v>
      </c>
      <c r="E394" s="3" t="s">
        <v>1174</v>
      </c>
      <c r="F394" s="3" t="s">
        <v>1344</v>
      </c>
      <c r="G394" s="2" t="s">
        <v>4804</v>
      </c>
      <c r="H394" s="2" t="s">
        <v>4878</v>
      </c>
      <c r="I394" s="3" t="s">
        <v>1410</v>
      </c>
      <c r="J394" s="3" t="s">
        <v>1411</v>
      </c>
      <c r="K394" s="3" t="s">
        <v>1569</v>
      </c>
      <c r="L394" s="3" t="s">
        <v>338</v>
      </c>
      <c r="M394" s="3" t="s">
        <v>20</v>
      </c>
      <c r="N394" s="2">
        <v>1673</v>
      </c>
      <c r="O394" s="3" t="s">
        <v>21</v>
      </c>
      <c r="P394" s="3" t="s">
        <v>22</v>
      </c>
      <c r="Q394" s="2" t="s">
        <v>5789</v>
      </c>
      <c r="R394" s="3" t="s">
        <v>1570</v>
      </c>
    </row>
    <row r="395" spans="1:18" x14ac:dyDescent="0.25">
      <c r="A395" s="2">
        <v>39761</v>
      </c>
      <c r="B395" s="3" t="s">
        <v>1571</v>
      </c>
      <c r="C395" s="2" t="s">
        <v>3979</v>
      </c>
      <c r="D395" s="2" t="s">
        <v>338</v>
      </c>
      <c r="E395" s="3" t="s">
        <v>1174</v>
      </c>
      <c r="F395" s="3" t="s">
        <v>1344</v>
      </c>
      <c r="G395" s="2" t="s">
        <v>4821</v>
      </c>
      <c r="H395" s="2" t="s">
        <v>4879</v>
      </c>
      <c r="I395" s="3" t="s">
        <v>1572</v>
      </c>
      <c r="J395" s="3" t="s">
        <v>138</v>
      </c>
      <c r="K395" s="3" t="s">
        <v>1573</v>
      </c>
      <c r="L395" s="3" t="s">
        <v>338</v>
      </c>
      <c r="M395" s="3" t="s">
        <v>95</v>
      </c>
      <c r="N395" s="2">
        <v>1673</v>
      </c>
      <c r="O395" s="3" t="s">
        <v>271</v>
      </c>
      <c r="P395" s="3" t="s">
        <v>97</v>
      </c>
      <c r="Q395" s="2" t="s">
        <v>5790</v>
      </c>
      <c r="R395" s="3" t="s">
        <v>1574</v>
      </c>
    </row>
    <row r="396" spans="1:18" x14ac:dyDescent="0.25">
      <c r="A396" s="2">
        <v>36636</v>
      </c>
      <c r="B396" s="3" t="s">
        <v>1575</v>
      </c>
      <c r="C396" s="2" t="s">
        <v>3980</v>
      </c>
      <c r="D396" s="2" t="s">
        <v>338</v>
      </c>
      <c r="E396" s="3" t="s">
        <v>1174</v>
      </c>
      <c r="F396" s="3" t="s">
        <v>1344</v>
      </c>
      <c r="G396" s="2" t="s">
        <v>4804</v>
      </c>
      <c r="H396" s="2" t="s">
        <v>4880</v>
      </c>
      <c r="I396" s="3" t="s">
        <v>1576</v>
      </c>
      <c r="J396" s="3" t="s">
        <v>138</v>
      </c>
      <c r="K396" s="3" t="s">
        <v>1577</v>
      </c>
      <c r="L396" s="3" t="s">
        <v>338</v>
      </c>
      <c r="M396" s="3" t="s">
        <v>95</v>
      </c>
      <c r="N396" s="2">
        <v>1673</v>
      </c>
      <c r="O396" s="3" t="s">
        <v>244</v>
      </c>
      <c r="P396" s="3" t="s">
        <v>97</v>
      </c>
      <c r="Q396" s="2" t="s">
        <v>5791</v>
      </c>
      <c r="R396" s="3" t="s">
        <v>1578</v>
      </c>
    </row>
    <row r="397" spans="1:18" x14ac:dyDescent="0.25">
      <c r="A397" s="2">
        <v>26188</v>
      </c>
      <c r="B397" s="3" t="s">
        <v>1579</v>
      </c>
      <c r="C397" s="2" t="s">
        <v>3981</v>
      </c>
      <c r="D397" s="2" t="s">
        <v>338</v>
      </c>
      <c r="E397" s="3" t="s">
        <v>1174</v>
      </c>
      <c r="F397" s="3" t="s">
        <v>1344</v>
      </c>
      <c r="G397" s="2" t="s">
        <v>4824</v>
      </c>
      <c r="H397" s="2" t="s">
        <v>4881</v>
      </c>
      <c r="I397" s="3" t="s">
        <v>1580</v>
      </c>
      <c r="J397" s="3" t="s">
        <v>1581</v>
      </c>
      <c r="K397" s="3" t="s">
        <v>1582</v>
      </c>
      <c r="L397" s="3" t="s">
        <v>338</v>
      </c>
      <c r="M397" s="3" t="s">
        <v>95</v>
      </c>
      <c r="N397" s="2">
        <v>1673</v>
      </c>
      <c r="O397" s="3" t="s">
        <v>271</v>
      </c>
      <c r="P397" s="3" t="s">
        <v>97</v>
      </c>
      <c r="Q397" s="2" t="s">
        <v>5792</v>
      </c>
      <c r="R397" s="3" t="s">
        <v>1583</v>
      </c>
    </row>
    <row r="398" spans="1:18" x14ac:dyDescent="0.25">
      <c r="A398" s="2">
        <v>40757</v>
      </c>
      <c r="B398" s="3" t="s">
        <v>1584</v>
      </c>
      <c r="C398" s="2" t="s">
        <v>3982</v>
      </c>
      <c r="D398" s="2" t="s">
        <v>338</v>
      </c>
      <c r="E398" s="3" t="s">
        <v>1174</v>
      </c>
      <c r="F398" s="3" t="s">
        <v>1344</v>
      </c>
      <c r="G398" s="2" t="s">
        <v>4821</v>
      </c>
      <c r="H398" s="2" t="s">
        <v>4882</v>
      </c>
      <c r="I398" s="3" t="s">
        <v>1585</v>
      </c>
      <c r="J398" s="3" t="s">
        <v>1586</v>
      </c>
      <c r="K398" s="3" t="s">
        <v>1587</v>
      </c>
      <c r="L398" s="3" t="s">
        <v>338</v>
      </c>
      <c r="M398" s="3" t="s">
        <v>95</v>
      </c>
      <c r="N398" s="2">
        <v>1673</v>
      </c>
      <c r="O398" s="3" t="s">
        <v>271</v>
      </c>
      <c r="P398" s="3" t="s">
        <v>97</v>
      </c>
      <c r="Q398" s="2" t="s">
        <v>5793</v>
      </c>
      <c r="R398" s="3" t="s">
        <v>1588</v>
      </c>
    </row>
    <row r="399" spans="1:18" x14ac:dyDescent="0.25">
      <c r="A399" s="2">
        <v>37992</v>
      </c>
      <c r="B399" s="3" t="s">
        <v>1589</v>
      </c>
      <c r="C399" s="2" t="s">
        <v>3983</v>
      </c>
      <c r="D399" s="2" t="s">
        <v>338</v>
      </c>
      <c r="E399" s="3" t="s">
        <v>1174</v>
      </c>
      <c r="F399" s="3" t="s">
        <v>1344</v>
      </c>
      <c r="G399" s="2" t="s">
        <v>4804</v>
      </c>
      <c r="H399" s="2" t="s">
        <v>4883</v>
      </c>
      <c r="I399" s="3" t="s">
        <v>1590</v>
      </c>
      <c r="J399" s="3" t="s">
        <v>138</v>
      </c>
      <c r="K399" s="3" t="s">
        <v>1591</v>
      </c>
      <c r="L399" s="3" t="s">
        <v>338</v>
      </c>
      <c r="M399" s="3" t="s">
        <v>95</v>
      </c>
      <c r="N399" s="2">
        <v>1673</v>
      </c>
      <c r="O399" s="3" t="s">
        <v>244</v>
      </c>
      <c r="P399" s="3" t="s">
        <v>97</v>
      </c>
      <c r="Q399" s="2" t="s">
        <v>5794</v>
      </c>
      <c r="R399" s="3" t="s">
        <v>1592</v>
      </c>
    </row>
    <row r="400" spans="1:18" x14ac:dyDescent="0.25">
      <c r="A400" s="2">
        <v>20167</v>
      </c>
      <c r="B400" s="3" t="s">
        <v>1593</v>
      </c>
      <c r="C400" s="2" t="s">
        <v>3984</v>
      </c>
      <c r="D400" s="2" t="s">
        <v>338</v>
      </c>
      <c r="E400" s="3" t="s">
        <v>1174</v>
      </c>
      <c r="F400" s="3" t="s">
        <v>1344</v>
      </c>
      <c r="G400" s="2" t="s">
        <v>4804</v>
      </c>
      <c r="H400" s="2" t="s">
        <v>4884</v>
      </c>
      <c r="I400" s="3" t="s">
        <v>1451</v>
      </c>
      <c r="J400" s="3" t="s">
        <v>1402</v>
      </c>
      <c r="K400" s="3" t="s">
        <v>1594</v>
      </c>
      <c r="L400" s="3" t="s">
        <v>338</v>
      </c>
      <c r="M400" s="3" t="s">
        <v>95</v>
      </c>
      <c r="N400" s="2">
        <v>1673</v>
      </c>
      <c r="O400" s="3" t="s">
        <v>244</v>
      </c>
      <c r="P400" s="3" t="s">
        <v>97</v>
      </c>
      <c r="Q400" s="2" t="s">
        <v>5795</v>
      </c>
      <c r="R400" s="3" t="s">
        <v>1595</v>
      </c>
    </row>
    <row r="401" spans="1:18" x14ac:dyDescent="0.25">
      <c r="A401" s="2">
        <v>39246</v>
      </c>
      <c r="B401" s="3" t="s">
        <v>1596</v>
      </c>
      <c r="C401" s="2" t="s">
        <v>3985</v>
      </c>
      <c r="D401" s="2" t="s">
        <v>338</v>
      </c>
      <c r="E401" s="3" t="s">
        <v>1174</v>
      </c>
      <c r="F401" s="3" t="s">
        <v>1344</v>
      </c>
      <c r="G401" s="2" t="s">
        <v>4804</v>
      </c>
      <c r="H401" s="2" t="s">
        <v>4885</v>
      </c>
      <c r="I401" s="3" t="s">
        <v>1503</v>
      </c>
      <c r="J401" s="3" t="s">
        <v>1597</v>
      </c>
      <c r="K401" s="3" t="s">
        <v>1598</v>
      </c>
      <c r="L401" s="3" t="s">
        <v>338</v>
      </c>
      <c r="M401" s="3" t="s">
        <v>20</v>
      </c>
      <c r="N401" s="2">
        <v>1673</v>
      </c>
      <c r="O401" s="3" t="s">
        <v>21</v>
      </c>
      <c r="P401" s="3" t="s">
        <v>22</v>
      </c>
      <c r="Q401" s="2" t="s">
        <v>5796</v>
      </c>
      <c r="R401" s="3" t="s">
        <v>1599</v>
      </c>
    </row>
    <row r="402" spans="1:18" x14ac:dyDescent="0.25">
      <c r="A402" s="2">
        <v>40968</v>
      </c>
      <c r="B402" s="3" t="s">
        <v>1600</v>
      </c>
      <c r="C402" s="2" t="s">
        <v>3986</v>
      </c>
      <c r="D402" s="2" t="s">
        <v>338</v>
      </c>
      <c r="E402" s="3" t="s">
        <v>1174</v>
      </c>
      <c r="F402" s="3" t="s">
        <v>1601</v>
      </c>
      <c r="G402" s="2" t="s">
        <v>4769</v>
      </c>
      <c r="H402" s="2" t="s">
        <v>4886</v>
      </c>
      <c r="I402" s="3" t="s">
        <v>1602</v>
      </c>
      <c r="J402" s="3" t="s">
        <v>1603</v>
      </c>
      <c r="K402" s="3" t="s">
        <v>1604</v>
      </c>
      <c r="L402" s="3" t="s">
        <v>338</v>
      </c>
      <c r="M402" s="3" t="s">
        <v>95</v>
      </c>
      <c r="N402" s="2">
        <v>3190</v>
      </c>
      <c r="O402" s="3" t="s">
        <v>96</v>
      </c>
      <c r="P402" s="3" t="s">
        <v>97</v>
      </c>
      <c r="Q402" s="2" t="s">
        <v>5797</v>
      </c>
      <c r="R402" s="3" t="s">
        <v>1605</v>
      </c>
    </row>
    <row r="403" spans="1:18" x14ac:dyDescent="0.25">
      <c r="A403" s="2">
        <v>23420</v>
      </c>
      <c r="B403" s="3" t="s">
        <v>1606</v>
      </c>
      <c r="C403" s="2" t="s">
        <v>3987</v>
      </c>
      <c r="D403" s="2" t="s">
        <v>338</v>
      </c>
      <c r="E403" s="3" t="s">
        <v>1174</v>
      </c>
      <c r="F403" s="3" t="s">
        <v>1601</v>
      </c>
      <c r="G403" s="2" t="s">
        <v>4769</v>
      </c>
      <c r="H403" s="2" t="s">
        <v>4887</v>
      </c>
      <c r="I403" s="3" t="s">
        <v>1607</v>
      </c>
      <c r="J403" s="3" t="s">
        <v>138</v>
      </c>
      <c r="K403" s="3" t="s">
        <v>1608</v>
      </c>
      <c r="L403" s="3" t="s">
        <v>338</v>
      </c>
      <c r="M403" s="3" t="s">
        <v>95</v>
      </c>
      <c r="N403" s="2">
        <v>3190</v>
      </c>
      <c r="O403" s="3" t="s">
        <v>96</v>
      </c>
      <c r="P403" s="3" t="s">
        <v>97</v>
      </c>
      <c r="Q403" s="2" t="s">
        <v>5798</v>
      </c>
      <c r="R403" s="3" t="s">
        <v>1609</v>
      </c>
    </row>
    <row r="404" spans="1:18" x14ac:dyDescent="0.25">
      <c r="A404" s="2">
        <v>18418</v>
      </c>
      <c r="B404" s="3" t="s">
        <v>1610</v>
      </c>
      <c r="C404" s="2" t="s">
        <v>3988</v>
      </c>
      <c r="D404" s="2" t="s">
        <v>338</v>
      </c>
      <c r="E404" s="3" t="s">
        <v>1174</v>
      </c>
      <c r="F404" s="3" t="s">
        <v>1601</v>
      </c>
      <c r="G404" s="2" t="s">
        <v>4769</v>
      </c>
      <c r="H404" s="2" t="s">
        <v>4888</v>
      </c>
      <c r="I404" s="3" t="s">
        <v>1611</v>
      </c>
      <c r="J404" s="3" t="s">
        <v>1612</v>
      </c>
      <c r="K404" s="3" t="s">
        <v>1613</v>
      </c>
      <c r="L404" s="3" t="s">
        <v>338</v>
      </c>
      <c r="M404" s="3" t="s">
        <v>95</v>
      </c>
      <c r="N404" s="2">
        <v>3190</v>
      </c>
      <c r="O404" s="3" t="s">
        <v>96</v>
      </c>
      <c r="P404" s="3" t="s">
        <v>97</v>
      </c>
      <c r="Q404" s="2" t="s">
        <v>5799</v>
      </c>
      <c r="R404" s="3" t="s">
        <v>1614</v>
      </c>
    </row>
    <row r="405" spans="1:18" x14ac:dyDescent="0.25">
      <c r="A405" s="2">
        <v>10338</v>
      </c>
      <c r="B405" s="3" t="s">
        <v>1615</v>
      </c>
      <c r="C405" s="2" t="s">
        <v>3989</v>
      </c>
      <c r="D405" s="2" t="s">
        <v>338</v>
      </c>
      <c r="E405" s="3" t="s">
        <v>1174</v>
      </c>
      <c r="F405" s="3" t="s">
        <v>1601</v>
      </c>
      <c r="G405" s="2" t="s">
        <v>4769</v>
      </c>
      <c r="H405" s="2" t="s">
        <v>4889</v>
      </c>
      <c r="I405" s="3" t="s">
        <v>1616</v>
      </c>
      <c r="J405" s="3" t="s">
        <v>138</v>
      </c>
      <c r="K405" s="3" t="s">
        <v>1617</v>
      </c>
      <c r="L405" s="3" t="s">
        <v>338</v>
      </c>
      <c r="M405" s="3" t="s">
        <v>95</v>
      </c>
      <c r="N405" s="2">
        <v>3190</v>
      </c>
      <c r="O405" s="3" t="s">
        <v>96</v>
      </c>
      <c r="P405" s="3" t="s">
        <v>97</v>
      </c>
      <c r="Q405" s="2" t="s">
        <v>5800</v>
      </c>
      <c r="R405" s="3" t="s">
        <v>1618</v>
      </c>
    </row>
    <row r="406" spans="1:18" x14ac:dyDescent="0.25">
      <c r="A406" s="2">
        <v>11830</v>
      </c>
      <c r="B406" s="3" t="s">
        <v>1619</v>
      </c>
      <c r="C406" s="2" t="s">
        <v>3990</v>
      </c>
      <c r="D406" s="2" t="s">
        <v>338</v>
      </c>
      <c r="E406" s="3" t="s">
        <v>1174</v>
      </c>
      <c r="F406" s="3" t="s">
        <v>1601</v>
      </c>
      <c r="G406" s="2" t="s">
        <v>4769</v>
      </c>
      <c r="H406" s="2" t="s">
        <v>4890</v>
      </c>
      <c r="I406" s="3" t="s">
        <v>1620</v>
      </c>
      <c r="J406" s="3" t="s">
        <v>1621</v>
      </c>
      <c r="K406" s="3" t="s">
        <v>1622</v>
      </c>
      <c r="L406" s="3" t="s">
        <v>338</v>
      </c>
      <c r="M406" s="3" t="s">
        <v>95</v>
      </c>
      <c r="N406" s="2">
        <v>3190</v>
      </c>
      <c r="O406" s="3" t="s">
        <v>96</v>
      </c>
      <c r="P406" s="3" t="s">
        <v>97</v>
      </c>
      <c r="Q406" s="2" t="s">
        <v>5801</v>
      </c>
      <c r="R406" s="3" t="s">
        <v>1623</v>
      </c>
    </row>
    <row r="407" spans="1:18" x14ac:dyDescent="0.25">
      <c r="A407" s="2">
        <v>39410</v>
      </c>
      <c r="B407" s="3" t="s">
        <v>1624</v>
      </c>
      <c r="C407" s="2" t="s">
        <v>3991</v>
      </c>
      <c r="D407" s="2" t="s">
        <v>338</v>
      </c>
      <c r="E407" s="3" t="s">
        <v>1174</v>
      </c>
      <c r="F407" s="3" t="s">
        <v>1601</v>
      </c>
      <c r="G407" s="2" t="s">
        <v>4769</v>
      </c>
      <c r="H407" s="2" t="s">
        <v>4891</v>
      </c>
      <c r="I407" s="3" t="s">
        <v>1607</v>
      </c>
      <c r="J407" s="3" t="s">
        <v>1625</v>
      </c>
      <c r="K407" s="3" t="s">
        <v>1608</v>
      </c>
      <c r="L407" s="3" t="s">
        <v>338</v>
      </c>
      <c r="M407" s="3" t="s">
        <v>95</v>
      </c>
      <c r="N407" s="2">
        <v>3190</v>
      </c>
      <c r="O407" s="3" t="s">
        <v>96</v>
      </c>
      <c r="P407" s="3" t="s">
        <v>97</v>
      </c>
      <c r="Q407" s="2" t="s">
        <v>5802</v>
      </c>
      <c r="R407" s="3" t="s">
        <v>1626</v>
      </c>
    </row>
    <row r="408" spans="1:18" x14ac:dyDescent="0.25">
      <c r="A408" s="2">
        <v>7101</v>
      </c>
      <c r="B408" s="3" t="s">
        <v>1627</v>
      </c>
      <c r="C408" s="2" t="s">
        <v>3992</v>
      </c>
      <c r="D408" s="2" t="s">
        <v>338</v>
      </c>
      <c r="E408" s="3" t="s">
        <v>1174</v>
      </c>
      <c r="F408" s="3" t="s">
        <v>1601</v>
      </c>
      <c r="G408" s="2" t="s">
        <v>4769</v>
      </c>
      <c r="H408" s="2" t="s">
        <v>4892</v>
      </c>
      <c r="I408" s="3" t="s">
        <v>1611</v>
      </c>
      <c r="J408" s="3" t="s">
        <v>1470</v>
      </c>
      <c r="K408" s="3" t="s">
        <v>1628</v>
      </c>
      <c r="L408" s="3" t="s">
        <v>338</v>
      </c>
      <c r="M408" s="3" t="s">
        <v>95</v>
      </c>
      <c r="N408" s="2">
        <v>3190</v>
      </c>
      <c r="O408" s="3" t="s">
        <v>96</v>
      </c>
      <c r="P408" s="3" t="s">
        <v>97</v>
      </c>
      <c r="Q408" s="2" t="s">
        <v>5803</v>
      </c>
      <c r="R408" s="3" t="s">
        <v>1629</v>
      </c>
    </row>
    <row r="409" spans="1:18" x14ac:dyDescent="0.25">
      <c r="A409" s="2">
        <v>13308</v>
      </c>
      <c r="B409" s="3" t="s">
        <v>1630</v>
      </c>
      <c r="C409" s="2" t="s">
        <v>3993</v>
      </c>
      <c r="D409" s="2" t="s">
        <v>338</v>
      </c>
      <c r="E409" s="3" t="s">
        <v>1174</v>
      </c>
      <c r="F409" s="3" t="s">
        <v>1601</v>
      </c>
      <c r="G409" s="2" t="s">
        <v>4769</v>
      </c>
      <c r="H409" s="2" t="s">
        <v>4893</v>
      </c>
      <c r="I409" s="3" t="s">
        <v>1611</v>
      </c>
      <c r="J409" s="3" t="s">
        <v>138</v>
      </c>
      <c r="K409" s="3" t="s">
        <v>1631</v>
      </c>
      <c r="L409" s="3" t="s">
        <v>338</v>
      </c>
      <c r="M409" s="3" t="s">
        <v>95</v>
      </c>
      <c r="N409" s="2">
        <v>3190</v>
      </c>
      <c r="O409" s="3" t="s">
        <v>96</v>
      </c>
      <c r="P409" s="3" t="s">
        <v>97</v>
      </c>
      <c r="Q409" s="2" t="s">
        <v>5804</v>
      </c>
      <c r="R409" s="3" t="s">
        <v>1632</v>
      </c>
    </row>
    <row r="410" spans="1:18" x14ac:dyDescent="0.25">
      <c r="A410" s="2">
        <v>17693</v>
      </c>
      <c r="B410" s="3" t="s">
        <v>1633</v>
      </c>
      <c r="C410" s="2" t="s">
        <v>3994</v>
      </c>
      <c r="D410" s="2" t="s">
        <v>338</v>
      </c>
      <c r="E410" s="3" t="s">
        <v>1174</v>
      </c>
      <c r="F410" s="3" t="s">
        <v>1601</v>
      </c>
      <c r="G410" s="2" t="s">
        <v>4769</v>
      </c>
      <c r="H410" s="2" t="s">
        <v>4894</v>
      </c>
      <c r="I410" s="3" t="s">
        <v>1634</v>
      </c>
      <c r="J410" s="3" t="s">
        <v>138</v>
      </c>
      <c r="K410" s="3" t="s">
        <v>1635</v>
      </c>
      <c r="L410" s="3" t="s">
        <v>338</v>
      </c>
      <c r="M410" s="3" t="s">
        <v>95</v>
      </c>
      <c r="N410" s="2">
        <v>3190</v>
      </c>
      <c r="O410" s="3" t="s">
        <v>96</v>
      </c>
      <c r="P410" s="3" t="s">
        <v>97</v>
      </c>
      <c r="Q410" s="2" t="s">
        <v>5805</v>
      </c>
      <c r="R410" s="3" t="s">
        <v>1636</v>
      </c>
    </row>
    <row r="411" spans="1:18" x14ac:dyDescent="0.25">
      <c r="A411" s="2">
        <v>11827</v>
      </c>
      <c r="B411" s="3" t="s">
        <v>1637</v>
      </c>
      <c r="C411" s="2" t="s">
        <v>3995</v>
      </c>
      <c r="D411" s="2" t="s">
        <v>338</v>
      </c>
      <c r="E411" s="3" t="s">
        <v>1174</v>
      </c>
      <c r="F411" s="3" t="s">
        <v>1601</v>
      </c>
      <c r="G411" s="2" t="s">
        <v>4769</v>
      </c>
      <c r="H411" s="2" t="s">
        <v>4895</v>
      </c>
      <c r="I411" s="3" t="s">
        <v>1607</v>
      </c>
      <c r="J411" s="3" t="s">
        <v>1638</v>
      </c>
      <c r="K411" s="3" t="s">
        <v>1608</v>
      </c>
      <c r="L411" s="3" t="s">
        <v>338</v>
      </c>
      <c r="M411" s="3" t="s">
        <v>95</v>
      </c>
      <c r="N411" s="2">
        <v>3190</v>
      </c>
      <c r="O411" s="3" t="s">
        <v>96</v>
      </c>
      <c r="P411" s="3" t="s">
        <v>97</v>
      </c>
      <c r="Q411" s="2" t="s">
        <v>5806</v>
      </c>
      <c r="R411" s="3" t="s">
        <v>1639</v>
      </c>
    </row>
    <row r="412" spans="1:18" x14ac:dyDescent="0.25">
      <c r="A412" s="2">
        <v>24464</v>
      </c>
      <c r="B412" s="3" t="s">
        <v>1640</v>
      </c>
      <c r="C412" s="2" t="s">
        <v>3996</v>
      </c>
      <c r="D412" s="2" t="s">
        <v>338</v>
      </c>
      <c r="E412" s="3" t="s">
        <v>1174</v>
      </c>
      <c r="F412" s="3" t="s">
        <v>1641</v>
      </c>
      <c r="G412" s="2" t="s">
        <v>4896</v>
      </c>
      <c r="H412" s="2" t="s">
        <v>4897</v>
      </c>
      <c r="I412" s="3" t="s">
        <v>1642</v>
      </c>
      <c r="J412" s="3" t="s">
        <v>1643</v>
      </c>
      <c r="K412" s="3" t="s">
        <v>1644</v>
      </c>
      <c r="L412" s="3" t="s">
        <v>338</v>
      </c>
      <c r="M412" s="3" t="s">
        <v>95</v>
      </c>
      <c r="N412" s="2">
        <v>3103</v>
      </c>
      <c r="O412" s="3" t="s">
        <v>96</v>
      </c>
      <c r="P412" s="3" t="s">
        <v>97</v>
      </c>
      <c r="Q412" s="2" t="s">
        <v>5807</v>
      </c>
      <c r="R412" s="3" t="s">
        <v>1645</v>
      </c>
    </row>
    <row r="413" spans="1:18" x14ac:dyDescent="0.25">
      <c r="A413" s="2">
        <v>19996</v>
      </c>
      <c r="B413" s="3" t="s">
        <v>1646</v>
      </c>
      <c r="C413" s="2" t="s">
        <v>3997</v>
      </c>
      <c r="D413" s="2" t="s">
        <v>338</v>
      </c>
      <c r="E413" s="3" t="s">
        <v>1174</v>
      </c>
      <c r="F413" s="3" t="s">
        <v>1641</v>
      </c>
      <c r="G413" s="2" t="s">
        <v>4896</v>
      </c>
      <c r="H413" s="2" t="s">
        <v>4898</v>
      </c>
      <c r="I413" s="3" t="s">
        <v>1642</v>
      </c>
      <c r="J413" s="3" t="s">
        <v>1647</v>
      </c>
      <c r="K413" s="3" t="s">
        <v>1648</v>
      </c>
      <c r="L413" s="3" t="s">
        <v>338</v>
      </c>
      <c r="M413" s="3" t="s">
        <v>95</v>
      </c>
      <c r="N413" s="2">
        <v>3103</v>
      </c>
      <c r="O413" s="3" t="s">
        <v>96</v>
      </c>
      <c r="P413" s="3" t="s">
        <v>97</v>
      </c>
      <c r="Q413" s="2" t="s">
        <v>5808</v>
      </c>
      <c r="R413" s="3" t="s">
        <v>1649</v>
      </c>
    </row>
    <row r="414" spans="1:18" x14ac:dyDescent="0.25">
      <c r="A414" s="2">
        <v>23215</v>
      </c>
      <c r="B414" s="3" t="s">
        <v>1650</v>
      </c>
      <c r="C414" s="2" t="s">
        <v>3998</v>
      </c>
      <c r="D414" s="2" t="s">
        <v>338</v>
      </c>
      <c r="E414" s="3" t="s">
        <v>1174</v>
      </c>
      <c r="F414" s="3" t="s">
        <v>1641</v>
      </c>
      <c r="G414" s="2" t="s">
        <v>4896</v>
      </c>
      <c r="H414" s="2" t="s">
        <v>4899</v>
      </c>
      <c r="I414" s="3" t="s">
        <v>1642</v>
      </c>
      <c r="J414" s="3" t="s">
        <v>1651</v>
      </c>
      <c r="K414" s="3" t="s">
        <v>1652</v>
      </c>
      <c r="L414" s="3" t="s">
        <v>338</v>
      </c>
      <c r="M414" s="3" t="s">
        <v>95</v>
      </c>
      <c r="N414" s="2">
        <v>3103</v>
      </c>
      <c r="O414" s="3" t="s">
        <v>96</v>
      </c>
      <c r="P414" s="3" t="s">
        <v>97</v>
      </c>
      <c r="Q414" s="2" t="s">
        <v>5809</v>
      </c>
      <c r="R414" s="3" t="s">
        <v>1653</v>
      </c>
    </row>
    <row r="415" spans="1:18" x14ac:dyDescent="0.25">
      <c r="A415" s="2">
        <v>27010</v>
      </c>
      <c r="B415" s="3" t="s">
        <v>1654</v>
      </c>
      <c r="C415" s="2" t="s">
        <v>3999</v>
      </c>
      <c r="D415" s="2" t="s">
        <v>338</v>
      </c>
      <c r="E415" s="3" t="s">
        <v>1174</v>
      </c>
      <c r="F415" s="3" t="s">
        <v>1641</v>
      </c>
      <c r="G415" s="2" t="s">
        <v>4896</v>
      </c>
      <c r="H415" s="2" t="s">
        <v>4900</v>
      </c>
      <c r="I415" s="3" t="s">
        <v>1642</v>
      </c>
      <c r="J415" s="3" t="s">
        <v>1655</v>
      </c>
      <c r="K415" s="3" t="s">
        <v>1656</v>
      </c>
      <c r="L415" s="3" t="s">
        <v>338</v>
      </c>
      <c r="M415" s="3" t="s">
        <v>95</v>
      </c>
      <c r="N415" s="2">
        <v>3103</v>
      </c>
      <c r="O415" s="3" t="s">
        <v>96</v>
      </c>
      <c r="P415" s="3" t="s">
        <v>97</v>
      </c>
      <c r="Q415" s="2" t="s">
        <v>5810</v>
      </c>
      <c r="R415" s="3" t="s">
        <v>1657</v>
      </c>
    </row>
    <row r="416" spans="1:18" x14ac:dyDescent="0.25">
      <c r="A416" s="2">
        <v>22094</v>
      </c>
      <c r="B416" s="3" t="s">
        <v>1658</v>
      </c>
      <c r="C416" s="2" t="s">
        <v>4000</v>
      </c>
      <c r="D416" s="2" t="s">
        <v>338</v>
      </c>
      <c r="E416" s="3" t="s">
        <v>1174</v>
      </c>
      <c r="F416" s="3" t="s">
        <v>1641</v>
      </c>
      <c r="G416" s="2" t="s">
        <v>4896</v>
      </c>
      <c r="H416" s="2" t="s">
        <v>4901</v>
      </c>
      <c r="I416" s="3" t="s">
        <v>1642</v>
      </c>
      <c r="J416" s="3" t="s">
        <v>1659</v>
      </c>
      <c r="K416" s="3" t="s">
        <v>1660</v>
      </c>
      <c r="L416" s="3" t="s">
        <v>338</v>
      </c>
      <c r="M416" s="3" t="s">
        <v>95</v>
      </c>
      <c r="N416" s="2">
        <v>3103</v>
      </c>
      <c r="O416" s="3" t="s">
        <v>96</v>
      </c>
      <c r="P416" s="3" t="s">
        <v>97</v>
      </c>
      <c r="Q416" s="2" t="s">
        <v>5811</v>
      </c>
      <c r="R416" s="3" t="s">
        <v>1661</v>
      </c>
    </row>
    <row r="417" spans="1:18" x14ac:dyDescent="0.25">
      <c r="A417" s="2">
        <v>18563</v>
      </c>
      <c r="B417" s="3" t="s">
        <v>1662</v>
      </c>
      <c r="C417" s="2" t="s">
        <v>4001</v>
      </c>
      <c r="D417" s="2" t="s">
        <v>338</v>
      </c>
      <c r="E417" s="3" t="s">
        <v>1174</v>
      </c>
      <c r="F417" s="3" t="s">
        <v>1663</v>
      </c>
      <c r="G417" s="2" t="s">
        <v>4902</v>
      </c>
      <c r="H417" s="2" t="s">
        <v>4903</v>
      </c>
      <c r="I417" s="3" t="s">
        <v>1664</v>
      </c>
      <c r="J417" s="3" t="s">
        <v>1665</v>
      </c>
      <c r="K417" s="3" t="s">
        <v>1666</v>
      </c>
      <c r="L417" s="3" t="s">
        <v>338</v>
      </c>
      <c r="M417" s="3" t="s">
        <v>95</v>
      </c>
      <c r="N417" s="2">
        <v>1493</v>
      </c>
      <c r="O417" s="3" t="s">
        <v>96</v>
      </c>
      <c r="P417" s="3" t="s">
        <v>97</v>
      </c>
      <c r="Q417" s="2" t="s">
        <v>5812</v>
      </c>
      <c r="R417" s="3" t="s">
        <v>1667</v>
      </c>
    </row>
    <row r="418" spans="1:18" x14ac:dyDescent="0.25">
      <c r="A418" s="2">
        <v>22781</v>
      </c>
      <c r="B418" s="3" t="s">
        <v>1668</v>
      </c>
      <c r="C418" s="2" t="s">
        <v>4002</v>
      </c>
      <c r="D418" s="2" t="s">
        <v>338</v>
      </c>
      <c r="E418" s="3" t="s">
        <v>1174</v>
      </c>
      <c r="F418" s="3" t="s">
        <v>1663</v>
      </c>
      <c r="G418" s="2" t="s">
        <v>4902</v>
      </c>
      <c r="H418" s="2" t="s">
        <v>4904</v>
      </c>
      <c r="I418" s="3" t="s">
        <v>1669</v>
      </c>
      <c r="J418" s="3" t="s">
        <v>138</v>
      </c>
      <c r="K418" s="3" t="s">
        <v>1670</v>
      </c>
      <c r="L418" s="3" t="s">
        <v>338</v>
      </c>
      <c r="M418" s="3" t="s">
        <v>95</v>
      </c>
      <c r="N418" s="2">
        <v>1493</v>
      </c>
      <c r="O418" s="3" t="s">
        <v>96</v>
      </c>
      <c r="P418" s="3" t="s">
        <v>97</v>
      </c>
      <c r="Q418" s="2" t="s">
        <v>5813</v>
      </c>
      <c r="R418" s="3" t="s">
        <v>1671</v>
      </c>
    </row>
    <row r="419" spans="1:18" x14ac:dyDescent="0.25">
      <c r="A419" s="2">
        <v>41081</v>
      </c>
      <c r="B419" s="3" t="s">
        <v>1672</v>
      </c>
      <c r="C419" s="2" t="s">
        <v>4003</v>
      </c>
      <c r="D419" s="2" t="s">
        <v>338</v>
      </c>
      <c r="E419" s="3" t="s">
        <v>1174</v>
      </c>
      <c r="F419" s="3" t="s">
        <v>1663</v>
      </c>
      <c r="G419" s="2" t="s">
        <v>4902</v>
      </c>
      <c r="H419" s="2" t="s">
        <v>4905</v>
      </c>
      <c r="I419" s="3" t="s">
        <v>1664</v>
      </c>
      <c r="J419" s="3" t="s">
        <v>1673</v>
      </c>
      <c r="K419" s="3" t="s">
        <v>1674</v>
      </c>
      <c r="L419" s="3" t="s">
        <v>338</v>
      </c>
      <c r="M419" s="3" t="s">
        <v>95</v>
      </c>
      <c r="N419" s="2">
        <v>1493</v>
      </c>
      <c r="O419" s="3" t="s">
        <v>96</v>
      </c>
      <c r="P419" s="3" t="s">
        <v>97</v>
      </c>
      <c r="Q419" s="2" t="s">
        <v>5814</v>
      </c>
      <c r="R419" s="3" t="s">
        <v>1675</v>
      </c>
    </row>
    <row r="420" spans="1:18" x14ac:dyDescent="0.25">
      <c r="A420" s="2">
        <v>40819</v>
      </c>
      <c r="B420" s="3" t="s">
        <v>1676</v>
      </c>
      <c r="C420" s="2" t="s">
        <v>4004</v>
      </c>
      <c r="D420" s="2" t="s">
        <v>338</v>
      </c>
      <c r="E420" s="3" t="s">
        <v>1174</v>
      </c>
      <c r="F420" s="3" t="s">
        <v>1663</v>
      </c>
      <c r="G420" s="2" t="s">
        <v>4821</v>
      </c>
      <c r="H420" s="2" t="s">
        <v>4906</v>
      </c>
      <c r="I420" s="3" t="s">
        <v>1677</v>
      </c>
      <c r="J420" s="3" t="s">
        <v>138</v>
      </c>
      <c r="K420" s="3" t="s">
        <v>1678</v>
      </c>
      <c r="L420" s="3" t="s">
        <v>338</v>
      </c>
      <c r="M420" s="3" t="s">
        <v>95</v>
      </c>
      <c r="N420" s="2">
        <v>1493</v>
      </c>
      <c r="O420" s="3" t="s">
        <v>96</v>
      </c>
      <c r="P420" s="3" t="s">
        <v>97</v>
      </c>
      <c r="Q420" s="2" t="s">
        <v>5815</v>
      </c>
      <c r="R420" s="3" t="s">
        <v>1679</v>
      </c>
    </row>
    <row r="421" spans="1:18" x14ac:dyDescent="0.25">
      <c r="A421" s="2">
        <v>24010</v>
      </c>
      <c r="B421" s="3" t="s">
        <v>1680</v>
      </c>
      <c r="C421" s="2" t="s">
        <v>4005</v>
      </c>
      <c r="D421" s="2" t="s">
        <v>338</v>
      </c>
      <c r="E421" s="3" t="s">
        <v>1174</v>
      </c>
      <c r="F421" s="3" t="s">
        <v>1663</v>
      </c>
      <c r="G421" s="2" t="s">
        <v>4902</v>
      </c>
      <c r="H421" s="2" t="s">
        <v>4907</v>
      </c>
      <c r="I421" s="3" t="s">
        <v>1681</v>
      </c>
      <c r="J421" s="3" t="s">
        <v>1682</v>
      </c>
      <c r="K421" s="3" t="s">
        <v>1683</v>
      </c>
      <c r="L421" s="3" t="s">
        <v>338</v>
      </c>
      <c r="M421" s="3" t="s">
        <v>95</v>
      </c>
      <c r="N421" s="2">
        <v>1493</v>
      </c>
      <c r="O421" s="3" t="s">
        <v>96</v>
      </c>
      <c r="P421" s="3" t="s">
        <v>97</v>
      </c>
      <c r="Q421" s="2" t="s">
        <v>5816</v>
      </c>
      <c r="R421" s="3" t="s">
        <v>1684</v>
      </c>
    </row>
    <row r="422" spans="1:18" x14ac:dyDescent="0.25">
      <c r="A422" s="2">
        <v>9035</v>
      </c>
      <c r="B422" s="3" t="s">
        <v>1685</v>
      </c>
      <c r="C422" s="2" t="s">
        <v>4006</v>
      </c>
      <c r="D422" s="2" t="s">
        <v>338</v>
      </c>
      <c r="E422" s="3" t="s">
        <v>1174</v>
      </c>
      <c r="F422" s="3" t="s">
        <v>1663</v>
      </c>
      <c r="G422" s="2" t="s">
        <v>4902</v>
      </c>
      <c r="H422" s="2" t="s">
        <v>4908</v>
      </c>
      <c r="I422" s="3" t="s">
        <v>1681</v>
      </c>
      <c r="J422" s="3" t="s">
        <v>138</v>
      </c>
      <c r="K422" s="3" t="s">
        <v>1686</v>
      </c>
      <c r="L422" s="3" t="s">
        <v>338</v>
      </c>
      <c r="M422" s="3" t="s">
        <v>95</v>
      </c>
      <c r="N422" s="2">
        <v>1493</v>
      </c>
      <c r="O422" s="3" t="s">
        <v>96</v>
      </c>
      <c r="P422" s="3" t="s">
        <v>97</v>
      </c>
      <c r="Q422" s="2" t="s">
        <v>5817</v>
      </c>
      <c r="R422" s="3" t="s">
        <v>1687</v>
      </c>
    </row>
    <row r="423" spans="1:18" x14ac:dyDescent="0.25">
      <c r="A423" s="2">
        <v>19279</v>
      </c>
      <c r="B423" s="3" t="s">
        <v>1688</v>
      </c>
      <c r="C423" s="2" t="s">
        <v>4007</v>
      </c>
      <c r="D423" s="2" t="s">
        <v>338</v>
      </c>
      <c r="E423" s="3" t="s">
        <v>1174</v>
      </c>
      <c r="F423" s="3" t="s">
        <v>1663</v>
      </c>
      <c r="G423" s="2" t="s">
        <v>4902</v>
      </c>
      <c r="H423" s="2" t="s">
        <v>4909</v>
      </c>
      <c r="I423" s="3" t="s">
        <v>1664</v>
      </c>
      <c r="J423" s="3" t="s">
        <v>1689</v>
      </c>
      <c r="K423" s="3" t="s">
        <v>1690</v>
      </c>
      <c r="L423" s="3" t="s">
        <v>338</v>
      </c>
      <c r="M423" s="3" t="s">
        <v>95</v>
      </c>
      <c r="N423" s="2">
        <v>1493</v>
      </c>
      <c r="O423" s="3" t="s">
        <v>96</v>
      </c>
      <c r="P423" s="3" t="s">
        <v>97</v>
      </c>
      <c r="Q423" s="2" t="s">
        <v>5818</v>
      </c>
      <c r="R423" s="3" t="s">
        <v>1691</v>
      </c>
    </row>
    <row r="424" spans="1:18" x14ac:dyDescent="0.25">
      <c r="A424" s="2">
        <v>22175</v>
      </c>
      <c r="B424" s="3" t="s">
        <v>1692</v>
      </c>
      <c r="C424" s="2" t="s">
        <v>4008</v>
      </c>
      <c r="D424" s="2" t="s">
        <v>338</v>
      </c>
      <c r="E424" s="3" t="s">
        <v>1174</v>
      </c>
      <c r="F424" s="3" t="s">
        <v>1663</v>
      </c>
      <c r="G424" s="2" t="s">
        <v>4902</v>
      </c>
      <c r="H424" s="2" t="s">
        <v>4910</v>
      </c>
      <c r="I424" s="3" t="s">
        <v>1664</v>
      </c>
      <c r="J424" s="3" t="s">
        <v>1693</v>
      </c>
      <c r="K424" s="3" t="s">
        <v>1694</v>
      </c>
      <c r="L424" s="3" t="s">
        <v>338</v>
      </c>
      <c r="M424" s="3" t="s">
        <v>95</v>
      </c>
      <c r="N424" s="2">
        <v>1493</v>
      </c>
      <c r="O424" s="3" t="s">
        <v>96</v>
      </c>
      <c r="P424" s="3" t="s">
        <v>97</v>
      </c>
      <c r="Q424" s="2" t="s">
        <v>5819</v>
      </c>
      <c r="R424" s="3" t="s">
        <v>1695</v>
      </c>
    </row>
    <row r="425" spans="1:18" x14ac:dyDescent="0.25">
      <c r="A425" s="2">
        <v>35101</v>
      </c>
      <c r="B425" s="3" t="s">
        <v>1696</v>
      </c>
      <c r="C425" s="2" t="s">
        <v>4009</v>
      </c>
      <c r="D425" s="2" t="s">
        <v>338</v>
      </c>
      <c r="E425" s="3" t="s">
        <v>1174</v>
      </c>
      <c r="F425" s="3" t="s">
        <v>1663</v>
      </c>
      <c r="G425" s="2" t="s">
        <v>4902</v>
      </c>
      <c r="H425" s="2" t="s">
        <v>4911</v>
      </c>
      <c r="I425" s="3" t="s">
        <v>1697</v>
      </c>
      <c r="J425" s="3" t="s">
        <v>1698</v>
      </c>
      <c r="K425" s="3" t="s">
        <v>1699</v>
      </c>
      <c r="L425" s="3" t="s">
        <v>338</v>
      </c>
      <c r="M425" s="3" t="s">
        <v>95</v>
      </c>
      <c r="N425" s="2">
        <v>1493</v>
      </c>
      <c r="O425" s="3" t="s">
        <v>96</v>
      </c>
      <c r="P425" s="3" t="s">
        <v>97</v>
      </c>
      <c r="Q425" s="2" t="s">
        <v>5820</v>
      </c>
      <c r="R425" s="3" t="s">
        <v>1700</v>
      </c>
    </row>
    <row r="426" spans="1:18" x14ac:dyDescent="0.25">
      <c r="A426" s="2">
        <v>17424</v>
      </c>
      <c r="B426" s="3" t="s">
        <v>1701</v>
      </c>
      <c r="C426" s="2" t="s">
        <v>4010</v>
      </c>
      <c r="D426" s="2" t="s">
        <v>338</v>
      </c>
      <c r="E426" s="3" t="s">
        <v>1174</v>
      </c>
      <c r="F426" s="3" t="s">
        <v>1663</v>
      </c>
      <c r="G426" s="2" t="s">
        <v>4902</v>
      </c>
      <c r="H426" s="2" t="s">
        <v>4912</v>
      </c>
      <c r="I426" s="3" t="s">
        <v>1681</v>
      </c>
      <c r="J426" s="3" t="s">
        <v>138</v>
      </c>
      <c r="K426" s="3" t="s">
        <v>1702</v>
      </c>
      <c r="L426" s="3" t="s">
        <v>338</v>
      </c>
      <c r="M426" s="3" t="s">
        <v>95</v>
      </c>
      <c r="N426" s="2">
        <v>1493</v>
      </c>
      <c r="O426" s="3" t="s">
        <v>96</v>
      </c>
      <c r="P426" s="3" t="s">
        <v>97</v>
      </c>
      <c r="Q426" s="2" t="s">
        <v>5821</v>
      </c>
      <c r="R426" s="3" t="s">
        <v>1703</v>
      </c>
    </row>
    <row r="427" spans="1:18" x14ac:dyDescent="0.25">
      <c r="A427" s="2">
        <v>35336</v>
      </c>
      <c r="B427" s="3" t="s">
        <v>1704</v>
      </c>
      <c r="C427" s="2" t="s">
        <v>4011</v>
      </c>
      <c r="D427" s="2" t="s">
        <v>338</v>
      </c>
      <c r="E427" s="3" t="s">
        <v>1174</v>
      </c>
      <c r="F427" s="3" t="s">
        <v>1663</v>
      </c>
      <c r="G427" s="2" t="s">
        <v>4902</v>
      </c>
      <c r="H427" s="2" t="s">
        <v>4913</v>
      </c>
      <c r="I427" s="3" t="s">
        <v>1705</v>
      </c>
      <c r="J427" s="3" t="s">
        <v>138</v>
      </c>
      <c r="K427" s="3" t="s">
        <v>1706</v>
      </c>
      <c r="L427" s="3" t="s">
        <v>338</v>
      </c>
      <c r="M427" s="3" t="s">
        <v>95</v>
      </c>
      <c r="N427" s="2">
        <v>1493</v>
      </c>
      <c r="O427" s="3" t="s">
        <v>96</v>
      </c>
      <c r="P427" s="3" t="s">
        <v>97</v>
      </c>
      <c r="Q427" s="2" t="s">
        <v>5822</v>
      </c>
      <c r="R427" s="3" t="s">
        <v>1707</v>
      </c>
    </row>
    <row r="428" spans="1:18" x14ac:dyDescent="0.25">
      <c r="A428" s="2">
        <v>4880</v>
      </c>
      <c r="B428" s="3" t="s">
        <v>1708</v>
      </c>
      <c r="C428" s="2" t="s">
        <v>4012</v>
      </c>
      <c r="D428" s="2" t="s">
        <v>338</v>
      </c>
      <c r="E428" s="3" t="s">
        <v>1174</v>
      </c>
      <c r="F428" s="3" t="s">
        <v>1663</v>
      </c>
      <c r="G428" s="2" t="s">
        <v>4902</v>
      </c>
      <c r="H428" s="2" t="s">
        <v>4914</v>
      </c>
      <c r="I428" s="3" t="s">
        <v>1681</v>
      </c>
      <c r="J428" s="3" t="s">
        <v>138</v>
      </c>
      <c r="K428" s="3" t="s">
        <v>1709</v>
      </c>
      <c r="L428" s="3" t="s">
        <v>338</v>
      </c>
      <c r="M428" s="3" t="s">
        <v>95</v>
      </c>
      <c r="N428" s="2">
        <v>1493</v>
      </c>
      <c r="O428" s="3" t="s">
        <v>96</v>
      </c>
      <c r="P428" s="3" t="s">
        <v>97</v>
      </c>
      <c r="Q428" s="2" t="s">
        <v>5823</v>
      </c>
      <c r="R428" s="3" t="s">
        <v>1710</v>
      </c>
    </row>
    <row r="429" spans="1:18" x14ac:dyDescent="0.25">
      <c r="A429" s="2">
        <v>13485</v>
      </c>
      <c r="B429" s="3" t="s">
        <v>1711</v>
      </c>
      <c r="C429" s="2" t="s">
        <v>4013</v>
      </c>
      <c r="D429" s="2" t="s">
        <v>338</v>
      </c>
      <c r="E429" s="3" t="s">
        <v>1174</v>
      </c>
      <c r="F429" s="3" t="s">
        <v>1663</v>
      </c>
      <c r="G429" s="2" t="s">
        <v>4902</v>
      </c>
      <c r="H429" s="2" t="s">
        <v>4915</v>
      </c>
      <c r="I429" s="3" t="s">
        <v>1681</v>
      </c>
      <c r="J429" s="3" t="s">
        <v>138</v>
      </c>
      <c r="K429" s="3" t="s">
        <v>1686</v>
      </c>
      <c r="L429" s="3" t="s">
        <v>338</v>
      </c>
      <c r="M429" s="3" t="s">
        <v>95</v>
      </c>
      <c r="N429" s="2">
        <v>1493</v>
      </c>
      <c r="O429" s="3" t="s">
        <v>96</v>
      </c>
      <c r="P429" s="3" t="s">
        <v>97</v>
      </c>
      <c r="Q429" s="2" t="s">
        <v>5824</v>
      </c>
      <c r="R429" s="3" t="s">
        <v>1712</v>
      </c>
    </row>
    <row r="430" spans="1:18" x14ac:dyDescent="0.25">
      <c r="A430" s="2">
        <v>4867</v>
      </c>
      <c r="B430" s="3" t="s">
        <v>1713</v>
      </c>
      <c r="C430" s="2" t="s">
        <v>4014</v>
      </c>
      <c r="D430" s="2" t="s">
        <v>338</v>
      </c>
      <c r="E430" s="3" t="s">
        <v>1174</v>
      </c>
      <c r="F430" s="3" t="s">
        <v>1663</v>
      </c>
      <c r="G430" s="2" t="s">
        <v>4902</v>
      </c>
      <c r="H430" s="2" t="s">
        <v>4916</v>
      </c>
      <c r="I430" s="3" t="s">
        <v>1714</v>
      </c>
      <c r="J430" s="3" t="s">
        <v>138</v>
      </c>
      <c r="K430" s="3" t="s">
        <v>1715</v>
      </c>
      <c r="L430" s="3" t="s">
        <v>338</v>
      </c>
      <c r="M430" s="3" t="s">
        <v>95</v>
      </c>
      <c r="N430" s="2">
        <v>1493</v>
      </c>
      <c r="O430" s="3" t="s">
        <v>96</v>
      </c>
      <c r="P430" s="3" t="s">
        <v>97</v>
      </c>
      <c r="Q430" s="2" t="s">
        <v>5825</v>
      </c>
      <c r="R430" s="3" t="s">
        <v>1716</v>
      </c>
    </row>
    <row r="431" spans="1:18" x14ac:dyDescent="0.25">
      <c r="A431" s="2">
        <v>14044</v>
      </c>
      <c r="B431" s="3" t="s">
        <v>1717</v>
      </c>
      <c r="C431" s="2" t="s">
        <v>4015</v>
      </c>
      <c r="D431" s="2" t="s">
        <v>1723</v>
      </c>
      <c r="E431" s="3" t="s">
        <v>1718</v>
      </c>
      <c r="F431" s="3" t="s">
        <v>1719</v>
      </c>
      <c r="G431" s="2" t="s">
        <v>4917</v>
      </c>
      <c r="H431" s="2" t="s">
        <v>4918</v>
      </c>
      <c r="I431" s="3" t="s">
        <v>1720</v>
      </c>
      <c r="J431" s="3" t="s">
        <v>1721</v>
      </c>
      <c r="K431" s="3" t="s">
        <v>1722</v>
      </c>
      <c r="L431" s="3" t="s">
        <v>1723</v>
      </c>
      <c r="M431" s="3" t="s">
        <v>20</v>
      </c>
      <c r="N431" s="2">
        <v>7</v>
      </c>
      <c r="O431" s="3" t="s">
        <v>21</v>
      </c>
      <c r="P431" s="3" t="s">
        <v>22</v>
      </c>
      <c r="Q431" s="2" t="s">
        <v>5826</v>
      </c>
      <c r="R431" s="3" t="s">
        <v>1724</v>
      </c>
    </row>
    <row r="432" spans="1:18" x14ac:dyDescent="0.25">
      <c r="A432" s="2">
        <v>37150</v>
      </c>
      <c r="B432" s="3" t="s">
        <v>1725</v>
      </c>
      <c r="C432" s="2" t="s">
        <v>4016</v>
      </c>
      <c r="D432" s="2" t="s">
        <v>1723</v>
      </c>
      <c r="E432" s="3" t="s">
        <v>1718</v>
      </c>
      <c r="F432" s="3" t="s">
        <v>1719</v>
      </c>
      <c r="G432" s="2" t="s">
        <v>4919</v>
      </c>
      <c r="H432" s="2" t="s">
        <v>4920</v>
      </c>
      <c r="I432" s="3" t="s">
        <v>1726</v>
      </c>
      <c r="J432" s="3" t="s">
        <v>1727</v>
      </c>
      <c r="K432" s="3" t="s">
        <v>1728</v>
      </c>
      <c r="L432" s="3" t="s">
        <v>1723</v>
      </c>
      <c r="M432" s="3" t="s">
        <v>95</v>
      </c>
      <c r="N432" s="2">
        <v>7</v>
      </c>
      <c r="O432" s="3" t="s">
        <v>96</v>
      </c>
      <c r="P432" s="3" t="s">
        <v>97</v>
      </c>
      <c r="Q432" s="2" t="s">
        <v>5827</v>
      </c>
      <c r="R432" s="3" t="s">
        <v>1729</v>
      </c>
    </row>
    <row r="433" spans="1:18" x14ac:dyDescent="0.25">
      <c r="A433" s="2">
        <v>36241</v>
      </c>
      <c r="B433" s="3" t="s">
        <v>1730</v>
      </c>
      <c r="C433" s="2" t="s">
        <v>4017</v>
      </c>
      <c r="D433" s="2" t="s">
        <v>1723</v>
      </c>
      <c r="E433" s="3" t="s">
        <v>1718</v>
      </c>
      <c r="F433" s="3" t="s">
        <v>1719</v>
      </c>
      <c r="G433" s="2" t="s">
        <v>4917</v>
      </c>
      <c r="H433" s="2" t="s">
        <v>4921</v>
      </c>
      <c r="I433" s="3" t="s">
        <v>1720</v>
      </c>
      <c r="J433" s="3" t="s">
        <v>1731</v>
      </c>
      <c r="K433" s="3" t="s">
        <v>1732</v>
      </c>
      <c r="L433" s="3" t="s">
        <v>1723</v>
      </c>
      <c r="M433" s="3" t="s">
        <v>20</v>
      </c>
      <c r="N433" s="2">
        <v>7</v>
      </c>
      <c r="O433" s="3" t="s">
        <v>21</v>
      </c>
      <c r="P433" s="3" t="s">
        <v>22</v>
      </c>
      <c r="Q433" s="2" t="s">
        <v>5828</v>
      </c>
      <c r="R433" s="3" t="s">
        <v>1733</v>
      </c>
    </row>
    <row r="434" spans="1:18" x14ac:dyDescent="0.25">
      <c r="A434" s="2">
        <v>38110</v>
      </c>
      <c r="B434" s="3" t="s">
        <v>1734</v>
      </c>
      <c r="C434" s="2" t="s">
        <v>4018</v>
      </c>
      <c r="D434" s="2" t="s">
        <v>1723</v>
      </c>
      <c r="E434" s="3" t="s">
        <v>1718</v>
      </c>
      <c r="F434" s="3" t="s">
        <v>1719</v>
      </c>
      <c r="G434" s="2" t="s">
        <v>4922</v>
      </c>
      <c r="H434" s="2" t="s">
        <v>4923</v>
      </c>
      <c r="I434" s="3" t="s">
        <v>1735</v>
      </c>
      <c r="J434" s="3" t="s">
        <v>1736</v>
      </c>
      <c r="K434" s="3" t="s">
        <v>1737</v>
      </c>
      <c r="L434" s="3" t="s">
        <v>1723</v>
      </c>
      <c r="M434" s="3" t="s">
        <v>95</v>
      </c>
      <c r="N434" s="2">
        <v>7</v>
      </c>
      <c r="O434" s="3" t="s">
        <v>21</v>
      </c>
      <c r="P434" s="3" t="s">
        <v>97</v>
      </c>
      <c r="Q434" s="2" t="s">
        <v>5829</v>
      </c>
      <c r="R434" s="3" t="s">
        <v>1738</v>
      </c>
    </row>
    <row r="435" spans="1:18" x14ac:dyDescent="0.25">
      <c r="A435" s="2">
        <v>24721</v>
      </c>
      <c r="B435" s="3" t="s">
        <v>1739</v>
      </c>
      <c r="C435" s="2" t="s">
        <v>4019</v>
      </c>
      <c r="D435" s="2" t="s">
        <v>1723</v>
      </c>
      <c r="E435" s="3" t="s">
        <v>1718</v>
      </c>
      <c r="F435" s="3" t="s">
        <v>1719</v>
      </c>
      <c r="G435" s="2" t="s">
        <v>4917</v>
      </c>
      <c r="H435" s="2" t="s">
        <v>4924</v>
      </c>
      <c r="I435" s="3" t="s">
        <v>1740</v>
      </c>
      <c r="J435" s="3" t="s">
        <v>1011</v>
      </c>
      <c r="K435" s="3" t="s">
        <v>1741</v>
      </c>
      <c r="L435" s="3" t="s">
        <v>1723</v>
      </c>
      <c r="M435" s="3" t="s">
        <v>95</v>
      </c>
      <c r="N435" s="2">
        <v>7</v>
      </c>
      <c r="O435" s="3" t="s">
        <v>271</v>
      </c>
      <c r="P435" s="3" t="s">
        <v>97</v>
      </c>
      <c r="Q435" s="2" t="s">
        <v>5830</v>
      </c>
      <c r="R435" s="3" t="s">
        <v>1742</v>
      </c>
    </row>
    <row r="436" spans="1:18" x14ac:dyDescent="0.25">
      <c r="A436" s="2">
        <v>13363</v>
      </c>
      <c r="B436" s="3" t="s">
        <v>1743</v>
      </c>
      <c r="C436" s="2" t="s">
        <v>4020</v>
      </c>
      <c r="D436" s="2" t="s">
        <v>1723</v>
      </c>
      <c r="E436" s="3" t="s">
        <v>1718</v>
      </c>
      <c r="F436" s="3" t="s">
        <v>1719</v>
      </c>
      <c r="G436" s="2" t="s">
        <v>4917</v>
      </c>
      <c r="H436" s="2" t="s">
        <v>4925</v>
      </c>
      <c r="I436" s="3" t="s">
        <v>1744</v>
      </c>
      <c r="J436" s="3" t="s">
        <v>1745</v>
      </c>
      <c r="K436" s="3" t="s">
        <v>1746</v>
      </c>
      <c r="L436" s="3" t="s">
        <v>1723</v>
      </c>
      <c r="M436" s="3" t="s">
        <v>95</v>
      </c>
      <c r="N436" s="2">
        <v>7</v>
      </c>
      <c r="O436" s="3" t="s">
        <v>244</v>
      </c>
      <c r="P436" s="3" t="s">
        <v>97</v>
      </c>
      <c r="Q436" s="2" t="s">
        <v>5831</v>
      </c>
      <c r="R436" s="3" t="s">
        <v>1747</v>
      </c>
    </row>
    <row r="437" spans="1:18" x14ac:dyDescent="0.25">
      <c r="A437" s="2">
        <v>29648</v>
      </c>
      <c r="B437" s="3" t="s">
        <v>1748</v>
      </c>
      <c r="C437" s="2" t="s">
        <v>4021</v>
      </c>
      <c r="D437" s="2" t="s">
        <v>1723</v>
      </c>
      <c r="E437" s="3" t="s">
        <v>1718</v>
      </c>
      <c r="F437" s="3" t="s">
        <v>1719</v>
      </c>
      <c r="G437" s="2" t="s">
        <v>4917</v>
      </c>
      <c r="H437" s="2" t="s">
        <v>4926</v>
      </c>
      <c r="I437" s="3" t="s">
        <v>1740</v>
      </c>
      <c r="J437" s="3" t="s">
        <v>1749</v>
      </c>
      <c r="K437" s="3" t="s">
        <v>1750</v>
      </c>
      <c r="L437" s="3" t="s">
        <v>1723</v>
      </c>
      <c r="M437" s="3" t="s">
        <v>95</v>
      </c>
      <c r="N437" s="2">
        <v>7</v>
      </c>
      <c r="O437" s="3" t="s">
        <v>271</v>
      </c>
      <c r="P437" s="3" t="s">
        <v>97</v>
      </c>
      <c r="Q437" s="2" t="s">
        <v>5832</v>
      </c>
      <c r="R437" s="3" t="s">
        <v>1751</v>
      </c>
    </row>
    <row r="438" spans="1:18" x14ac:dyDescent="0.25">
      <c r="A438" s="2">
        <v>40714</v>
      </c>
      <c r="B438" s="3" t="s">
        <v>1752</v>
      </c>
      <c r="C438" s="2" t="s">
        <v>4022</v>
      </c>
      <c r="D438" s="2" t="s">
        <v>1723</v>
      </c>
      <c r="E438" s="3" t="s">
        <v>1718</v>
      </c>
      <c r="F438" s="3" t="s">
        <v>1719</v>
      </c>
      <c r="G438" s="2" t="s">
        <v>4917</v>
      </c>
      <c r="H438" s="2" t="s">
        <v>4927</v>
      </c>
      <c r="I438" s="3" t="s">
        <v>1753</v>
      </c>
      <c r="J438" s="3" t="s">
        <v>1754</v>
      </c>
      <c r="K438" s="3" t="s">
        <v>1755</v>
      </c>
      <c r="L438" s="3" t="s">
        <v>1723</v>
      </c>
      <c r="M438" s="3" t="s">
        <v>95</v>
      </c>
      <c r="N438" s="2">
        <v>7</v>
      </c>
      <c r="O438" s="3" t="s">
        <v>96</v>
      </c>
      <c r="P438" s="3" t="s">
        <v>97</v>
      </c>
      <c r="Q438" s="2" t="s">
        <v>5833</v>
      </c>
      <c r="R438" s="3" t="s">
        <v>1756</v>
      </c>
    </row>
    <row r="439" spans="1:18" x14ac:dyDescent="0.25">
      <c r="A439" s="2">
        <v>35967</v>
      </c>
      <c r="B439" s="3" t="s">
        <v>1757</v>
      </c>
      <c r="C439" s="2" t="s">
        <v>4023</v>
      </c>
      <c r="D439" s="2" t="s">
        <v>1723</v>
      </c>
      <c r="E439" s="3" t="s">
        <v>1718</v>
      </c>
      <c r="F439" s="3" t="s">
        <v>1719</v>
      </c>
      <c r="G439" s="2" t="s">
        <v>4919</v>
      </c>
      <c r="H439" s="2" t="s">
        <v>4928</v>
      </c>
      <c r="I439" s="3" t="s">
        <v>1758</v>
      </c>
      <c r="J439" s="3" t="s">
        <v>837</v>
      </c>
      <c r="K439" s="3" t="s">
        <v>1759</v>
      </c>
      <c r="L439" s="3" t="s">
        <v>1723</v>
      </c>
      <c r="M439" s="3" t="s">
        <v>95</v>
      </c>
      <c r="N439" s="2">
        <v>7</v>
      </c>
      <c r="O439" s="3" t="s">
        <v>21</v>
      </c>
      <c r="P439" s="3" t="s">
        <v>97</v>
      </c>
      <c r="Q439" s="2" t="s">
        <v>5834</v>
      </c>
      <c r="R439" s="3" t="s">
        <v>1760</v>
      </c>
    </row>
    <row r="440" spans="1:18" x14ac:dyDescent="0.25">
      <c r="A440" s="2">
        <v>28644</v>
      </c>
      <c r="B440" s="3" t="s">
        <v>1761</v>
      </c>
      <c r="C440" s="2" t="s">
        <v>4024</v>
      </c>
      <c r="D440" s="2" t="s">
        <v>1723</v>
      </c>
      <c r="E440" s="3" t="s">
        <v>1718</v>
      </c>
      <c r="F440" s="3" t="s">
        <v>1719</v>
      </c>
      <c r="G440" s="2" t="s">
        <v>4917</v>
      </c>
      <c r="H440" s="2" t="s">
        <v>4929</v>
      </c>
      <c r="I440" s="3" t="s">
        <v>1740</v>
      </c>
      <c r="J440" s="3" t="s">
        <v>138</v>
      </c>
      <c r="K440" s="3" t="s">
        <v>1762</v>
      </c>
      <c r="L440" s="3" t="s">
        <v>1723</v>
      </c>
      <c r="M440" s="3" t="s">
        <v>95</v>
      </c>
      <c r="N440" s="2">
        <v>7</v>
      </c>
      <c r="O440" s="3" t="s">
        <v>271</v>
      </c>
      <c r="P440" s="3" t="s">
        <v>97</v>
      </c>
      <c r="Q440" s="2" t="s">
        <v>5835</v>
      </c>
      <c r="R440" s="3" t="s">
        <v>1763</v>
      </c>
    </row>
    <row r="441" spans="1:18" x14ac:dyDescent="0.25">
      <c r="A441" s="2">
        <v>40865</v>
      </c>
      <c r="B441" s="3" t="s">
        <v>1764</v>
      </c>
      <c r="C441" s="2" t="s">
        <v>4025</v>
      </c>
      <c r="D441" s="2" t="s">
        <v>1723</v>
      </c>
      <c r="E441" s="3" t="s">
        <v>1718</v>
      </c>
      <c r="F441" s="3" t="s">
        <v>1719</v>
      </c>
      <c r="G441" s="2" t="s">
        <v>4919</v>
      </c>
      <c r="H441" s="2" t="s">
        <v>4930</v>
      </c>
      <c r="I441" s="3" t="s">
        <v>1765</v>
      </c>
      <c r="J441" s="3" t="s">
        <v>1766</v>
      </c>
      <c r="K441" s="3" t="s">
        <v>1767</v>
      </c>
      <c r="L441" s="3" t="s">
        <v>1723</v>
      </c>
      <c r="M441" s="3" t="s">
        <v>95</v>
      </c>
      <c r="N441" s="2">
        <v>7</v>
      </c>
      <c r="O441" s="3" t="s">
        <v>244</v>
      </c>
      <c r="P441" s="3" t="s">
        <v>97</v>
      </c>
      <c r="Q441" s="2" t="s">
        <v>5836</v>
      </c>
      <c r="R441" s="3" t="s">
        <v>1768</v>
      </c>
    </row>
    <row r="442" spans="1:18" x14ac:dyDescent="0.25">
      <c r="A442" s="2">
        <v>37577</v>
      </c>
      <c r="B442" s="3" t="s">
        <v>1769</v>
      </c>
      <c r="C442" s="2" t="s">
        <v>4026</v>
      </c>
      <c r="D442" s="2" t="s">
        <v>1723</v>
      </c>
      <c r="E442" s="3" t="s">
        <v>1718</v>
      </c>
      <c r="F442" s="3" t="s">
        <v>1719</v>
      </c>
      <c r="G442" s="2" t="s">
        <v>4919</v>
      </c>
      <c r="H442" s="2" t="s">
        <v>4931</v>
      </c>
      <c r="I442" s="3" t="s">
        <v>1770</v>
      </c>
      <c r="J442" s="3" t="s">
        <v>138</v>
      </c>
      <c r="K442" s="3" t="s">
        <v>1771</v>
      </c>
      <c r="L442" s="3" t="s">
        <v>1723</v>
      </c>
      <c r="M442" s="3" t="s">
        <v>95</v>
      </c>
      <c r="N442" s="2">
        <v>7</v>
      </c>
      <c r="O442" s="3" t="s">
        <v>271</v>
      </c>
      <c r="P442" s="3" t="s">
        <v>97</v>
      </c>
      <c r="Q442" s="2" t="s">
        <v>5837</v>
      </c>
      <c r="R442" s="3" t="s">
        <v>1772</v>
      </c>
    </row>
    <row r="443" spans="1:18" x14ac:dyDescent="0.25">
      <c r="A443" s="2">
        <v>35898</v>
      </c>
      <c r="B443" s="3" t="s">
        <v>1773</v>
      </c>
      <c r="C443" s="2" t="s">
        <v>4027</v>
      </c>
      <c r="D443" s="2" t="s">
        <v>1723</v>
      </c>
      <c r="E443" s="3" t="s">
        <v>1718</v>
      </c>
      <c r="F443" s="3" t="s">
        <v>1719</v>
      </c>
      <c r="G443" s="2" t="s">
        <v>4917</v>
      </c>
      <c r="H443" s="2" t="s">
        <v>4932</v>
      </c>
      <c r="I443" s="3" t="s">
        <v>1774</v>
      </c>
      <c r="J443" s="3" t="s">
        <v>1775</v>
      </c>
      <c r="K443" s="3" t="s">
        <v>1776</v>
      </c>
      <c r="L443" s="3" t="s">
        <v>1723</v>
      </c>
      <c r="M443" s="3" t="s">
        <v>95</v>
      </c>
      <c r="N443" s="2">
        <v>7</v>
      </c>
      <c r="O443" s="3" t="s">
        <v>244</v>
      </c>
      <c r="P443" s="3" t="s">
        <v>97</v>
      </c>
      <c r="Q443" s="2" t="s">
        <v>5838</v>
      </c>
      <c r="R443" s="3" t="s">
        <v>1777</v>
      </c>
    </row>
    <row r="444" spans="1:18" x14ac:dyDescent="0.25">
      <c r="A444" s="2">
        <v>17772</v>
      </c>
      <c r="B444" s="3" t="s">
        <v>1778</v>
      </c>
      <c r="C444" s="2" t="s">
        <v>4028</v>
      </c>
      <c r="D444" s="2" t="s">
        <v>1723</v>
      </c>
      <c r="E444" s="3" t="s">
        <v>1718</v>
      </c>
      <c r="F444" s="3" t="s">
        <v>1719</v>
      </c>
      <c r="G444" s="2" t="s">
        <v>4917</v>
      </c>
      <c r="H444" s="2" t="s">
        <v>4933</v>
      </c>
      <c r="I444" s="3" t="s">
        <v>1779</v>
      </c>
      <c r="J444" s="3" t="s">
        <v>138</v>
      </c>
      <c r="K444" s="3" t="s">
        <v>1780</v>
      </c>
      <c r="L444" s="3" t="s">
        <v>1723</v>
      </c>
      <c r="M444" s="3" t="s">
        <v>95</v>
      </c>
      <c r="N444" s="2">
        <v>7</v>
      </c>
      <c r="O444" s="3" t="s">
        <v>96</v>
      </c>
      <c r="P444" s="3" t="s">
        <v>97</v>
      </c>
      <c r="Q444" s="2" t="s">
        <v>5839</v>
      </c>
      <c r="R444" s="3" t="s">
        <v>1781</v>
      </c>
    </row>
    <row r="445" spans="1:18" x14ac:dyDescent="0.25">
      <c r="A445" s="2">
        <v>13539</v>
      </c>
      <c r="B445" s="3" t="s">
        <v>1782</v>
      </c>
      <c r="C445" s="2" t="s">
        <v>4029</v>
      </c>
      <c r="D445" s="2" t="s">
        <v>1723</v>
      </c>
      <c r="E445" s="3" t="s">
        <v>1718</v>
      </c>
      <c r="F445" s="3" t="s">
        <v>1719</v>
      </c>
      <c r="G445" s="2" t="s">
        <v>4917</v>
      </c>
      <c r="H445" s="2" t="s">
        <v>4934</v>
      </c>
      <c r="I445" s="3" t="s">
        <v>1726</v>
      </c>
      <c r="J445" s="3" t="s">
        <v>1783</v>
      </c>
      <c r="K445" s="3" t="s">
        <v>1784</v>
      </c>
      <c r="L445" s="3" t="s">
        <v>1723</v>
      </c>
      <c r="M445" s="3" t="s">
        <v>95</v>
      </c>
      <c r="N445" s="2">
        <v>7</v>
      </c>
      <c r="O445" s="3" t="s">
        <v>96</v>
      </c>
      <c r="P445" s="3" t="s">
        <v>97</v>
      </c>
      <c r="Q445" s="2" t="s">
        <v>5840</v>
      </c>
      <c r="R445" s="3" t="s">
        <v>1785</v>
      </c>
    </row>
    <row r="446" spans="1:18" x14ac:dyDescent="0.25">
      <c r="A446" s="2">
        <v>36283</v>
      </c>
      <c r="B446" s="3" t="s">
        <v>1786</v>
      </c>
      <c r="C446" s="2" t="s">
        <v>4030</v>
      </c>
      <c r="D446" s="2" t="s">
        <v>1723</v>
      </c>
      <c r="E446" s="3" t="s">
        <v>1718</v>
      </c>
      <c r="F446" s="3" t="s">
        <v>1719</v>
      </c>
      <c r="G446" s="2" t="s">
        <v>4917</v>
      </c>
      <c r="H446" s="2" t="s">
        <v>4935</v>
      </c>
      <c r="I446" s="3" t="s">
        <v>1787</v>
      </c>
      <c r="J446" s="3" t="s">
        <v>1788</v>
      </c>
      <c r="K446" s="3" t="s">
        <v>1789</v>
      </c>
      <c r="L446" s="3" t="s">
        <v>1723</v>
      </c>
      <c r="M446" s="3" t="s">
        <v>95</v>
      </c>
      <c r="N446" s="2">
        <v>7</v>
      </c>
      <c r="O446" s="3" t="s">
        <v>271</v>
      </c>
      <c r="P446" s="3" t="s">
        <v>97</v>
      </c>
      <c r="Q446" s="2" t="s">
        <v>5841</v>
      </c>
      <c r="R446" s="3" t="s">
        <v>1790</v>
      </c>
    </row>
    <row r="447" spans="1:18" x14ac:dyDescent="0.25">
      <c r="A447" s="2">
        <v>40834</v>
      </c>
      <c r="B447" s="3" t="s">
        <v>1791</v>
      </c>
      <c r="C447" s="2" t="s">
        <v>4031</v>
      </c>
      <c r="D447" s="2" t="s">
        <v>1723</v>
      </c>
      <c r="E447" s="3" t="s">
        <v>1718</v>
      </c>
      <c r="F447" s="3" t="s">
        <v>1719</v>
      </c>
      <c r="G447" s="2" t="s">
        <v>4936</v>
      </c>
      <c r="H447" s="2" t="s">
        <v>4937</v>
      </c>
      <c r="I447" s="3" t="s">
        <v>1792</v>
      </c>
      <c r="J447" s="3" t="s">
        <v>1793</v>
      </c>
      <c r="K447" s="3" t="s">
        <v>1794</v>
      </c>
      <c r="L447" s="3" t="s">
        <v>1723</v>
      </c>
      <c r="M447" s="3" t="s">
        <v>20</v>
      </c>
      <c r="N447" s="2">
        <v>7</v>
      </c>
      <c r="O447" s="3" t="s">
        <v>21</v>
      </c>
      <c r="P447" s="3" t="s">
        <v>22</v>
      </c>
      <c r="Q447" s="2" t="s">
        <v>5842</v>
      </c>
      <c r="R447" s="3" t="s">
        <v>1795</v>
      </c>
    </row>
    <row r="448" spans="1:18" x14ac:dyDescent="0.25">
      <c r="A448" s="2">
        <v>23300</v>
      </c>
      <c r="B448" s="3" t="s">
        <v>1796</v>
      </c>
      <c r="C448" s="2" t="s">
        <v>4032</v>
      </c>
      <c r="D448" s="2" t="s">
        <v>1723</v>
      </c>
      <c r="E448" s="3" t="s">
        <v>1718</v>
      </c>
      <c r="F448" s="3" t="s">
        <v>1719</v>
      </c>
      <c r="G448" s="2" t="s">
        <v>4917</v>
      </c>
      <c r="H448" s="2" t="s">
        <v>4938</v>
      </c>
      <c r="I448" s="3" t="s">
        <v>1797</v>
      </c>
      <c r="J448" s="3" t="s">
        <v>138</v>
      </c>
      <c r="K448" s="3" t="s">
        <v>1798</v>
      </c>
      <c r="L448" s="3" t="s">
        <v>1723</v>
      </c>
      <c r="M448" s="3" t="s">
        <v>95</v>
      </c>
      <c r="N448" s="2">
        <v>7</v>
      </c>
      <c r="O448" s="3" t="s">
        <v>21</v>
      </c>
      <c r="P448" s="3" t="s">
        <v>97</v>
      </c>
      <c r="Q448" s="2" t="s">
        <v>5843</v>
      </c>
      <c r="R448" s="3" t="s">
        <v>1799</v>
      </c>
    </row>
    <row r="449" spans="1:18" x14ac:dyDescent="0.25">
      <c r="A449" s="2">
        <v>10526</v>
      </c>
      <c r="B449" s="3" t="s">
        <v>1800</v>
      </c>
      <c r="C449" s="2" t="s">
        <v>4033</v>
      </c>
      <c r="D449" s="2" t="s">
        <v>1723</v>
      </c>
      <c r="E449" s="3" t="s">
        <v>1718</v>
      </c>
      <c r="F449" s="3" t="s">
        <v>1719</v>
      </c>
      <c r="G449" s="2" t="s">
        <v>4917</v>
      </c>
      <c r="H449" s="2" t="s">
        <v>4939</v>
      </c>
      <c r="I449" s="3" t="s">
        <v>1753</v>
      </c>
      <c r="J449" s="3" t="s">
        <v>1801</v>
      </c>
      <c r="K449" s="3" t="s">
        <v>1802</v>
      </c>
      <c r="L449" s="3" t="s">
        <v>1723</v>
      </c>
      <c r="M449" s="3" t="s">
        <v>95</v>
      </c>
      <c r="N449" s="2">
        <v>7</v>
      </c>
      <c r="O449" s="3" t="s">
        <v>96</v>
      </c>
      <c r="P449" s="3" t="s">
        <v>97</v>
      </c>
      <c r="Q449" s="2" t="s">
        <v>5844</v>
      </c>
      <c r="R449" s="3" t="s">
        <v>1803</v>
      </c>
    </row>
    <row r="450" spans="1:18" x14ac:dyDescent="0.25">
      <c r="A450" s="2">
        <v>36182</v>
      </c>
      <c r="B450" s="3" t="s">
        <v>1804</v>
      </c>
      <c r="C450" s="2" t="s">
        <v>4034</v>
      </c>
      <c r="D450" s="2" t="s">
        <v>1723</v>
      </c>
      <c r="E450" s="3" t="s">
        <v>1718</v>
      </c>
      <c r="F450" s="3" t="s">
        <v>1719</v>
      </c>
      <c r="G450" s="2" t="s">
        <v>4917</v>
      </c>
      <c r="H450" s="2" t="s">
        <v>4940</v>
      </c>
      <c r="I450" s="3" t="s">
        <v>1720</v>
      </c>
      <c r="J450" s="3" t="s">
        <v>1805</v>
      </c>
      <c r="K450" s="3" t="s">
        <v>1806</v>
      </c>
      <c r="L450" s="3" t="s">
        <v>1723</v>
      </c>
      <c r="M450" s="3" t="s">
        <v>20</v>
      </c>
      <c r="N450" s="2">
        <v>7</v>
      </c>
      <c r="O450" s="3" t="s">
        <v>21</v>
      </c>
      <c r="P450" s="3" t="s">
        <v>22</v>
      </c>
      <c r="Q450" s="2" t="s">
        <v>5845</v>
      </c>
      <c r="R450" s="3" t="s">
        <v>1807</v>
      </c>
    </row>
    <row r="451" spans="1:18" x14ac:dyDescent="0.25">
      <c r="A451" s="2">
        <v>40079</v>
      </c>
      <c r="B451" s="3" t="s">
        <v>1808</v>
      </c>
      <c r="C451" s="2" t="s">
        <v>4035</v>
      </c>
      <c r="D451" s="2" t="s">
        <v>1723</v>
      </c>
      <c r="E451" s="3" t="s">
        <v>1718</v>
      </c>
      <c r="F451" s="3" t="s">
        <v>1719</v>
      </c>
      <c r="G451" s="2" t="s">
        <v>4917</v>
      </c>
      <c r="H451" s="2" t="s">
        <v>4941</v>
      </c>
      <c r="I451" s="3" t="s">
        <v>1809</v>
      </c>
      <c r="J451" s="3" t="s">
        <v>138</v>
      </c>
      <c r="K451" s="3" t="s">
        <v>1810</v>
      </c>
      <c r="L451" s="3" t="s">
        <v>1723</v>
      </c>
      <c r="M451" s="3" t="s">
        <v>95</v>
      </c>
      <c r="N451" s="2">
        <v>7</v>
      </c>
      <c r="O451" s="3" t="s">
        <v>96</v>
      </c>
      <c r="P451" s="3" t="s">
        <v>97</v>
      </c>
      <c r="Q451" s="2" t="s">
        <v>5846</v>
      </c>
      <c r="R451" s="3" t="s">
        <v>1811</v>
      </c>
    </row>
    <row r="452" spans="1:18" x14ac:dyDescent="0.25">
      <c r="A452" s="2">
        <v>2654</v>
      </c>
      <c r="B452" s="3" t="s">
        <v>1812</v>
      </c>
      <c r="C452" s="2" t="s">
        <v>4036</v>
      </c>
      <c r="D452" s="2" t="s">
        <v>1723</v>
      </c>
      <c r="E452" s="3" t="s">
        <v>1718</v>
      </c>
      <c r="F452" s="3" t="s">
        <v>1719</v>
      </c>
      <c r="G452" s="2" t="s">
        <v>4917</v>
      </c>
      <c r="H452" s="2" t="s">
        <v>4942</v>
      </c>
      <c r="I452" s="3" t="s">
        <v>1813</v>
      </c>
      <c r="J452" s="3" t="s">
        <v>138</v>
      </c>
      <c r="K452" s="3" t="s">
        <v>1814</v>
      </c>
      <c r="L452" s="3" t="s">
        <v>1723</v>
      </c>
      <c r="M452" s="3" t="s">
        <v>95</v>
      </c>
      <c r="N452" s="2">
        <v>7</v>
      </c>
      <c r="O452" s="3" t="s">
        <v>96</v>
      </c>
      <c r="P452" s="3" t="s">
        <v>97</v>
      </c>
      <c r="Q452" s="2" t="s">
        <v>5847</v>
      </c>
      <c r="R452" s="3" t="s">
        <v>1815</v>
      </c>
    </row>
    <row r="453" spans="1:18" x14ac:dyDescent="0.25">
      <c r="A453" s="2">
        <v>36654</v>
      </c>
      <c r="B453" s="3" t="s">
        <v>1816</v>
      </c>
      <c r="C453" s="2" t="s">
        <v>4037</v>
      </c>
      <c r="D453" s="2" t="s">
        <v>1723</v>
      </c>
      <c r="E453" s="3" t="s">
        <v>1718</v>
      </c>
      <c r="F453" s="3" t="s">
        <v>1719</v>
      </c>
      <c r="G453" s="2" t="s">
        <v>4917</v>
      </c>
      <c r="H453" s="2" t="s">
        <v>4943</v>
      </c>
      <c r="I453" s="3" t="s">
        <v>1740</v>
      </c>
      <c r="J453" s="3" t="s">
        <v>1817</v>
      </c>
      <c r="K453" s="3" t="s">
        <v>1818</v>
      </c>
      <c r="L453" s="3" t="s">
        <v>1723</v>
      </c>
      <c r="M453" s="3" t="s">
        <v>95</v>
      </c>
      <c r="N453" s="2">
        <v>7</v>
      </c>
      <c r="O453" s="3" t="s">
        <v>271</v>
      </c>
      <c r="P453" s="3" t="s">
        <v>97</v>
      </c>
      <c r="Q453" s="2" t="s">
        <v>5848</v>
      </c>
      <c r="R453" s="3" t="s">
        <v>1819</v>
      </c>
    </row>
    <row r="454" spans="1:18" x14ac:dyDescent="0.25">
      <c r="A454" s="2">
        <v>40248</v>
      </c>
      <c r="B454" s="3" t="s">
        <v>1820</v>
      </c>
      <c r="C454" s="2" t="s">
        <v>4038</v>
      </c>
      <c r="D454" s="2" t="s">
        <v>1723</v>
      </c>
      <c r="E454" s="3" t="s">
        <v>1718</v>
      </c>
      <c r="F454" s="3" t="s">
        <v>1719</v>
      </c>
      <c r="G454" s="2" t="s">
        <v>4944</v>
      </c>
      <c r="H454" s="2" t="s">
        <v>4945</v>
      </c>
      <c r="I454" s="3" t="s">
        <v>1753</v>
      </c>
      <c r="J454" s="3" t="s">
        <v>1821</v>
      </c>
      <c r="K454" s="3" t="s">
        <v>1822</v>
      </c>
      <c r="L454" s="3" t="s">
        <v>1723</v>
      </c>
      <c r="M454" s="3" t="s">
        <v>95</v>
      </c>
      <c r="N454" s="2">
        <v>7</v>
      </c>
      <c r="O454" s="3" t="s">
        <v>96</v>
      </c>
      <c r="P454" s="3" t="s">
        <v>97</v>
      </c>
      <c r="Q454" s="2" t="s">
        <v>5849</v>
      </c>
      <c r="R454" s="3" t="s">
        <v>1823</v>
      </c>
    </row>
    <row r="455" spans="1:18" x14ac:dyDescent="0.25">
      <c r="A455" s="2">
        <v>3296</v>
      </c>
      <c r="B455" s="3" t="s">
        <v>1824</v>
      </c>
      <c r="C455" s="2" t="s">
        <v>4039</v>
      </c>
      <c r="D455" s="2" t="s">
        <v>1723</v>
      </c>
      <c r="E455" s="3" t="s">
        <v>1718</v>
      </c>
      <c r="F455" s="3" t="s">
        <v>1719</v>
      </c>
      <c r="G455" s="2" t="s">
        <v>4917</v>
      </c>
      <c r="H455" s="2" t="s">
        <v>4946</v>
      </c>
      <c r="I455" s="3" t="s">
        <v>1720</v>
      </c>
      <c r="J455" s="3" t="s">
        <v>1721</v>
      </c>
      <c r="K455" s="3" t="s">
        <v>1825</v>
      </c>
      <c r="L455" s="3" t="s">
        <v>1723</v>
      </c>
      <c r="M455" s="3" t="s">
        <v>20</v>
      </c>
      <c r="N455" s="2">
        <v>7</v>
      </c>
      <c r="O455" s="3" t="s">
        <v>21</v>
      </c>
      <c r="P455" s="3" t="s">
        <v>22</v>
      </c>
      <c r="Q455" s="2" t="s">
        <v>5850</v>
      </c>
      <c r="R455" s="3" t="s">
        <v>1826</v>
      </c>
    </row>
    <row r="456" spans="1:18" x14ac:dyDescent="0.25">
      <c r="A456" s="2">
        <v>35156</v>
      </c>
      <c r="B456" s="3" t="s">
        <v>1827</v>
      </c>
      <c r="C456" s="2" t="s">
        <v>4040</v>
      </c>
      <c r="D456" s="2" t="s">
        <v>1723</v>
      </c>
      <c r="E456" s="3" t="s">
        <v>1718</v>
      </c>
      <c r="F456" s="3" t="s">
        <v>1719</v>
      </c>
      <c r="G456" s="2" t="s">
        <v>4917</v>
      </c>
      <c r="H456" s="2" t="s">
        <v>4947</v>
      </c>
      <c r="I456" s="3" t="s">
        <v>1735</v>
      </c>
      <c r="J456" s="3" t="s">
        <v>1828</v>
      </c>
      <c r="K456" s="3" t="s">
        <v>1829</v>
      </c>
      <c r="L456" s="3" t="s">
        <v>1723</v>
      </c>
      <c r="M456" s="3" t="s">
        <v>95</v>
      </c>
      <c r="N456" s="2">
        <v>7</v>
      </c>
      <c r="O456" s="3" t="s">
        <v>244</v>
      </c>
      <c r="P456" s="3" t="s">
        <v>97</v>
      </c>
      <c r="Q456" s="2" t="s">
        <v>5851</v>
      </c>
      <c r="R456" s="3" t="s">
        <v>1830</v>
      </c>
    </row>
    <row r="457" spans="1:18" x14ac:dyDescent="0.25">
      <c r="A457" s="2">
        <v>37232</v>
      </c>
      <c r="B457" s="3" t="s">
        <v>1831</v>
      </c>
      <c r="C457" s="2" t="s">
        <v>4041</v>
      </c>
      <c r="D457" s="2" t="s">
        <v>1723</v>
      </c>
      <c r="E457" s="3" t="s">
        <v>1718</v>
      </c>
      <c r="F457" s="3" t="s">
        <v>1719</v>
      </c>
      <c r="G457" s="2" t="s">
        <v>4917</v>
      </c>
      <c r="H457" s="2" t="s">
        <v>4948</v>
      </c>
      <c r="I457" s="3" t="s">
        <v>1740</v>
      </c>
      <c r="J457" s="3" t="s">
        <v>138</v>
      </c>
      <c r="K457" s="3" t="s">
        <v>1832</v>
      </c>
      <c r="L457" s="3" t="s">
        <v>1723</v>
      </c>
      <c r="M457" s="3" t="s">
        <v>95</v>
      </c>
      <c r="N457" s="2">
        <v>7</v>
      </c>
      <c r="O457" s="3" t="s">
        <v>271</v>
      </c>
      <c r="P457" s="3" t="s">
        <v>97</v>
      </c>
      <c r="Q457" s="2" t="s">
        <v>5852</v>
      </c>
      <c r="R457" s="3" t="s">
        <v>1833</v>
      </c>
    </row>
    <row r="458" spans="1:18" x14ac:dyDescent="0.25">
      <c r="A458" s="2">
        <v>38081</v>
      </c>
      <c r="B458" s="3" t="s">
        <v>1834</v>
      </c>
      <c r="C458" s="2" t="s">
        <v>4042</v>
      </c>
      <c r="D458" s="2" t="s">
        <v>1723</v>
      </c>
      <c r="E458" s="3" t="s">
        <v>1718</v>
      </c>
      <c r="F458" s="3" t="s">
        <v>1719</v>
      </c>
      <c r="G458" s="2" t="s">
        <v>4944</v>
      </c>
      <c r="H458" s="2" t="s">
        <v>4949</v>
      </c>
      <c r="I458" s="3" t="s">
        <v>1753</v>
      </c>
      <c r="J458" s="3" t="s">
        <v>1821</v>
      </c>
      <c r="K458" s="3" t="s">
        <v>1822</v>
      </c>
      <c r="L458" s="3" t="s">
        <v>1723</v>
      </c>
      <c r="M458" s="3" t="s">
        <v>95</v>
      </c>
      <c r="N458" s="2">
        <v>7</v>
      </c>
      <c r="O458" s="3" t="s">
        <v>96</v>
      </c>
      <c r="P458" s="3" t="s">
        <v>97</v>
      </c>
      <c r="Q458" s="2" t="s">
        <v>5853</v>
      </c>
      <c r="R458" s="3" t="s">
        <v>1835</v>
      </c>
    </row>
    <row r="459" spans="1:18" x14ac:dyDescent="0.25">
      <c r="A459" s="2">
        <v>18594</v>
      </c>
      <c r="B459" s="3" t="s">
        <v>1836</v>
      </c>
      <c r="C459" s="2" t="s">
        <v>4043</v>
      </c>
      <c r="D459" s="2" t="s">
        <v>1723</v>
      </c>
      <c r="E459" s="3" t="s">
        <v>1718</v>
      </c>
      <c r="F459" s="3" t="s">
        <v>1719</v>
      </c>
      <c r="G459" s="2" t="s">
        <v>4917</v>
      </c>
      <c r="H459" s="2" t="s">
        <v>4950</v>
      </c>
      <c r="I459" s="3" t="s">
        <v>1797</v>
      </c>
      <c r="J459" s="3" t="s">
        <v>138</v>
      </c>
      <c r="K459" s="3" t="s">
        <v>1798</v>
      </c>
      <c r="L459" s="3" t="s">
        <v>1723</v>
      </c>
      <c r="M459" s="3" t="s">
        <v>95</v>
      </c>
      <c r="N459" s="2">
        <v>7</v>
      </c>
      <c r="O459" s="3" t="s">
        <v>21</v>
      </c>
      <c r="P459" s="3" t="s">
        <v>97</v>
      </c>
      <c r="Q459" s="2" t="s">
        <v>5854</v>
      </c>
      <c r="R459" s="3" t="s">
        <v>1837</v>
      </c>
    </row>
    <row r="460" spans="1:18" x14ac:dyDescent="0.25">
      <c r="A460" s="2">
        <v>15797</v>
      </c>
      <c r="B460" s="3" t="s">
        <v>1838</v>
      </c>
      <c r="C460" s="2" t="s">
        <v>4044</v>
      </c>
      <c r="D460" s="2" t="s">
        <v>1723</v>
      </c>
      <c r="E460" s="3" t="s">
        <v>1718</v>
      </c>
      <c r="F460" s="3" t="s">
        <v>1719</v>
      </c>
      <c r="G460" s="2" t="s">
        <v>4917</v>
      </c>
      <c r="H460" s="2" t="s">
        <v>4951</v>
      </c>
      <c r="I460" s="3" t="s">
        <v>1839</v>
      </c>
      <c r="J460" s="3" t="s">
        <v>138</v>
      </c>
      <c r="K460" s="3" t="s">
        <v>1840</v>
      </c>
      <c r="L460" s="3" t="s">
        <v>1723</v>
      </c>
      <c r="M460" s="3" t="s">
        <v>95</v>
      </c>
      <c r="N460" s="2">
        <v>7</v>
      </c>
      <c r="O460" s="3" t="s">
        <v>96</v>
      </c>
      <c r="P460" s="3" t="s">
        <v>97</v>
      </c>
      <c r="Q460" s="2" t="s">
        <v>5855</v>
      </c>
      <c r="R460" s="3" t="s">
        <v>1841</v>
      </c>
    </row>
    <row r="461" spans="1:18" x14ac:dyDescent="0.25">
      <c r="A461" s="2">
        <v>41576</v>
      </c>
      <c r="B461" s="3" t="s">
        <v>1842</v>
      </c>
      <c r="C461" s="2" t="s">
        <v>4045</v>
      </c>
      <c r="D461" s="2" t="s">
        <v>1723</v>
      </c>
      <c r="E461" s="3" t="s">
        <v>1718</v>
      </c>
      <c r="F461" s="3" t="s">
        <v>1719</v>
      </c>
      <c r="G461" s="2" t="s">
        <v>4936</v>
      </c>
      <c r="H461" s="2" t="s">
        <v>4952</v>
      </c>
      <c r="I461" s="3" t="s">
        <v>1792</v>
      </c>
      <c r="J461" s="3" t="s">
        <v>1843</v>
      </c>
      <c r="K461" s="3" t="s">
        <v>1844</v>
      </c>
      <c r="L461" s="3" t="s">
        <v>1723</v>
      </c>
      <c r="M461" s="3" t="s">
        <v>20</v>
      </c>
      <c r="N461" s="2">
        <v>7</v>
      </c>
      <c r="O461" s="3" t="s">
        <v>21</v>
      </c>
      <c r="P461" s="3" t="s">
        <v>22</v>
      </c>
      <c r="Q461" s="2" t="s">
        <v>5856</v>
      </c>
      <c r="R461" s="3" t="s">
        <v>1845</v>
      </c>
    </row>
    <row r="462" spans="1:18" x14ac:dyDescent="0.25">
      <c r="A462" s="2">
        <v>18666</v>
      </c>
      <c r="B462" s="3" t="s">
        <v>1846</v>
      </c>
      <c r="C462" s="2" t="s">
        <v>4046</v>
      </c>
      <c r="D462" s="2" t="s">
        <v>1723</v>
      </c>
      <c r="E462" s="3" t="s">
        <v>1718</v>
      </c>
      <c r="F462" s="3" t="s">
        <v>1719</v>
      </c>
      <c r="G462" s="2" t="s">
        <v>4917</v>
      </c>
      <c r="H462" s="2" t="s">
        <v>4953</v>
      </c>
      <c r="I462" s="3" t="s">
        <v>1847</v>
      </c>
      <c r="J462" s="3" t="s">
        <v>1848</v>
      </c>
      <c r="K462" s="3" t="s">
        <v>1849</v>
      </c>
      <c r="L462" s="3" t="s">
        <v>1723</v>
      </c>
      <c r="M462" s="3" t="s">
        <v>95</v>
      </c>
      <c r="N462" s="2">
        <v>7</v>
      </c>
      <c r="O462" s="3" t="s">
        <v>244</v>
      </c>
      <c r="P462" s="3" t="s">
        <v>97</v>
      </c>
      <c r="Q462" s="2" t="s">
        <v>5857</v>
      </c>
      <c r="R462" s="3" t="s">
        <v>1850</v>
      </c>
    </row>
    <row r="463" spans="1:18" x14ac:dyDescent="0.25">
      <c r="A463" s="2">
        <v>38280</v>
      </c>
      <c r="B463" s="3" t="s">
        <v>1851</v>
      </c>
      <c r="C463" s="2" t="s">
        <v>4047</v>
      </c>
      <c r="D463" s="2" t="s">
        <v>1723</v>
      </c>
      <c r="E463" s="3" t="s">
        <v>1718</v>
      </c>
      <c r="F463" s="3" t="s">
        <v>1719</v>
      </c>
      <c r="G463" s="2" t="s">
        <v>4521</v>
      </c>
      <c r="H463" s="2" t="s">
        <v>4954</v>
      </c>
      <c r="I463" s="3" t="s">
        <v>1847</v>
      </c>
      <c r="J463" s="3" t="s">
        <v>1852</v>
      </c>
      <c r="K463" s="3" t="s">
        <v>1853</v>
      </c>
      <c r="L463" s="3" t="s">
        <v>1723</v>
      </c>
      <c r="M463" s="3" t="s">
        <v>95</v>
      </c>
      <c r="N463" s="2">
        <v>7</v>
      </c>
      <c r="O463" s="3" t="s">
        <v>244</v>
      </c>
      <c r="P463" s="3" t="s">
        <v>97</v>
      </c>
      <c r="Q463" s="2" t="s">
        <v>5858</v>
      </c>
      <c r="R463" s="3" t="s">
        <v>1854</v>
      </c>
    </row>
    <row r="464" spans="1:18" x14ac:dyDescent="0.25">
      <c r="A464" s="2">
        <v>22435</v>
      </c>
      <c r="B464" s="3" t="s">
        <v>1855</v>
      </c>
      <c r="C464" s="2" t="s">
        <v>4048</v>
      </c>
      <c r="D464" s="2" t="s">
        <v>1723</v>
      </c>
      <c r="E464" s="3" t="s">
        <v>1718</v>
      </c>
      <c r="F464" s="3" t="s">
        <v>1719</v>
      </c>
      <c r="G464" s="2" t="s">
        <v>4917</v>
      </c>
      <c r="H464" s="2" t="s">
        <v>4955</v>
      </c>
      <c r="I464" s="3" t="s">
        <v>1744</v>
      </c>
      <c r="J464" s="3" t="s">
        <v>138</v>
      </c>
      <c r="K464" s="3" t="s">
        <v>1856</v>
      </c>
      <c r="L464" s="3" t="s">
        <v>1723</v>
      </c>
      <c r="M464" s="3" t="s">
        <v>95</v>
      </c>
      <c r="N464" s="2">
        <v>7</v>
      </c>
      <c r="O464" s="3" t="s">
        <v>244</v>
      </c>
      <c r="P464" s="3" t="s">
        <v>97</v>
      </c>
      <c r="Q464" s="2" t="s">
        <v>5859</v>
      </c>
      <c r="R464" s="3" t="s">
        <v>1857</v>
      </c>
    </row>
    <row r="465" spans="1:18" x14ac:dyDescent="0.25">
      <c r="A465" s="2">
        <v>22499</v>
      </c>
      <c r="B465" s="3" t="s">
        <v>1858</v>
      </c>
      <c r="C465" s="2" t="s">
        <v>4049</v>
      </c>
      <c r="D465" s="2" t="s">
        <v>1723</v>
      </c>
      <c r="E465" s="3" t="s">
        <v>1718</v>
      </c>
      <c r="F465" s="3" t="s">
        <v>1719</v>
      </c>
      <c r="G465" s="2" t="s">
        <v>4917</v>
      </c>
      <c r="H465" s="2" t="s">
        <v>4956</v>
      </c>
      <c r="I465" s="3" t="s">
        <v>1839</v>
      </c>
      <c r="J465" s="3" t="s">
        <v>321</v>
      </c>
      <c r="K465" s="3" t="s">
        <v>1840</v>
      </c>
      <c r="L465" s="3" t="s">
        <v>1723</v>
      </c>
      <c r="M465" s="3" t="s">
        <v>95</v>
      </c>
      <c r="N465" s="2">
        <v>7</v>
      </c>
      <c r="O465" s="3" t="s">
        <v>96</v>
      </c>
      <c r="P465" s="3" t="s">
        <v>97</v>
      </c>
      <c r="Q465" s="2" t="s">
        <v>5860</v>
      </c>
      <c r="R465" s="3" t="s">
        <v>1859</v>
      </c>
    </row>
    <row r="466" spans="1:18" x14ac:dyDescent="0.25">
      <c r="A466" s="2">
        <v>40504</v>
      </c>
      <c r="B466" s="3" t="s">
        <v>1860</v>
      </c>
      <c r="C466" s="2" t="s">
        <v>4050</v>
      </c>
      <c r="D466" s="2" t="s">
        <v>1723</v>
      </c>
      <c r="E466" s="3" t="s">
        <v>1718</v>
      </c>
      <c r="F466" s="3" t="s">
        <v>1719</v>
      </c>
      <c r="G466" s="2" t="s">
        <v>4917</v>
      </c>
      <c r="H466" s="2" t="s">
        <v>4957</v>
      </c>
      <c r="I466" s="3" t="s">
        <v>1861</v>
      </c>
      <c r="J466" s="3" t="s">
        <v>1862</v>
      </c>
      <c r="K466" s="3" t="s">
        <v>1789</v>
      </c>
      <c r="L466" s="3" t="s">
        <v>1723</v>
      </c>
      <c r="M466" s="3" t="s">
        <v>95</v>
      </c>
      <c r="N466" s="2">
        <v>7</v>
      </c>
      <c r="O466" s="3" t="s">
        <v>271</v>
      </c>
      <c r="P466" s="3" t="s">
        <v>97</v>
      </c>
      <c r="Q466" s="2" t="s">
        <v>5861</v>
      </c>
      <c r="R466" s="3" t="s">
        <v>1863</v>
      </c>
    </row>
    <row r="467" spans="1:18" x14ac:dyDescent="0.25">
      <c r="A467" s="2">
        <v>1581</v>
      </c>
      <c r="B467" s="3" t="s">
        <v>1864</v>
      </c>
      <c r="C467" s="2" t="s">
        <v>4051</v>
      </c>
      <c r="D467" s="2" t="s">
        <v>1723</v>
      </c>
      <c r="E467" s="3" t="s">
        <v>1718</v>
      </c>
      <c r="F467" s="3" t="s">
        <v>1719</v>
      </c>
      <c r="G467" s="2" t="s">
        <v>4917</v>
      </c>
      <c r="H467" s="2" t="s">
        <v>4958</v>
      </c>
      <c r="I467" s="3" t="s">
        <v>1740</v>
      </c>
      <c r="J467" s="3" t="s">
        <v>143</v>
      </c>
      <c r="K467" s="3" t="s">
        <v>1865</v>
      </c>
      <c r="L467" s="3" t="s">
        <v>1723</v>
      </c>
      <c r="M467" s="3" t="s">
        <v>95</v>
      </c>
      <c r="N467" s="2">
        <v>7</v>
      </c>
      <c r="O467" s="3" t="s">
        <v>271</v>
      </c>
      <c r="P467" s="3" t="s">
        <v>97</v>
      </c>
      <c r="Q467" s="2" t="s">
        <v>5862</v>
      </c>
      <c r="R467" s="3" t="s">
        <v>1866</v>
      </c>
    </row>
    <row r="468" spans="1:18" x14ac:dyDescent="0.25">
      <c r="A468" s="2">
        <v>28313</v>
      </c>
      <c r="B468" s="3" t="s">
        <v>1867</v>
      </c>
      <c r="C468" s="2" t="s">
        <v>4052</v>
      </c>
      <c r="D468" s="2" t="s">
        <v>1723</v>
      </c>
      <c r="E468" s="3" t="s">
        <v>1718</v>
      </c>
      <c r="F468" s="3" t="s">
        <v>1719</v>
      </c>
      <c r="G468" s="2" t="s">
        <v>4917</v>
      </c>
      <c r="H468" s="2" t="s">
        <v>4959</v>
      </c>
      <c r="I468" s="3" t="s">
        <v>1868</v>
      </c>
      <c r="J468" s="3" t="s">
        <v>138</v>
      </c>
      <c r="K468" s="3" t="s">
        <v>1869</v>
      </c>
      <c r="L468" s="3" t="s">
        <v>1723</v>
      </c>
      <c r="M468" s="3" t="s">
        <v>95</v>
      </c>
      <c r="N468" s="2">
        <v>7</v>
      </c>
      <c r="O468" s="3" t="s">
        <v>21</v>
      </c>
      <c r="P468" s="3" t="s">
        <v>97</v>
      </c>
      <c r="Q468" s="2" t="s">
        <v>5863</v>
      </c>
      <c r="R468" s="3" t="s">
        <v>1870</v>
      </c>
    </row>
    <row r="469" spans="1:18" x14ac:dyDescent="0.25">
      <c r="A469" s="2">
        <v>24626</v>
      </c>
      <c r="B469" s="3" t="s">
        <v>1871</v>
      </c>
      <c r="C469" s="2" t="s">
        <v>4053</v>
      </c>
      <c r="D469" s="2" t="s">
        <v>1723</v>
      </c>
      <c r="E469" s="3" t="s">
        <v>1718</v>
      </c>
      <c r="F469" s="3" t="s">
        <v>1719</v>
      </c>
      <c r="G469" s="2" t="s">
        <v>4917</v>
      </c>
      <c r="H469" s="2" t="s">
        <v>4960</v>
      </c>
      <c r="I469" s="3" t="s">
        <v>1744</v>
      </c>
      <c r="J469" s="3" t="s">
        <v>1872</v>
      </c>
      <c r="K469" s="3" t="s">
        <v>1873</v>
      </c>
      <c r="L469" s="3" t="s">
        <v>1723</v>
      </c>
      <c r="M469" s="3" t="s">
        <v>95</v>
      </c>
      <c r="N469" s="2">
        <v>7</v>
      </c>
      <c r="O469" s="3" t="s">
        <v>244</v>
      </c>
      <c r="P469" s="3" t="s">
        <v>97</v>
      </c>
      <c r="Q469" s="2" t="s">
        <v>5864</v>
      </c>
      <c r="R469" s="3" t="s">
        <v>1874</v>
      </c>
    </row>
    <row r="470" spans="1:18" x14ac:dyDescent="0.25">
      <c r="A470" s="2">
        <v>17240</v>
      </c>
      <c r="B470" s="3" t="s">
        <v>1875</v>
      </c>
      <c r="C470" s="2" t="s">
        <v>4054</v>
      </c>
      <c r="D470" s="2" t="s">
        <v>1723</v>
      </c>
      <c r="E470" s="3" t="s">
        <v>1718</v>
      </c>
      <c r="F470" s="3" t="s">
        <v>1719</v>
      </c>
      <c r="G470" s="2" t="s">
        <v>4917</v>
      </c>
      <c r="H470" s="2" t="s">
        <v>4961</v>
      </c>
      <c r="I470" s="3" t="s">
        <v>1876</v>
      </c>
      <c r="J470" s="3" t="s">
        <v>138</v>
      </c>
      <c r="K470" s="3" t="s">
        <v>1877</v>
      </c>
      <c r="L470" s="3" t="s">
        <v>1723</v>
      </c>
      <c r="M470" s="3" t="s">
        <v>95</v>
      </c>
      <c r="N470" s="2">
        <v>7</v>
      </c>
      <c r="O470" s="3" t="s">
        <v>271</v>
      </c>
      <c r="P470" s="3" t="s">
        <v>97</v>
      </c>
      <c r="Q470" s="2" t="s">
        <v>5865</v>
      </c>
      <c r="R470" s="3" t="s">
        <v>1878</v>
      </c>
    </row>
    <row r="471" spans="1:18" x14ac:dyDescent="0.25">
      <c r="A471" s="2">
        <v>34863</v>
      </c>
      <c r="B471" s="3" t="s">
        <v>1879</v>
      </c>
      <c r="C471" s="2" t="s">
        <v>4055</v>
      </c>
      <c r="D471" s="2" t="s">
        <v>1723</v>
      </c>
      <c r="E471" s="3" t="s">
        <v>1718</v>
      </c>
      <c r="F471" s="3" t="s">
        <v>1719</v>
      </c>
      <c r="G471" s="2" t="s">
        <v>4917</v>
      </c>
      <c r="H471" s="2" t="s">
        <v>4962</v>
      </c>
      <c r="I471" s="3" t="s">
        <v>1880</v>
      </c>
      <c r="J471" s="3" t="s">
        <v>1881</v>
      </c>
      <c r="K471" s="3" t="s">
        <v>1882</v>
      </c>
      <c r="L471" s="3" t="s">
        <v>1723</v>
      </c>
      <c r="M471" s="3" t="s">
        <v>95</v>
      </c>
      <c r="N471" s="2">
        <v>7</v>
      </c>
      <c r="O471" s="3" t="s">
        <v>271</v>
      </c>
      <c r="P471" s="3" t="s">
        <v>97</v>
      </c>
      <c r="Q471" s="2" t="s">
        <v>5866</v>
      </c>
      <c r="R471" s="3" t="s">
        <v>1883</v>
      </c>
    </row>
    <row r="472" spans="1:18" x14ac:dyDescent="0.25">
      <c r="A472" s="2">
        <v>35641</v>
      </c>
      <c r="B472" s="3" t="s">
        <v>1884</v>
      </c>
      <c r="C472" s="2" t="s">
        <v>4056</v>
      </c>
      <c r="D472" s="2" t="s">
        <v>1723</v>
      </c>
      <c r="E472" s="3" t="s">
        <v>1718</v>
      </c>
      <c r="F472" s="3" t="s">
        <v>1719</v>
      </c>
      <c r="G472" s="2" t="s">
        <v>4917</v>
      </c>
      <c r="H472" s="2" t="s">
        <v>4963</v>
      </c>
      <c r="I472" s="3" t="s">
        <v>1740</v>
      </c>
      <c r="J472" s="3" t="s">
        <v>138</v>
      </c>
      <c r="K472" s="3" t="s">
        <v>1885</v>
      </c>
      <c r="L472" s="3" t="s">
        <v>1723</v>
      </c>
      <c r="M472" s="3" t="s">
        <v>95</v>
      </c>
      <c r="N472" s="2">
        <v>7</v>
      </c>
      <c r="O472" s="3" t="s">
        <v>271</v>
      </c>
      <c r="P472" s="3" t="s">
        <v>97</v>
      </c>
      <c r="Q472" s="2" t="s">
        <v>5867</v>
      </c>
      <c r="R472" s="3" t="s">
        <v>1886</v>
      </c>
    </row>
    <row r="473" spans="1:18" x14ac:dyDescent="0.25">
      <c r="A473" s="2">
        <v>36339</v>
      </c>
      <c r="B473" s="3" t="s">
        <v>1887</v>
      </c>
      <c r="C473" s="2" t="s">
        <v>4057</v>
      </c>
      <c r="D473" s="2" t="s">
        <v>1723</v>
      </c>
      <c r="E473" s="3" t="s">
        <v>1718</v>
      </c>
      <c r="F473" s="3" t="s">
        <v>1719</v>
      </c>
      <c r="G473" s="2" t="s">
        <v>4917</v>
      </c>
      <c r="H473" s="2" t="s">
        <v>4964</v>
      </c>
      <c r="I473" s="3" t="s">
        <v>1792</v>
      </c>
      <c r="J473" s="3" t="s">
        <v>1888</v>
      </c>
      <c r="K473" s="3" t="s">
        <v>1889</v>
      </c>
      <c r="L473" s="3" t="s">
        <v>1723</v>
      </c>
      <c r="M473" s="3" t="s">
        <v>20</v>
      </c>
      <c r="N473" s="2">
        <v>7</v>
      </c>
      <c r="O473" s="3" t="s">
        <v>21</v>
      </c>
      <c r="P473" s="3" t="s">
        <v>22</v>
      </c>
      <c r="Q473" s="2" t="s">
        <v>5868</v>
      </c>
      <c r="R473" s="3" t="s">
        <v>1890</v>
      </c>
    </row>
    <row r="474" spans="1:18" x14ac:dyDescent="0.25">
      <c r="A474" s="2">
        <v>35347</v>
      </c>
      <c r="B474" s="3" t="s">
        <v>1891</v>
      </c>
      <c r="C474" s="2" t="s">
        <v>4058</v>
      </c>
      <c r="D474" s="2" t="s">
        <v>1723</v>
      </c>
      <c r="E474" s="3" t="s">
        <v>1718</v>
      </c>
      <c r="F474" s="3" t="s">
        <v>1719</v>
      </c>
      <c r="G474" s="2" t="s">
        <v>4919</v>
      </c>
      <c r="H474" s="2" t="s">
        <v>4965</v>
      </c>
      <c r="I474" s="3" t="s">
        <v>1892</v>
      </c>
      <c r="J474" s="3" t="s">
        <v>138</v>
      </c>
      <c r="K474" s="3" t="s">
        <v>1759</v>
      </c>
      <c r="L474" s="3" t="s">
        <v>1723</v>
      </c>
      <c r="M474" s="3" t="s">
        <v>95</v>
      </c>
      <c r="N474" s="2">
        <v>7</v>
      </c>
      <c r="O474" s="3" t="s">
        <v>21</v>
      </c>
      <c r="P474" s="3" t="s">
        <v>97</v>
      </c>
      <c r="Q474" s="2" t="s">
        <v>5869</v>
      </c>
      <c r="R474" s="3" t="s">
        <v>1893</v>
      </c>
    </row>
    <row r="475" spans="1:18" x14ac:dyDescent="0.25">
      <c r="A475" s="2">
        <v>17239</v>
      </c>
      <c r="B475" s="3" t="s">
        <v>1894</v>
      </c>
      <c r="C475" s="2" t="s">
        <v>4059</v>
      </c>
      <c r="D475" s="2" t="s">
        <v>1723</v>
      </c>
      <c r="E475" s="3" t="s">
        <v>1718</v>
      </c>
      <c r="F475" s="3" t="s">
        <v>1719</v>
      </c>
      <c r="G475" s="2" t="s">
        <v>4917</v>
      </c>
      <c r="H475" s="2" t="s">
        <v>4966</v>
      </c>
      <c r="I475" s="3" t="s">
        <v>1868</v>
      </c>
      <c r="J475" s="3" t="s">
        <v>138</v>
      </c>
      <c r="K475" s="3" t="s">
        <v>1869</v>
      </c>
      <c r="L475" s="3" t="s">
        <v>1723</v>
      </c>
      <c r="M475" s="3" t="s">
        <v>95</v>
      </c>
      <c r="N475" s="2">
        <v>7</v>
      </c>
      <c r="O475" s="3" t="s">
        <v>21</v>
      </c>
      <c r="P475" s="3" t="s">
        <v>97</v>
      </c>
      <c r="Q475" s="2" t="s">
        <v>5870</v>
      </c>
      <c r="R475" s="3" t="s">
        <v>1895</v>
      </c>
    </row>
    <row r="476" spans="1:18" x14ac:dyDescent="0.25">
      <c r="A476" s="2">
        <v>36480</v>
      </c>
      <c r="B476" s="3" t="s">
        <v>1896</v>
      </c>
      <c r="C476" s="2" t="s">
        <v>4060</v>
      </c>
      <c r="D476" s="2" t="s">
        <v>1723</v>
      </c>
      <c r="E476" s="3" t="s">
        <v>1718</v>
      </c>
      <c r="F476" s="3" t="s">
        <v>1719</v>
      </c>
      <c r="G476" s="2" t="s">
        <v>4917</v>
      </c>
      <c r="H476" s="2" t="s">
        <v>4967</v>
      </c>
      <c r="I476" s="3" t="s">
        <v>1839</v>
      </c>
      <c r="J476" s="3" t="s">
        <v>138</v>
      </c>
      <c r="K476" s="3" t="s">
        <v>1840</v>
      </c>
      <c r="L476" s="3" t="s">
        <v>1723</v>
      </c>
      <c r="M476" s="3" t="s">
        <v>95</v>
      </c>
      <c r="N476" s="2">
        <v>7</v>
      </c>
      <c r="O476" s="3" t="s">
        <v>96</v>
      </c>
      <c r="P476" s="3" t="s">
        <v>97</v>
      </c>
      <c r="Q476" s="2" t="s">
        <v>5871</v>
      </c>
      <c r="R476" s="3" t="s">
        <v>1897</v>
      </c>
    </row>
    <row r="477" spans="1:18" x14ac:dyDescent="0.25">
      <c r="A477" s="2">
        <v>14094</v>
      </c>
      <c r="B477" s="3" t="s">
        <v>1898</v>
      </c>
      <c r="C477" s="2" t="s">
        <v>4061</v>
      </c>
      <c r="D477" s="2" t="s">
        <v>1723</v>
      </c>
      <c r="E477" s="3" t="s">
        <v>1718</v>
      </c>
      <c r="F477" s="3" t="s">
        <v>1719</v>
      </c>
      <c r="G477" s="2" t="s">
        <v>4917</v>
      </c>
      <c r="H477" s="2" t="s">
        <v>4968</v>
      </c>
      <c r="I477" s="3" t="s">
        <v>1899</v>
      </c>
      <c r="J477" s="3" t="s">
        <v>138</v>
      </c>
      <c r="K477" s="3" t="s">
        <v>1900</v>
      </c>
      <c r="L477" s="3" t="s">
        <v>1723</v>
      </c>
      <c r="M477" s="3" t="s">
        <v>95</v>
      </c>
      <c r="N477" s="2">
        <v>7</v>
      </c>
      <c r="O477" s="3" t="s">
        <v>271</v>
      </c>
      <c r="P477" s="3" t="s">
        <v>97</v>
      </c>
      <c r="Q477" s="2" t="s">
        <v>5872</v>
      </c>
      <c r="R477" s="3" t="s">
        <v>1901</v>
      </c>
    </row>
    <row r="478" spans="1:18" x14ac:dyDescent="0.25">
      <c r="A478" s="2">
        <v>35622</v>
      </c>
      <c r="B478" s="3" t="s">
        <v>1902</v>
      </c>
      <c r="C478" s="2" t="s">
        <v>4062</v>
      </c>
      <c r="D478" s="2" t="s">
        <v>1723</v>
      </c>
      <c r="E478" s="3" t="s">
        <v>1718</v>
      </c>
      <c r="F478" s="3" t="s">
        <v>1719</v>
      </c>
      <c r="G478" s="2" t="s">
        <v>4917</v>
      </c>
      <c r="H478" s="2" t="s">
        <v>4969</v>
      </c>
      <c r="I478" s="3" t="s">
        <v>1903</v>
      </c>
      <c r="J478" s="3" t="s">
        <v>138</v>
      </c>
      <c r="K478" s="3" t="s">
        <v>1904</v>
      </c>
      <c r="L478" s="3" t="s">
        <v>1723</v>
      </c>
      <c r="M478" s="3" t="s">
        <v>95</v>
      </c>
      <c r="N478" s="2">
        <v>7</v>
      </c>
      <c r="O478" s="3" t="s">
        <v>96</v>
      </c>
      <c r="P478" s="3" t="s">
        <v>97</v>
      </c>
      <c r="Q478" s="2" t="s">
        <v>5873</v>
      </c>
      <c r="R478" s="3" t="s">
        <v>1905</v>
      </c>
    </row>
    <row r="479" spans="1:18" x14ac:dyDescent="0.25">
      <c r="A479" s="2">
        <v>15998</v>
      </c>
      <c r="B479" s="3" t="s">
        <v>1906</v>
      </c>
      <c r="C479" s="2" t="s">
        <v>4063</v>
      </c>
      <c r="D479" s="2" t="s">
        <v>1723</v>
      </c>
      <c r="E479" s="3" t="s">
        <v>1718</v>
      </c>
      <c r="F479" s="3" t="s">
        <v>1719</v>
      </c>
      <c r="G479" s="2" t="s">
        <v>4917</v>
      </c>
      <c r="H479" s="2" t="s">
        <v>4970</v>
      </c>
      <c r="I479" s="3" t="s">
        <v>1847</v>
      </c>
      <c r="J479" s="3" t="s">
        <v>1907</v>
      </c>
      <c r="K479" s="3" t="s">
        <v>1908</v>
      </c>
      <c r="L479" s="3" t="s">
        <v>1723</v>
      </c>
      <c r="M479" s="3" t="s">
        <v>95</v>
      </c>
      <c r="N479" s="2">
        <v>7</v>
      </c>
      <c r="O479" s="3" t="s">
        <v>244</v>
      </c>
      <c r="P479" s="3" t="s">
        <v>97</v>
      </c>
      <c r="Q479" s="2" t="s">
        <v>5874</v>
      </c>
      <c r="R479" s="3" t="s">
        <v>1909</v>
      </c>
    </row>
    <row r="480" spans="1:18" x14ac:dyDescent="0.25">
      <c r="A480" s="2">
        <v>14300</v>
      </c>
      <c r="B480" s="3" t="s">
        <v>1910</v>
      </c>
      <c r="C480" s="2" t="s">
        <v>4064</v>
      </c>
      <c r="D480" s="2" t="s">
        <v>1723</v>
      </c>
      <c r="E480" s="3" t="s">
        <v>1718</v>
      </c>
      <c r="F480" s="3" t="s">
        <v>1719</v>
      </c>
      <c r="G480" s="2" t="s">
        <v>4917</v>
      </c>
      <c r="H480" s="2" t="s">
        <v>4971</v>
      </c>
      <c r="I480" s="3" t="s">
        <v>1911</v>
      </c>
      <c r="J480" s="3" t="s">
        <v>1912</v>
      </c>
      <c r="K480" s="3" t="s">
        <v>1913</v>
      </c>
      <c r="L480" s="3" t="s">
        <v>1723</v>
      </c>
      <c r="M480" s="3" t="s">
        <v>95</v>
      </c>
      <c r="N480" s="2">
        <v>7</v>
      </c>
      <c r="O480" s="3" t="s">
        <v>96</v>
      </c>
      <c r="P480" s="3" t="s">
        <v>97</v>
      </c>
      <c r="Q480" s="2" t="s">
        <v>5875</v>
      </c>
      <c r="R480" s="3" t="s">
        <v>1914</v>
      </c>
    </row>
    <row r="481" spans="1:18" x14ac:dyDescent="0.25">
      <c r="A481" s="2">
        <v>17961</v>
      </c>
      <c r="B481" s="3" t="s">
        <v>1915</v>
      </c>
      <c r="C481" s="2" t="s">
        <v>4065</v>
      </c>
      <c r="D481" s="2" t="s">
        <v>1723</v>
      </c>
      <c r="E481" s="3" t="s">
        <v>1718</v>
      </c>
      <c r="F481" s="3" t="s">
        <v>1719</v>
      </c>
      <c r="G481" s="2" t="s">
        <v>4917</v>
      </c>
      <c r="H481" s="2" t="s">
        <v>4972</v>
      </c>
      <c r="I481" s="3" t="s">
        <v>1916</v>
      </c>
      <c r="J481" s="3" t="s">
        <v>1917</v>
      </c>
      <c r="K481" s="3" t="s">
        <v>1918</v>
      </c>
      <c r="L481" s="3" t="s">
        <v>1723</v>
      </c>
      <c r="M481" s="3" t="s">
        <v>95</v>
      </c>
      <c r="N481" s="2">
        <v>7</v>
      </c>
      <c r="O481" s="3" t="s">
        <v>244</v>
      </c>
      <c r="P481" s="3" t="s">
        <v>97</v>
      </c>
      <c r="Q481" s="2" t="s">
        <v>5876</v>
      </c>
      <c r="R481" s="3" t="s">
        <v>1919</v>
      </c>
    </row>
    <row r="482" spans="1:18" x14ac:dyDescent="0.25">
      <c r="A482" s="2">
        <v>38612</v>
      </c>
      <c r="B482" s="3" t="s">
        <v>1920</v>
      </c>
      <c r="C482" s="2" t="s">
        <v>4066</v>
      </c>
      <c r="D482" s="2" t="s">
        <v>1723</v>
      </c>
      <c r="E482" s="3" t="s">
        <v>1718</v>
      </c>
      <c r="F482" s="3" t="s">
        <v>1719</v>
      </c>
      <c r="G482" s="2" t="s">
        <v>4917</v>
      </c>
      <c r="H482" s="2" t="s">
        <v>4973</v>
      </c>
      <c r="I482" s="3" t="s">
        <v>1726</v>
      </c>
      <c r="J482" s="3" t="s">
        <v>1921</v>
      </c>
      <c r="K482" s="3" t="s">
        <v>1922</v>
      </c>
      <c r="L482" s="3" t="s">
        <v>1723</v>
      </c>
      <c r="M482" s="3" t="s">
        <v>95</v>
      </c>
      <c r="N482" s="2">
        <v>7</v>
      </c>
      <c r="O482" s="3" t="s">
        <v>96</v>
      </c>
      <c r="P482" s="3" t="s">
        <v>97</v>
      </c>
      <c r="Q482" s="2" t="s">
        <v>5877</v>
      </c>
      <c r="R482" s="3" t="s">
        <v>1923</v>
      </c>
    </row>
    <row r="483" spans="1:18" x14ac:dyDescent="0.25">
      <c r="A483" s="2">
        <v>30949</v>
      </c>
      <c r="B483" s="3" t="s">
        <v>1924</v>
      </c>
      <c r="C483" s="2" t="s">
        <v>4067</v>
      </c>
      <c r="D483" s="2" t="s">
        <v>1723</v>
      </c>
      <c r="E483" s="3" t="s">
        <v>1718</v>
      </c>
      <c r="F483" s="3" t="s">
        <v>1719</v>
      </c>
      <c r="G483" s="2" t="s">
        <v>4557</v>
      </c>
      <c r="H483" s="2" t="s">
        <v>4974</v>
      </c>
      <c r="I483" s="3" t="s">
        <v>1925</v>
      </c>
      <c r="J483" s="3" t="s">
        <v>1926</v>
      </c>
      <c r="K483" s="3" t="s">
        <v>1927</v>
      </c>
      <c r="L483" s="3" t="s">
        <v>1723</v>
      </c>
      <c r="M483" s="3" t="s">
        <v>95</v>
      </c>
      <c r="N483" s="2">
        <v>7</v>
      </c>
      <c r="O483" s="3" t="s">
        <v>244</v>
      </c>
      <c r="P483" s="3" t="s">
        <v>97</v>
      </c>
      <c r="Q483" s="2" t="s">
        <v>5878</v>
      </c>
      <c r="R483" s="3" t="s">
        <v>1928</v>
      </c>
    </row>
    <row r="484" spans="1:18" x14ac:dyDescent="0.25">
      <c r="A484" s="2">
        <v>34909</v>
      </c>
      <c r="B484" s="3" t="s">
        <v>1929</v>
      </c>
      <c r="C484" s="2" t="s">
        <v>4068</v>
      </c>
      <c r="D484" s="2" t="s">
        <v>1723</v>
      </c>
      <c r="E484" s="3" t="s">
        <v>1718</v>
      </c>
      <c r="F484" s="3" t="s">
        <v>1719</v>
      </c>
      <c r="G484" s="2" t="s">
        <v>4917</v>
      </c>
      <c r="H484" s="2" t="s">
        <v>4975</v>
      </c>
      <c r="I484" s="3" t="s">
        <v>1930</v>
      </c>
      <c r="J484" s="3" t="s">
        <v>1931</v>
      </c>
      <c r="K484" s="3" t="s">
        <v>1932</v>
      </c>
      <c r="L484" s="3" t="s">
        <v>1723</v>
      </c>
      <c r="M484" s="3" t="s">
        <v>95</v>
      </c>
      <c r="N484" s="2">
        <v>7</v>
      </c>
      <c r="O484" s="3" t="s">
        <v>271</v>
      </c>
      <c r="P484" s="3" t="s">
        <v>97</v>
      </c>
      <c r="Q484" s="2" t="s">
        <v>5879</v>
      </c>
      <c r="R484" s="3" t="s">
        <v>1933</v>
      </c>
    </row>
    <row r="485" spans="1:18" x14ac:dyDescent="0.25">
      <c r="A485" s="2">
        <v>18429</v>
      </c>
      <c r="B485" s="3" t="s">
        <v>1934</v>
      </c>
      <c r="C485" s="2" t="s">
        <v>4069</v>
      </c>
      <c r="D485" s="2" t="s">
        <v>1723</v>
      </c>
      <c r="E485" s="3" t="s">
        <v>1718</v>
      </c>
      <c r="F485" s="3" t="s">
        <v>1719</v>
      </c>
      <c r="G485" s="2" t="s">
        <v>4917</v>
      </c>
      <c r="H485" s="2" t="s">
        <v>4976</v>
      </c>
      <c r="I485" s="3" t="s">
        <v>1935</v>
      </c>
      <c r="J485" s="3" t="s">
        <v>1936</v>
      </c>
      <c r="K485" s="3" t="s">
        <v>1937</v>
      </c>
      <c r="L485" s="3" t="s">
        <v>1723</v>
      </c>
      <c r="M485" s="3" t="s">
        <v>95</v>
      </c>
      <c r="N485" s="2">
        <v>7</v>
      </c>
      <c r="O485" s="3" t="s">
        <v>96</v>
      </c>
      <c r="P485" s="3" t="s">
        <v>97</v>
      </c>
      <c r="Q485" s="2" t="s">
        <v>5880</v>
      </c>
      <c r="R485" s="3" t="s">
        <v>1938</v>
      </c>
    </row>
    <row r="486" spans="1:18" x14ac:dyDescent="0.25">
      <c r="A486" s="2">
        <v>13241</v>
      </c>
      <c r="B486" s="3" t="s">
        <v>1939</v>
      </c>
      <c r="C486" s="2" t="s">
        <v>4070</v>
      </c>
      <c r="D486" s="2" t="s">
        <v>1723</v>
      </c>
      <c r="E486" s="3" t="s">
        <v>1718</v>
      </c>
      <c r="F486" s="3" t="s">
        <v>1719</v>
      </c>
      <c r="G486" s="2" t="s">
        <v>4917</v>
      </c>
      <c r="H486" s="2" t="s">
        <v>4977</v>
      </c>
      <c r="I486" s="3" t="s">
        <v>1916</v>
      </c>
      <c r="J486" s="3" t="s">
        <v>138</v>
      </c>
      <c r="K486" s="3" t="s">
        <v>1940</v>
      </c>
      <c r="L486" s="3" t="s">
        <v>1723</v>
      </c>
      <c r="M486" s="3" t="s">
        <v>95</v>
      </c>
      <c r="N486" s="2">
        <v>7</v>
      </c>
      <c r="O486" s="3" t="s">
        <v>244</v>
      </c>
      <c r="P486" s="3" t="s">
        <v>97</v>
      </c>
      <c r="Q486" s="2" t="s">
        <v>5881</v>
      </c>
      <c r="R486" s="3" t="s">
        <v>1941</v>
      </c>
    </row>
    <row r="487" spans="1:18" x14ac:dyDescent="0.25">
      <c r="A487" s="2">
        <v>41561</v>
      </c>
      <c r="B487" s="3" t="s">
        <v>1942</v>
      </c>
      <c r="C487" s="2" t="s">
        <v>4071</v>
      </c>
      <c r="D487" s="2" t="s">
        <v>1723</v>
      </c>
      <c r="E487" s="3" t="s">
        <v>1718</v>
      </c>
      <c r="F487" s="3" t="s">
        <v>1719</v>
      </c>
      <c r="G487" s="2" t="s">
        <v>4917</v>
      </c>
      <c r="H487" s="2" t="s">
        <v>4978</v>
      </c>
      <c r="I487" s="3" t="s">
        <v>1735</v>
      </c>
      <c r="J487" s="3" t="s">
        <v>1943</v>
      </c>
      <c r="K487" s="3" t="s">
        <v>1944</v>
      </c>
      <c r="L487" s="3" t="s">
        <v>1723</v>
      </c>
      <c r="M487" s="3" t="s">
        <v>95</v>
      </c>
      <c r="N487" s="2">
        <v>7</v>
      </c>
      <c r="O487" s="3" t="s">
        <v>244</v>
      </c>
      <c r="P487" s="3" t="s">
        <v>97</v>
      </c>
      <c r="Q487" s="2" t="s">
        <v>5882</v>
      </c>
      <c r="R487" s="3" t="s">
        <v>1945</v>
      </c>
    </row>
    <row r="488" spans="1:18" x14ac:dyDescent="0.25">
      <c r="A488" s="2">
        <v>14324</v>
      </c>
      <c r="B488" s="3" t="s">
        <v>1946</v>
      </c>
      <c r="C488" s="2" t="s">
        <v>1946</v>
      </c>
      <c r="D488" s="2" t="s">
        <v>1723</v>
      </c>
      <c r="E488" s="3" t="s">
        <v>1718</v>
      </c>
      <c r="F488" s="3" t="s">
        <v>1719</v>
      </c>
      <c r="G488" s="2" t="s">
        <v>4917</v>
      </c>
      <c r="H488" s="2" t="s">
        <v>4979</v>
      </c>
      <c r="I488" s="3" t="s">
        <v>1947</v>
      </c>
      <c r="J488" s="3" t="s">
        <v>138</v>
      </c>
      <c r="K488" s="3" t="s">
        <v>1948</v>
      </c>
      <c r="L488" s="3" t="s">
        <v>1723</v>
      </c>
      <c r="M488" s="3" t="s">
        <v>95</v>
      </c>
      <c r="N488" s="2">
        <v>7</v>
      </c>
      <c r="O488" s="3" t="s">
        <v>244</v>
      </c>
      <c r="P488" s="3" t="s">
        <v>97</v>
      </c>
      <c r="Q488" s="2" t="s">
        <v>5883</v>
      </c>
      <c r="R488" s="3" t="s">
        <v>1949</v>
      </c>
    </row>
    <row r="489" spans="1:18" x14ac:dyDescent="0.25">
      <c r="A489" s="2">
        <v>27877</v>
      </c>
      <c r="B489" s="3" t="s">
        <v>1950</v>
      </c>
      <c r="C489" s="2" t="s">
        <v>4072</v>
      </c>
      <c r="D489" s="2" t="s">
        <v>1723</v>
      </c>
      <c r="E489" s="3" t="s">
        <v>1718</v>
      </c>
      <c r="F489" s="3" t="s">
        <v>1719</v>
      </c>
      <c r="G489" s="2" t="s">
        <v>4917</v>
      </c>
      <c r="H489" s="2" t="s">
        <v>4980</v>
      </c>
      <c r="I489" s="3" t="s">
        <v>1740</v>
      </c>
      <c r="J489" s="3" t="s">
        <v>1951</v>
      </c>
      <c r="K489" s="3" t="s">
        <v>1952</v>
      </c>
      <c r="L489" s="3" t="s">
        <v>1723</v>
      </c>
      <c r="M489" s="3" t="s">
        <v>95</v>
      </c>
      <c r="N489" s="2">
        <v>7</v>
      </c>
      <c r="O489" s="3" t="s">
        <v>271</v>
      </c>
      <c r="P489" s="3" t="s">
        <v>97</v>
      </c>
      <c r="Q489" s="2" t="s">
        <v>5884</v>
      </c>
      <c r="R489" s="3" t="s">
        <v>1953</v>
      </c>
    </row>
    <row r="490" spans="1:18" x14ac:dyDescent="0.25">
      <c r="A490" s="2">
        <v>22749</v>
      </c>
      <c r="B490" s="3" t="s">
        <v>1954</v>
      </c>
      <c r="C490" s="2" t="s">
        <v>4073</v>
      </c>
      <c r="D490" s="2" t="s">
        <v>1723</v>
      </c>
      <c r="E490" s="3" t="s">
        <v>1718</v>
      </c>
      <c r="F490" s="3" t="s">
        <v>1719</v>
      </c>
      <c r="G490" s="2" t="s">
        <v>4917</v>
      </c>
      <c r="H490" s="2" t="s">
        <v>4981</v>
      </c>
      <c r="I490" s="3" t="s">
        <v>1955</v>
      </c>
      <c r="J490" s="3" t="s">
        <v>138</v>
      </c>
      <c r="K490" s="3" t="s">
        <v>1956</v>
      </c>
      <c r="L490" s="3" t="s">
        <v>1723</v>
      </c>
      <c r="M490" s="3" t="s">
        <v>95</v>
      </c>
      <c r="N490" s="2">
        <v>7</v>
      </c>
      <c r="O490" s="3" t="s">
        <v>244</v>
      </c>
      <c r="P490" s="3" t="s">
        <v>97</v>
      </c>
      <c r="Q490" s="2" t="s">
        <v>5885</v>
      </c>
      <c r="R490" s="3" t="s">
        <v>1957</v>
      </c>
    </row>
    <row r="491" spans="1:18" x14ac:dyDescent="0.25">
      <c r="A491" s="2">
        <v>13210</v>
      </c>
      <c r="B491" s="3" t="s">
        <v>1958</v>
      </c>
      <c r="C491" s="2" t="s">
        <v>4074</v>
      </c>
      <c r="D491" s="2" t="s">
        <v>1723</v>
      </c>
      <c r="E491" s="3" t="s">
        <v>1718</v>
      </c>
      <c r="F491" s="3" t="s">
        <v>1719</v>
      </c>
      <c r="G491" s="2" t="s">
        <v>4917</v>
      </c>
      <c r="H491" s="2" t="s">
        <v>4982</v>
      </c>
      <c r="I491" s="3" t="s">
        <v>1797</v>
      </c>
      <c r="J491" s="3" t="s">
        <v>138</v>
      </c>
      <c r="K491" s="3" t="s">
        <v>1798</v>
      </c>
      <c r="L491" s="3" t="s">
        <v>1723</v>
      </c>
      <c r="M491" s="3" t="s">
        <v>95</v>
      </c>
      <c r="N491" s="2">
        <v>7</v>
      </c>
      <c r="O491" s="3" t="s">
        <v>21</v>
      </c>
      <c r="P491" s="3" t="s">
        <v>97</v>
      </c>
      <c r="Q491" s="2" t="s">
        <v>5886</v>
      </c>
      <c r="R491" s="3" t="s">
        <v>1959</v>
      </c>
    </row>
    <row r="492" spans="1:18" x14ac:dyDescent="0.25">
      <c r="A492" s="2">
        <v>40988</v>
      </c>
      <c r="B492" s="3" t="s">
        <v>1960</v>
      </c>
      <c r="C492" s="2" t="s">
        <v>4075</v>
      </c>
      <c r="D492" s="2" t="s">
        <v>19</v>
      </c>
      <c r="E492" s="3" t="s">
        <v>1718</v>
      </c>
      <c r="F492" s="3" t="s">
        <v>1961</v>
      </c>
      <c r="G492" s="2" t="s">
        <v>4944</v>
      </c>
      <c r="H492" s="2" t="s">
        <v>4983</v>
      </c>
      <c r="I492" s="3" t="s">
        <v>1962</v>
      </c>
      <c r="J492" s="3" t="s">
        <v>1963</v>
      </c>
      <c r="K492" s="3" t="s">
        <v>1964</v>
      </c>
      <c r="L492" s="3" t="s">
        <v>19</v>
      </c>
      <c r="M492" s="3" t="s">
        <v>20</v>
      </c>
      <c r="N492" s="2">
        <v>380</v>
      </c>
      <c r="O492" s="3" t="s">
        <v>21</v>
      </c>
      <c r="P492" s="3" t="s">
        <v>22</v>
      </c>
      <c r="Q492" s="2" t="s">
        <v>5887</v>
      </c>
      <c r="R492" s="3" t="s">
        <v>1965</v>
      </c>
    </row>
    <row r="493" spans="1:18" x14ac:dyDescent="0.25">
      <c r="A493" s="2">
        <v>10528</v>
      </c>
      <c r="B493" s="3" t="s">
        <v>1966</v>
      </c>
      <c r="C493" s="2" t="s">
        <v>4076</v>
      </c>
      <c r="D493" s="2" t="s">
        <v>19</v>
      </c>
      <c r="E493" s="3" t="s">
        <v>1718</v>
      </c>
      <c r="F493" s="3" t="s">
        <v>1961</v>
      </c>
      <c r="G493" s="2" t="s">
        <v>4984</v>
      </c>
      <c r="H493" s="2" t="s">
        <v>4985</v>
      </c>
      <c r="I493" s="3" t="s">
        <v>1967</v>
      </c>
      <c r="J493" s="3" t="s">
        <v>138</v>
      </c>
      <c r="K493" s="3" t="s">
        <v>1968</v>
      </c>
      <c r="L493" s="3" t="s">
        <v>19</v>
      </c>
      <c r="M493" s="3" t="s">
        <v>1969</v>
      </c>
      <c r="N493" s="2">
        <v>380</v>
      </c>
      <c r="O493" s="3" t="s">
        <v>244</v>
      </c>
      <c r="P493" s="3" t="s">
        <v>97</v>
      </c>
      <c r="Q493" s="2" t="s">
        <v>5888</v>
      </c>
      <c r="R493" s="3" t="s">
        <v>1970</v>
      </c>
    </row>
    <row r="494" spans="1:18" x14ac:dyDescent="0.25">
      <c r="A494" s="2">
        <v>18914</v>
      </c>
      <c r="B494" s="3" t="s">
        <v>1971</v>
      </c>
      <c r="C494" s="2" t="s">
        <v>4077</v>
      </c>
      <c r="D494" s="2" t="s">
        <v>19</v>
      </c>
      <c r="E494" s="3" t="s">
        <v>1718</v>
      </c>
      <c r="F494" s="3" t="s">
        <v>1961</v>
      </c>
      <c r="G494" s="2" t="s">
        <v>4984</v>
      </c>
      <c r="H494" s="2" t="s">
        <v>4986</v>
      </c>
      <c r="I494" s="3" t="s">
        <v>1972</v>
      </c>
      <c r="J494" s="3" t="s">
        <v>138</v>
      </c>
      <c r="K494" s="3" t="s">
        <v>1973</v>
      </c>
      <c r="L494" s="3" t="s">
        <v>19</v>
      </c>
      <c r="M494" s="3" t="s">
        <v>1969</v>
      </c>
      <c r="N494" s="2">
        <v>380</v>
      </c>
      <c r="O494" s="3" t="s">
        <v>271</v>
      </c>
      <c r="P494" s="3" t="s">
        <v>97</v>
      </c>
      <c r="Q494" s="2" t="s">
        <v>5889</v>
      </c>
      <c r="R494" s="3" t="s">
        <v>1974</v>
      </c>
    </row>
    <row r="495" spans="1:18" x14ac:dyDescent="0.25">
      <c r="A495" s="2">
        <v>25412</v>
      </c>
      <c r="B495" s="3" t="s">
        <v>1975</v>
      </c>
      <c r="C495" s="2" t="s">
        <v>4078</v>
      </c>
      <c r="D495" s="2" t="s">
        <v>19</v>
      </c>
      <c r="E495" s="3" t="s">
        <v>1718</v>
      </c>
      <c r="F495" s="3" t="s">
        <v>1961</v>
      </c>
      <c r="G495" s="2" t="s">
        <v>4944</v>
      </c>
      <c r="H495" s="2" t="s">
        <v>4987</v>
      </c>
      <c r="I495" s="3" t="s">
        <v>1962</v>
      </c>
      <c r="J495" s="3" t="s">
        <v>1976</v>
      </c>
      <c r="K495" s="3" t="s">
        <v>1977</v>
      </c>
      <c r="L495" s="3" t="s">
        <v>19</v>
      </c>
      <c r="M495" s="3" t="s">
        <v>20</v>
      </c>
      <c r="N495" s="2">
        <v>380</v>
      </c>
      <c r="O495" s="3" t="s">
        <v>21</v>
      </c>
      <c r="P495" s="3" t="s">
        <v>22</v>
      </c>
      <c r="Q495" s="2" t="s">
        <v>5890</v>
      </c>
      <c r="R495" s="3" t="s">
        <v>1978</v>
      </c>
    </row>
    <row r="496" spans="1:18" x14ac:dyDescent="0.25">
      <c r="A496" s="2">
        <v>2857</v>
      </c>
      <c r="B496" s="3" t="s">
        <v>1979</v>
      </c>
      <c r="C496" s="2" t="s">
        <v>4079</v>
      </c>
      <c r="D496" s="2" t="s">
        <v>19</v>
      </c>
      <c r="E496" s="3" t="s">
        <v>1718</v>
      </c>
      <c r="F496" s="3" t="s">
        <v>1961</v>
      </c>
      <c r="G496" s="2" t="s">
        <v>4984</v>
      </c>
      <c r="H496" s="2" t="s">
        <v>4988</v>
      </c>
      <c r="I496" s="3" t="s">
        <v>1967</v>
      </c>
      <c r="J496" s="3" t="s">
        <v>138</v>
      </c>
      <c r="K496" s="3" t="s">
        <v>1980</v>
      </c>
      <c r="L496" s="3" t="s">
        <v>19</v>
      </c>
      <c r="M496" s="3" t="s">
        <v>1969</v>
      </c>
      <c r="N496" s="2">
        <v>380</v>
      </c>
      <c r="O496" s="3" t="s">
        <v>244</v>
      </c>
      <c r="P496" s="3" t="s">
        <v>97</v>
      </c>
      <c r="Q496" s="2" t="s">
        <v>5891</v>
      </c>
      <c r="R496" s="3" t="s">
        <v>1981</v>
      </c>
    </row>
    <row r="497" spans="1:18" x14ac:dyDescent="0.25">
      <c r="A497" s="2">
        <v>13528</v>
      </c>
      <c r="B497" s="3" t="s">
        <v>1982</v>
      </c>
      <c r="C497" s="2" t="s">
        <v>4080</v>
      </c>
      <c r="D497" s="2" t="s">
        <v>19</v>
      </c>
      <c r="E497" s="3" t="s">
        <v>1718</v>
      </c>
      <c r="F497" s="3" t="s">
        <v>1961</v>
      </c>
      <c r="G497" s="2" t="s">
        <v>4984</v>
      </c>
      <c r="H497" s="2" t="s">
        <v>4989</v>
      </c>
      <c r="I497" s="3" t="s">
        <v>1983</v>
      </c>
      <c r="J497" s="3" t="s">
        <v>138</v>
      </c>
      <c r="K497" s="3" t="s">
        <v>1984</v>
      </c>
      <c r="L497" s="3" t="s">
        <v>19</v>
      </c>
      <c r="M497" s="3" t="s">
        <v>1985</v>
      </c>
      <c r="N497" s="2">
        <v>380</v>
      </c>
      <c r="O497" s="3" t="s">
        <v>244</v>
      </c>
      <c r="P497" s="3" t="s">
        <v>1986</v>
      </c>
      <c r="Q497" s="2" t="s">
        <v>5892</v>
      </c>
      <c r="R497" s="3" t="s">
        <v>1987</v>
      </c>
    </row>
    <row r="498" spans="1:18" x14ac:dyDescent="0.25">
      <c r="A498" s="2">
        <v>13521</v>
      </c>
      <c r="B498" s="3" t="s">
        <v>1988</v>
      </c>
      <c r="C498" s="2" t="s">
        <v>4081</v>
      </c>
      <c r="D498" s="2" t="s">
        <v>19</v>
      </c>
      <c r="E498" s="3" t="s">
        <v>1718</v>
      </c>
      <c r="F498" s="3" t="s">
        <v>1961</v>
      </c>
      <c r="G498" s="2" t="s">
        <v>4944</v>
      </c>
      <c r="H498" s="2" t="s">
        <v>4990</v>
      </c>
      <c r="I498" s="3" t="s">
        <v>1989</v>
      </c>
      <c r="J498" s="3" t="s">
        <v>1990</v>
      </c>
      <c r="K498" s="3" t="s">
        <v>1991</v>
      </c>
      <c r="L498" s="3" t="s">
        <v>19</v>
      </c>
      <c r="M498" s="3" t="s">
        <v>1969</v>
      </c>
      <c r="N498" s="2">
        <v>380</v>
      </c>
      <c r="O498" s="3" t="s">
        <v>271</v>
      </c>
      <c r="P498" s="3" t="s">
        <v>97</v>
      </c>
      <c r="Q498" s="2" t="s">
        <v>5893</v>
      </c>
      <c r="R498" s="3" t="s">
        <v>1992</v>
      </c>
    </row>
    <row r="499" spans="1:18" x14ac:dyDescent="0.25">
      <c r="A499" s="2">
        <v>32093</v>
      </c>
      <c r="B499" s="3" t="s">
        <v>1993</v>
      </c>
      <c r="C499" s="2" t="s">
        <v>4082</v>
      </c>
      <c r="D499" s="2" t="s">
        <v>19</v>
      </c>
      <c r="E499" s="3" t="s">
        <v>1718</v>
      </c>
      <c r="F499" s="3" t="s">
        <v>1961</v>
      </c>
      <c r="G499" s="2" t="s">
        <v>4984</v>
      </c>
      <c r="H499" s="2" t="s">
        <v>4991</v>
      </c>
      <c r="I499" s="3" t="s">
        <v>1989</v>
      </c>
      <c r="J499" s="3" t="s">
        <v>1994</v>
      </c>
      <c r="K499" s="3" t="s">
        <v>1991</v>
      </c>
      <c r="L499" s="3" t="s">
        <v>19</v>
      </c>
      <c r="M499" s="3" t="s">
        <v>1969</v>
      </c>
      <c r="N499" s="2">
        <v>380</v>
      </c>
      <c r="O499" s="3" t="s">
        <v>271</v>
      </c>
      <c r="P499" s="3" t="s">
        <v>97</v>
      </c>
      <c r="Q499" s="2" t="s">
        <v>5894</v>
      </c>
      <c r="R499" s="3" t="s">
        <v>1995</v>
      </c>
    </row>
    <row r="500" spans="1:18" x14ac:dyDescent="0.25">
      <c r="A500" s="2">
        <v>18915</v>
      </c>
      <c r="B500" s="3" t="s">
        <v>1996</v>
      </c>
      <c r="C500" s="2" t="s">
        <v>4083</v>
      </c>
      <c r="D500" s="2" t="s">
        <v>19</v>
      </c>
      <c r="E500" s="3" t="s">
        <v>1718</v>
      </c>
      <c r="F500" s="3" t="s">
        <v>1961</v>
      </c>
      <c r="G500" s="2" t="s">
        <v>4992</v>
      </c>
      <c r="H500" s="2" t="s">
        <v>4993</v>
      </c>
      <c r="I500" s="3" t="s">
        <v>1997</v>
      </c>
      <c r="J500" s="3" t="s">
        <v>138</v>
      </c>
      <c r="K500" s="3" t="s">
        <v>1998</v>
      </c>
      <c r="L500" s="3" t="s">
        <v>19</v>
      </c>
      <c r="M500" s="3" t="s">
        <v>1969</v>
      </c>
      <c r="N500" s="2">
        <v>380</v>
      </c>
      <c r="O500" s="3" t="s">
        <v>244</v>
      </c>
      <c r="P500" s="3" t="s">
        <v>97</v>
      </c>
      <c r="Q500" s="2" t="s">
        <v>5895</v>
      </c>
      <c r="R500" s="3" t="s">
        <v>1999</v>
      </c>
    </row>
    <row r="501" spans="1:18" x14ac:dyDescent="0.25">
      <c r="A501" s="2">
        <v>9529</v>
      </c>
      <c r="B501" s="3" t="s">
        <v>2000</v>
      </c>
      <c r="C501" s="2" t="s">
        <v>4084</v>
      </c>
      <c r="D501" s="2" t="s">
        <v>19</v>
      </c>
      <c r="E501" s="3" t="s">
        <v>1718</v>
      </c>
      <c r="F501" s="3" t="s">
        <v>1961</v>
      </c>
      <c r="G501" s="2" t="s">
        <v>4984</v>
      </c>
      <c r="H501" s="2" t="s">
        <v>4994</v>
      </c>
      <c r="I501" s="3" t="s">
        <v>1983</v>
      </c>
      <c r="J501" s="3" t="s">
        <v>138</v>
      </c>
      <c r="K501" s="3" t="s">
        <v>2001</v>
      </c>
      <c r="L501" s="3" t="s">
        <v>19</v>
      </c>
      <c r="M501" s="3" t="s">
        <v>1985</v>
      </c>
      <c r="N501" s="2">
        <v>380</v>
      </c>
      <c r="O501" s="3" t="s">
        <v>244</v>
      </c>
      <c r="P501" s="3" t="s">
        <v>1986</v>
      </c>
      <c r="Q501" s="2" t="s">
        <v>5896</v>
      </c>
      <c r="R501" s="3" t="s">
        <v>2002</v>
      </c>
    </row>
    <row r="502" spans="1:18" x14ac:dyDescent="0.25">
      <c r="A502" s="2">
        <v>16243</v>
      </c>
      <c r="B502" s="3" t="s">
        <v>2003</v>
      </c>
      <c r="C502" s="2" t="s">
        <v>4085</v>
      </c>
      <c r="D502" s="2" t="s">
        <v>19</v>
      </c>
      <c r="E502" s="3" t="s">
        <v>1718</v>
      </c>
      <c r="F502" s="3" t="s">
        <v>1961</v>
      </c>
      <c r="G502" s="2" t="s">
        <v>4984</v>
      </c>
      <c r="H502" s="2" t="s">
        <v>4995</v>
      </c>
      <c r="I502" s="3" t="s">
        <v>1989</v>
      </c>
      <c r="J502" s="3" t="s">
        <v>927</v>
      </c>
      <c r="K502" s="3" t="s">
        <v>2004</v>
      </c>
      <c r="L502" s="3" t="s">
        <v>19</v>
      </c>
      <c r="M502" s="3" t="s">
        <v>1969</v>
      </c>
      <c r="N502" s="2">
        <v>380</v>
      </c>
      <c r="O502" s="3" t="s">
        <v>271</v>
      </c>
      <c r="P502" s="3" t="s">
        <v>97</v>
      </c>
      <c r="Q502" s="2" t="s">
        <v>5897</v>
      </c>
      <c r="R502" s="3" t="s">
        <v>2005</v>
      </c>
    </row>
    <row r="503" spans="1:18" x14ac:dyDescent="0.25">
      <c r="A503" s="2">
        <v>25415</v>
      </c>
      <c r="B503" s="3" t="s">
        <v>2006</v>
      </c>
      <c r="C503" s="2" t="s">
        <v>4086</v>
      </c>
      <c r="D503" s="2" t="s">
        <v>19</v>
      </c>
      <c r="E503" s="3" t="s">
        <v>1718</v>
      </c>
      <c r="F503" s="3" t="s">
        <v>1961</v>
      </c>
      <c r="G503" s="2" t="s">
        <v>4944</v>
      </c>
      <c r="H503" s="2" t="s">
        <v>4996</v>
      </c>
      <c r="I503" s="3" t="s">
        <v>1962</v>
      </c>
      <c r="J503" s="3" t="s">
        <v>2007</v>
      </c>
      <c r="K503" s="3" t="s">
        <v>2008</v>
      </c>
      <c r="L503" s="3" t="s">
        <v>19</v>
      </c>
      <c r="M503" s="3" t="s">
        <v>20</v>
      </c>
      <c r="N503" s="2">
        <v>380</v>
      </c>
      <c r="O503" s="3" t="s">
        <v>21</v>
      </c>
      <c r="P503" s="3" t="s">
        <v>22</v>
      </c>
      <c r="Q503" s="2" t="s">
        <v>5898</v>
      </c>
      <c r="R503" s="3" t="s">
        <v>2009</v>
      </c>
    </row>
    <row r="504" spans="1:18" x14ac:dyDescent="0.25">
      <c r="A504" s="2">
        <v>36364</v>
      </c>
      <c r="B504" s="3" t="s">
        <v>2010</v>
      </c>
      <c r="C504" s="2" t="s">
        <v>4087</v>
      </c>
      <c r="D504" s="2" t="s">
        <v>19</v>
      </c>
      <c r="E504" s="3" t="s">
        <v>1718</v>
      </c>
      <c r="F504" s="3" t="s">
        <v>1961</v>
      </c>
      <c r="G504" s="2" t="s">
        <v>4984</v>
      </c>
      <c r="H504" s="2" t="s">
        <v>4997</v>
      </c>
      <c r="I504" s="3" t="s">
        <v>1983</v>
      </c>
      <c r="J504" s="3" t="s">
        <v>138</v>
      </c>
      <c r="K504" s="3" t="s">
        <v>2011</v>
      </c>
      <c r="L504" s="3" t="s">
        <v>19</v>
      </c>
      <c r="M504" s="3" t="s">
        <v>1985</v>
      </c>
      <c r="N504" s="2">
        <v>380</v>
      </c>
      <c r="O504" s="3" t="s">
        <v>244</v>
      </c>
      <c r="P504" s="3" t="s">
        <v>1986</v>
      </c>
      <c r="Q504" s="2" t="s">
        <v>5899</v>
      </c>
      <c r="R504" s="3" t="s">
        <v>2012</v>
      </c>
    </row>
    <row r="505" spans="1:18" x14ac:dyDescent="0.25">
      <c r="A505" s="2">
        <v>25414</v>
      </c>
      <c r="B505" s="3" t="s">
        <v>2013</v>
      </c>
      <c r="C505" s="2" t="s">
        <v>4088</v>
      </c>
      <c r="D505" s="2" t="s">
        <v>19</v>
      </c>
      <c r="E505" s="3" t="s">
        <v>1718</v>
      </c>
      <c r="F505" s="3" t="s">
        <v>1961</v>
      </c>
      <c r="G505" s="2" t="s">
        <v>4944</v>
      </c>
      <c r="H505" s="2" t="s">
        <v>4998</v>
      </c>
      <c r="I505" s="3" t="s">
        <v>2014</v>
      </c>
      <c r="J505" s="3" t="s">
        <v>138</v>
      </c>
      <c r="K505" s="3" t="s">
        <v>2015</v>
      </c>
      <c r="L505" s="3" t="s">
        <v>19</v>
      </c>
      <c r="M505" s="3" t="s">
        <v>1969</v>
      </c>
      <c r="N505" s="2">
        <v>380</v>
      </c>
      <c r="O505" s="3" t="s">
        <v>244</v>
      </c>
      <c r="P505" s="3" t="s">
        <v>97</v>
      </c>
      <c r="Q505" s="2" t="s">
        <v>5900</v>
      </c>
      <c r="R505" s="3" t="s">
        <v>2016</v>
      </c>
    </row>
    <row r="506" spans="1:18" x14ac:dyDescent="0.25">
      <c r="A506" s="2">
        <v>5222</v>
      </c>
      <c r="B506" s="3" t="s">
        <v>2017</v>
      </c>
      <c r="C506" s="2" t="s">
        <v>4089</v>
      </c>
      <c r="D506" s="2" t="s">
        <v>19</v>
      </c>
      <c r="E506" s="3" t="s">
        <v>1718</v>
      </c>
      <c r="F506" s="3" t="s">
        <v>1961</v>
      </c>
      <c r="G506" s="2" t="s">
        <v>4984</v>
      </c>
      <c r="H506" s="2" t="s">
        <v>4999</v>
      </c>
      <c r="I506" s="3" t="s">
        <v>2018</v>
      </c>
      <c r="J506" s="3" t="s">
        <v>138</v>
      </c>
      <c r="K506" s="3" t="s">
        <v>2019</v>
      </c>
      <c r="L506" s="3" t="s">
        <v>19</v>
      </c>
      <c r="M506" s="3" t="s">
        <v>1969</v>
      </c>
      <c r="N506" s="2">
        <v>380</v>
      </c>
      <c r="O506" s="3" t="s">
        <v>96</v>
      </c>
      <c r="P506" s="3" t="s">
        <v>97</v>
      </c>
      <c r="Q506" s="2" t="s">
        <v>5901</v>
      </c>
      <c r="R506" s="3" t="s">
        <v>2020</v>
      </c>
    </row>
    <row r="507" spans="1:18" x14ac:dyDescent="0.25">
      <c r="A507" s="2">
        <v>2843</v>
      </c>
      <c r="B507" s="3" t="s">
        <v>2021</v>
      </c>
      <c r="C507" s="2" t="s">
        <v>4090</v>
      </c>
      <c r="D507" s="2" t="s">
        <v>19</v>
      </c>
      <c r="E507" s="3" t="s">
        <v>1718</v>
      </c>
      <c r="F507" s="3" t="s">
        <v>1961</v>
      </c>
      <c r="G507" s="2" t="s">
        <v>5000</v>
      </c>
      <c r="H507" s="2" t="s">
        <v>5001</v>
      </c>
      <c r="I507" s="3" t="s">
        <v>2022</v>
      </c>
      <c r="J507" s="3" t="s">
        <v>2023</v>
      </c>
      <c r="K507" s="3" t="s">
        <v>2024</v>
      </c>
      <c r="L507" s="3" t="s">
        <v>19</v>
      </c>
      <c r="M507" s="3" t="s">
        <v>1969</v>
      </c>
      <c r="N507" s="2">
        <v>380</v>
      </c>
      <c r="O507" s="3" t="s">
        <v>271</v>
      </c>
      <c r="P507" s="3" t="s">
        <v>97</v>
      </c>
      <c r="Q507" s="2" t="s">
        <v>5902</v>
      </c>
      <c r="R507" s="3" t="s">
        <v>2025</v>
      </c>
    </row>
    <row r="508" spans="1:18" x14ac:dyDescent="0.25">
      <c r="A508" s="2">
        <v>13976</v>
      </c>
      <c r="B508" s="3" t="s">
        <v>2026</v>
      </c>
      <c r="C508" s="2" t="s">
        <v>4091</v>
      </c>
      <c r="D508" s="2" t="s">
        <v>19</v>
      </c>
      <c r="E508" s="3" t="s">
        <v>1718</v>
      </c>
      <c r="F508" s="3" t="s">
        <v>1961</v>
      </c>
      <c r="G508" s="2" t="s">
        <v>5000</v>
      </c>
      <c r="H508" s="2" t="s">
        <v>5002</v>
      </c>
      <c r="I508" s="3" t="s">
        <v>2027</v>
      </c>
      <c r="J508" s="3" t="s">
        <v>2028</v>
      </c>
      <c r="K508" s="3" t="s">
        <v>2029</v>
      </c>
      <c r="L508" s="3" t="s">
        <v>19</v>
      </c>
      <c r="M508" s="3" t="s">
        <v>1969</v>
      </c>
      <c r="N508" s="2">
        <v>380</v>
      </c>
      <c r="O508" s="3" t="s">
        <v>271</v>
      </c>
      <c r="P508" s="3" t="s">
        <v>97</v>
      </c>
      <c r="Q508" s="2" t="s">
        <v>5903</v>
      </c>
      <c r="R508" s="3" t="s">
        <v>2030</v>
      </c>
    </row>
    <row r="509" spans="1:18" x14ac:dyDescent="0.25">
      <c r="A509" s="2">
        <v>4038</v>
      </c>
      <c r="B509" s="3" t="s">
        <v>2031</v>
      </c>
      <c r="C509" s="2" t="s">
        <v>4092</v>
      </c>
      <c r="D509" s="2" t="s">
        <v>19</v>
      </c>
      <c r="E509" s="3" t="s">
        <v>1718</v>
      </c>
      <c r="F509" s="3" t="s">
        <v>1961</v>
      </c>
      <c r="G509" s="2" t="s">
        <v>5000</v>
      </c>
      <c r="H509" s="2" t="s">
        <v>5003</v>
      </c>
      <c r="I509" s="3" t="s">
        <v>2032</v>
      </c>
      <c r="J509" s="3" t="s">
        <v>138</v>
      </c>
      <c r="K509" s="3" t="s">
        <v>2033</v>
      </c>
      <c r="L509" s="3" t="s">
        <v>19</v>
      </c>
      <c r="M509" s="3" t="s">
        <v>1969</v>
      </c>
      <c r="N509" s="2">
        <v>380</v>
      </c>
      <c r="O509" s="3" t="s">
        <v>244</v>
      </c>
      <c r="P509" s="3" t="s">
        <v>97</v>
      </c>
      <c r="Q509" s="2" t="s">
        <v>5904</v>
      </c>
      <c r="R509" s="3" t="s">
        <v>2034</v>
      </c>
    </row>
    <row r="510" spans="1:18" x14ac:dyDescent="0.25">
      <c r="A510" s="2">
        <v>19448</v>
      </c>
      <c r="B510" s="3" t="s">
        <v>2035</v>
      </c>
      <c r="C510" s="2" t="s">
        <v>4093</v>
      </c>
      <c r="D510" s="2" t="s">
        <v>19</v>
      </c>
      <c r="E510" s="3" t="s">
        <v>1718</v>
      </c>
      <c r="F510" s="3" t="s">
        <v>1961</v>
      </c>
      <c r="G510" s="2" t="s">
        <v>4984</v>
      </c>
      <c r="H510" s="2" t="s">
        <v>5004</v>
      </c>
      <c r="I510" s="3" t="s">
        <v>2036</v>
      </c>
      <c r="J510" s="3" t="s">
        <v>2037</v>
      </c>
      <c r="K510" s="3" t="s">
        <v>2038</v>
      </c>
      <c r="L510" s="3" t="s">
        <v>19</v>
      </c>
      <c r="M510" s="3" t="s">
        <v>1969</v>
      </c>
      <c r="N510" s="2">
        <v>380</v>
      </c>
      <c r="O510" s="3" t="s">
        <v>271</v>
      </c>
      <c r="P510" s="3" t="s">
        <v>97</v>
      </c>
      <c r="Q510" s="2" t="s">
        <v>5905</v>
      </c>
      <c r="R510" s="3" t="s">
        <v>2039</v>
      </c>
    </row>
    <row r="511" spans="1:18" x14ac:dyDescent="0.25">
      <c r="A511" s="2">
        <v>38905</v>
      </c>
      <c r="B511" s="3" t="s">
        <v>2040</v>
      </c>
      <c r="C511" s="2" t="s">
        <v>4094</v>
      </c>
      <c r="D511" s="2" t="s">
        <v>19</v>
      </c>
      <c r="E511" s="3" t="s">
        <v>1718</v>
      </c>
      <c r="F511" s="3" t="s">
        <v>1961</v>
      </c>
      <c r="G511" s="2" t="s">
        <v>5005</v>
      </c>
      <c r="H511" s="2" t="s">
        <v>5006</v>
      </c>
      <c r="I511" s="3" t="s">
        <v>1962</v>
      </c>
      <c r="J511" s="3" t="s">
        <v>2041</v>
      </c>
      <c r="K511" s="3" t="s">
        <v>2042</v>
      </c>
      <c r="L511" s="3" t="s">
        <v>19</v>
      </c>
      <c r="M511" s="3" t="s">
        <v>20</v>
      </c>
      <c r="N511" s="2">
        <v>380</v>
      </c>
      <c r="O511" s="3" t="s">
        <v>21</v>
      </c>
      <c r="P511" s="3" t="s">
        <v>22</v>
      </c>
      <c r="Q511" s="2" t="s">
        <v>5906</v>
      </c>
      <c r="R511" s="3" t="s">
        <v>2043</v>
      </c>
    </row>
    <row r="512" spans="1:18" x14ac:dyDescent="0.25">
      <c r="A512" s="2">
        <v>37890</v>
      </c>
      <c r="B512" s="3" t="s">
        <v>2044</v>
      </c>
      <c r="C512" s="2" t="s">
        <v>4095</v>
      </c>
      <c r="D512" s="2" t="s">
        <v>19</v>
      </c>
      <c r="E512" s="3" t="s">
        <v>1718</v>
      </c>
      <c r="F512" s="3" t="s">
        <v>1961</v>
      </c>
      <c r="G512" s="2" t="s">
        <v>4944</v>
      </c>
      <c r="H512" s="2" t="s">
        <v>5007</v>
      </c>
      <c r="I512" s="3" t="s">
        <v>1962</v>
      </c>
      <c r="J512" s="3" t="s">
        <v>138</v>
      </c>
      <c r="K512" s="3" t="s">
        <v>2045</v>
      </c>
      <c r="L512" s="3" t="s">
        <v>19</v>
      </c>
      <c r="M512" s="3" t="s">
        <v>20</v>
      </c>
      <c r="N512" s="2">
        <v>380</v>
      </c>
      <c r="O512" s="3" t="s">
        <v>21</v>
      </c>
      <c r="P512" s="3" t="s">
        <v>22</v>
      </c>
      <c r="Q512" s="2" t="s">
        <v>5907</v>
      </c>
      <c r="R512" s="3" t="s">
        <v>2046</v>
      </c>
    </row>
    <row r="513" spans="1:18" x14ac:dyDescent="0.25">
      <c r="A513" s="2">
        <v>25130</v>
      </c>
      <c r="B513" s="3" t="s">
        <v>2047</v>
      </c>
      <c r="C513" s="2" t="s">
        <v>4096</v>
      </c>
      <c r="D513" s="2" t="s">
        <v>19</v>
      </c>
      <c r="E513" s="3" t="s">
        <v>1718</v>
      </c>
      <c r="F513" s="3" t="s">
        <v>1961</v>
      </c>
      <c r="G513" s="2" t="s">
        <v>5005</v>
      </c>
      <c r="H513" s="2" t="s">
        <v>5008</v>
      </c>
      <c r="I513" s="3" t="s">
        <v>2014</v>
      </c>
      <c r="J513" s="3" t="s">
        <v>138</v>
      </c>
      <c r="K513" s="3" t="s">
        <v>2048</v>
      </c>
      <c r="L513" s="3" t="s">
        <v>19</v>
      </c>
      <c r="M513" s="3" t="s">
        <v>1969</v>
      </c>
      <c r="N513" s="2">
        <v>380</v>
      </c>
      <c r="O513" s="3" t="s">
        <v>244</v>
      </c>
      <c r="P513" s="3" t="s">
        <v>97</v>
      </c>
      <c r="Q513" s="2" t="s">
        <v>5908</v>
      </c>
      <c r="R513" s="3" t="s">
        <v>2049</v>
      </c>
    </row>
    <row r="514" spans="1:18" x14ac:dyDescent="0.25">
      <c r="A514" s="2">
        <v>26955</v>
      </c>
      <c r="B514" s="3" t="s">
        <v>2050</v>
      </c>
      <c r="C514" s="2" t="s">
        <v>4097</v>
      </c>
      <c r="D514" s="2" t="s">
        <v>19</v>
      </c>
      <c r="E514" s="3" t="s">
        <v>1718</v>
      </c>
      <c r="F514" s="3" t="s">
        <v>1961</v>
      </c>
      <c r="G514" s="2" t="s">
        <v>4984</v>
      </c>
      <c r="H514" s="2" t="s">
        <v>5009</v>
      </c>
      <c r="I514" s="3" t="s">
        <v>2051</v>
      </c>
      <c r="J514" s="3" t="s">
        <v>138</v>
      </c>
      <c r="K514" s="3" t="s">
        <v>2052</v>
      </c>
      <c r="L514" s="3" t="s">
        <v>19</v>
      </c>
      <c r="M514" s="3" t="s">
        <v>1969</v>
      </c>
      <c r="N514" s="2">
        <v>380</v>
      </c>
      <c r="O514" s="3" t="s">
        <v>244</v>
      </c>
      <c r="P514" s="3" t="s">
        <v>97</v>
      </c>
      <c r="Q514" s="2" t="s">
        <v>5909</v>
      </c>
      <c r="R514" s="3" t="s">
        <v>2053</v>
      </c>
    </row>
    <row r="515" spans="1:18" x14ac:dyDescent="0.25">
      <c r="A515" s="2">
        <v>20679</v>
      </c>
      <c r="B515" s="3" t="s">
        <v>2054</v>
      </c>
      <c r="C515" s="2" t="s">
        <v>4098</v>
      </c>
      <c r="D515" s="2" t="s">
        <v>19</v>
      </c>
      <c r="E515" s="3" t="s">
        <v>1718</v>
      </c>
      <c r="F515" s="3" t="s">
        <v>1961</v>
      </c>
      <c r="G515" s="2" t="s">
        <v>4984</v>
      </c>
      <c r="H515" s="2" t="s">
        <v>5010</v>
      </c>
      <c r="I515" s="3" t="s">
        <v>2055</v>
      </c>
      <c r="J515" s="3" t="s">
        <v>138</v>
      </c>
      <c r="K515" s="3" t="s">
        <v>2056</v>
      </c>
      <c r="L515" s="3" t="s">
        <v>19</v>
      </c>
      <c r="M515" s="3" t="s">
        <v>1969</v>
      </c>
      <c r="N515" s="2">
        <v>380</v>
      </c>
      <c r="O515" s="3" t="s">
        <v>244</v>
      </c>
      <c r="P515" s="3" t="s">
        <v>97</v>
      </c>
      <c r="Q515" s="2" t="s">
        <v>5910</v>
      </c>
      <c r="R515" s="3" t="s">
        <v>2057</v>
      </c>
    </row>
    <row r="516" spans="1:18" x14ac:dyDescent="0.25">
      <c r="A516" s="2">
        <v>7603</v>
      </c>
      <c r="B516" s="3" t="s">
        <v>2058</v>
      </c>
      <c r="C516" s="2" t="s">
        <v>4099</v>
      </c>
      <c r="D516" s="2" t="s">
        <v>19</v>
      </c>
      <c r="E516" s="3" t="s">
        <v>1718</v>
      </c>
      <c r="F516" s="3" t="s">
        <v>1961</v>
      </c>
      <c r="G516" s="2" t="s">
        <v>4992</v>
      </c>
      <c r="H516" s="2" t="s">
        <v>5011</v>
      </c>
      <c r="I516" s="3" t="s">
        <v>2059</v>
      </c>
      <c r="J516" s="3" t="s">
        <v>138</v>
      </c>
      <c r="K516" s="3" t="s">
        <v>2060</v>
      </c>
      <c r="L516" s="3" t="s">
        <v>19</v>
      </c>
      <c r="M516" s="3" t="s">
        <v>1969</v>
      </c>
      <c r="N516" s="2">
        <v>380</v>
      </c>
      <c r="O516" s="3" t="s">
        <v>271</v>
      </c>
      <c r="P516" s="3" t="s">
        <v>97</v>
      </c>
      <c r="Q516" s="2" t="s">
        <v>5911</v>
      </c>
      <c r="R516" s="3" t="s">
        <v>2061</v>
      </c>
    </row>
    <row r="517" spans="1:18" x14ac:dyDescent="0.25">
      <c r="A517" s="2">
        <v>25552</v>
      </c>
      <c r="B517" s="3" t="s">
        <v>2062</v>
      </c>
      <c r="C517" s="2" t="s">
        <v>4100</v>
      </c>
      <c r="D517" s="2" t="s">
        <v>19</v>
      </c>
      <c r="E517" s="3" t="s">
        <v>1718</v>
      </c>
      <c r="F517" s="3" t="s">
        <v>1961</v>
      </c>
      <c r="G517" s="2" t="s">
        <v>5000</v>
      </c>
      <c r="H517" s="2" t="s">
        <v>5012</v>
      </c>
      <c r="I517" s="3" t="s">
        <v>2063</v>
      </c>
      <c r="J517" s="3" t="s">
        <v>138</v>
      </c>
      <c r="K517" s="3" t="s">
        <v>2064</v>
      </c>
      <c r="L517" s="3" t="s">
        <v>19</v>
      </c>
      <c r="M517" s="3" t="s">
        <v>1969</v>
      </c>
      <c r="N517" s="2">
        <v>380</v>
      </c>
      <c r="O517" s="3" t="s">
        <v>271</v>
      </c>
      <c r="P517" s="3" t="s">
        <v>97</v>
      </c>
      <c r="Q517" s="2" t="s">
        <v>5912</v>
      </c>
      <c r="R517" s="3" t="s">
        <v>2065</v>
      </c>
    </row>
    <row r="518" spans="1:18" x14ac:dyDescent="0.25">
      <c r="A518" s="2">
        <v>1395</v>
      </c>
      <c r="B518" s="3" t="s">
        <v>2066</v>
      </c>
      <c r="C518" s="2" t="s">
        <v>4101</v>
      </c>
      <c r="D518" s="2" t="s">
        <v>19</v>
      </c>
      <c r="E518" s="3" t="s">
        <v>1718</v>
      </c>
      <c r="F518" s="3" t="s">
        <v>1961</v>
      </c>
      <c r="G518" s="2" t="s">
        <v>5000</v>
      </c>
      <c r="H518" s="2" t="s">
        <v>5013</v>
      </c>
      <c r="I518" s="3" t="s">
        <v>2067</v>
      </c>
      <c r="J518" s="3" t="s">
        <v>2068</v>
      </c>
      <c r="K518" s="3" t="s">
        <v>2069</v>
      </c>
      <c r="L518" s="3" t="s">
        <v>19</v>
      </c>
      <c r="M518" s="3" t="s">
        <v>1969</v>
      </c>
      <c r="N518" s="2">
        <v>380</v>
      </c>
      <c r="O518" s="3" t="s">
        <v>271</v>
      </c>
      <c r="P518" s="3" t="s">
        <v>97</v>
      </c>
      <c r="Q518" s="2" t="s">
        <v>5913</v>
      </c>
      <c r="R518" s="3" t="s">
        <v>2070</v>
      </c>
    </row>
    <row r="519" spans="1:18" x14ac:dyDescent="0.25">
      <c r="A519" s="2">
        <v>38477</v>
      </c>
      <c r="B519" s="3" t="s">
        <v>2071</v>
      </c>
      <c r="C519" s="2" t="s">
        <v>4102</v>
      </c>
      <c r="D519" s="2" t="s">
        <v>19</v>
      </c>
      <c r="E519" s="3" t="s">
        <v>1718</v>
      </c>
      <c r="F519" s="3" t="s">
        <v>1961</v>
      </c>
      <c r="G519" s="2" t="s">
        <v>4984</v>
      </c>
      <c r="H519" s="2" t="s">
        <v>5014</v>
      </c>
      <c r="I519" s="3" t="s">
        <v>2072</v>
      </c>
      <c r="J519" s="3" t="s">
        <v>2073</v>
      </c>
      <c r="K519" s="3" t="s">
        <v>2074</v>
      </c>
      <c r="L519" s="3" t="s">
        <v>19</v>
      </c>
      <c r="M519" s="3" t="s">
        <v>1969</v>
      </c>
      <c r="N519" s="2">
        <v>380</v>
      </c>
      <c r="O519" s="3" t="s">
        <v>271</v>
      </c>
      <c r="P519" s="3" t="s">
        <v>97</v>
      </c>
      <c r="Q519" s="2" t="s">
        <v>5914</v>
      </c>
      <c r="R519" s="3" t="s">
        <v>2075</v>
      </c>
    </row>
    <row r="520" spans="1:18" x14ac:dyDescent="0.25">
      <c r="A520" s="2">
        <v>34401</v>
      </c>
      <c r="B520" s="3" t="s">
        <v>2076</v>
      </c>
      <c r="C520" s="2" t="s">
        <v>4103</v>
      </c>
      <c r="D520" s="2" t="s">
        <v>19</v>
      </c>
      <c r="E520" s="3" t="s">
        <v>1718</v>
      </c>
      <c r="F520" s="3" t="s">
        <v>1961</v>
      </c>
      <c r="G520" s="2" t="s">
        <v>4984</v>
      </c>
      <c r="H520" s="2" t="s">
        <v>5015</v>
      </c>
      <c r="I520" s="3" t="s">
        <v>2072</v>
      </c>
      <c r="J520" s="3" t="s">
        <v>138</v>
      </c>
      <c r="K520" s="3" t="s">
        <v>2077</v>
      </c>
      <c r="L520" s="3" t="s">
        <v>19</v>
      </c>
      <c r="M520" s="3" t="s">
        <v>1969</v>
      </c>
      <c r="N520" s="2">
        <v>380</v>
      </c>
      <c r="O520" s="3" t="s">
        <v>271</v>
      </c>
      <c r="P520" s="3" t="s">
        <v>97</v>
      </c>
      <c r="Q520" s="2" t="s">
        <v>5915</v>
      </c>
      <c r="R520" s="3" t="s">
        <v>2078</v>
      </c>
    </row>
    <row r="521" spans="1:18" x14ac:dyDescent="0.25">
      <c r="A521" s="2">
        <v>11644</v>
      </c>
      <c r="B521" s="3" t="s">
        <v>2079</v>
      </c>
      <c r="C521" s="2" t="s">
        <v>4104</v>
      </c>
      <c r="D521" s="2" t="s">
        <v>19</v>
      </c>
      <c r="E521" s="3" t="s">
        <v>1718</v>
      </c>
      <c r="F521" s="3" t="s">
        <v>1961</v>
      </c>
      <c r="G521" s="2" t="s">
        <v>5000</v>
      </c>
      <c r="H521" s="2" t="s">
        <v>5016</v>
      </c>
      <c r="I521" s="3" t="s">
        <v>2080</v>
      </c>
      <c r="J521" s="3" t="s">
        <v>138</v>
      </c>
      <c r="K521" s="3" t="s">
        <v>2081</v>
      </c>
      <c r="L521" s="3" t="s">
        <v>19</v>
      </c>
      <c r="M521" s="3" t="s">
        <v>1969</v>
      </c>
      <c r="N521" s="2">
        <v>380</v>
      </c>
      <c r="O521" s="3" t="s">
        <v>96</v>
      </c>
      <c r="P521" s="3" t="s">
        <v>97</v>
      </c>
      <c r="Q521" s="2" t="s">
        <v>5916</v>
      </c>
      <c r="R521" s="3" t="s">
        <v>2082</v>
      </c>
    </row>
    <row r="522" spans="1:18" x14ac:dyDescent="0.25">
      <c r="A522" s="2">
        <v>25413</v>
      </c>
      <c r="B522" s="3" t="s">
        <v>2083</v>
      </c>
      <c r="C522" s="2" t="s">
        <v>4105</v>
      </c>
      <c r="D522" s="2" t="s">
        <v>19</v>
      </c>
      <c r="E522" s="3" t="s">
        <v>1718</v>
      </c>
      <c r="F522" s="3" t="s">
        <v>1961</v>
      </c>
      <c r="G522" s="2" t="s">
        <v>4944</v>
      </c>
      <c r="H522" s="2" t="s">
        <v>5017</v>
      </c>
      <c r="I522" s="3" t="s">
        <v>1962</v>
      </c>
      <c r="J522" s="3" t="s">
        <v>138</v>
      </c>
      <c r="K522" s="3" t="s">
        <v>2084</v>
      </c>
      <c r="L522" s="3" t="s">
        <v>19</v>
      </c>
      <c r="M522" s="3" t="s">
        <v>20</v>
      </c>
      <c r="N522" s="2">
        <v>380</v>
      </c>
      <c r="O522" s="3" t="s">
        <v>21</v>
      </c>
      <c r="P522" s="3" t="s">
        <v>22</v>
      </c>
      <c r="Q522" s="2" t="s">
        <v>5917</v>
      </c>
      <c r="R522" s="3" t="s">
        <v>2085</v>
      </c>
    </row>
    <row r="523" spans="1:18" x14ac:dyDescent="0.25">
      <c r="A523" s="2">
        <v>28876</v>
      </c>
      <c r="B523" s="3" t="s">
        <v>2086</v>
      </c>
      <c r="C523" s="2" t="s">
        <v>4106</v>
      </c>
      <c r="D523" s="2" t="s">
        <v>19</v>
      </c>
      <c r="E523" s="3" t="s">
        <v>1718</v>
      </c>
      <c r="F523" s="3" t="s">
        <v>1961</v>
      </c>
      <c r="G523" s="2" t="s">
        <v>5000</v>
      </c>
      <c r="H523" s="2" t="s">
        <v>5018</v>
      </c>
      <c r="I523" s="3" t="s">
        <v>2027</v>
      </c>
      <c r="J523" s="3" t="s">
        <v>2028</v>
      </c>
      <c r="K523" s="3" t="s">
        <v>2087</v>
      </c>
      <c r="L523" s="3" t="s">
        <v>19</v>
      </c>
      <c r="M523" s="3" t="s">
        <v>1969</v>
      </c>
      <c r="N523" s="2">
        <v>380</v>
      </c>
      <c r="O523" s="3" t="s">
        <v>271</v>
      </c>
      <c r="P523" s="3" t="s">
        <v>97</v>
      </c>
      <c r="Q523" s="2" t="s">
        <v>5918</v>
      </c>
      <c r="R523" s="3" t="s">
        <v>2088</v>
      </c>
    </row>
    <row r="524" spans="1:18" x14ac:dyDescent="0.25">
      <c r="A524" s="2">
        <v>19783</v>
      </c>
      <c r="B524" s="3" t="s">
        <v>2089</v>
      </c>
      <c r="C524" s="2" t="s">
        <v>4107</v>
      </c>
      <c r="D524" s="2" t="s">
        <v>19</v>
      </c>
      <c r="E524" s="3" t="s">
        <v>1718</v>
      </c>
      <c r="F524" s="3" t="s">
        <v>1961</v>
      </c>
      <c r="G524" s="2" t="s">
        <v>5019</v>
      </c>
      <c r="H524" s="2" t="s">
        <v>5020</v>
      </c>
      <c r="I524" s="3" t="s">
        <v>2090</v>
      </c>
      <c r="J524" s="3" t="s">
        <v>2091</v>
      </c>
      <c r="K524" s="3" t="s">
        <v>2092</v>
      </c>
      <c r="L524" s="3" t="s">
        <v>19</v>
      </c>
      <c r="M524" s="3" t="s">
        <v>1985</v>
      </c>
      <c r="N524" s="2">
        <v>380</v>
      </c>
      <c r="O524" s="3" t="s">
        <v>244</v>
      </c>
      <c r="P524" s="3" t="s">
        <v>1986</v>
      </c>
      <c r="Q524" s="2" t="s">
        <v>5919</v>
      </c>
      <c r="R524" s="3" t="s">
        <v>2093</v>
      </c>
    </row>
    <row r="525" spans="1:18" x14ac:dyDescent="0.25">
      <c r="A525" s="2">
        <v>30865</v>
      </c>
      <c r="B525" s="3" t="s">
        <v>2094</v>
      </c>
      <c r="C525" s="2" t="s">
        <v>4108</v>
      </c>
      <c r="D525" s="2" t="s">
        <v>19</v>
      </c>
      <c r="E525" s="3" t="s">
        <v>1718</v>
      </c>
      <c r="F525" s="3" t="s">
        <v>1961</v>
      </c>
      <c r="G525" s="2" t="s">
        <v>4992</v>
      </c>
      <c r="H525" s="2" t="s">
        <v>5021</v>
      </c>
      <c r="I525" s="3" t="s">
        <v>2095</v>
      </c>
      <c r="J525" s="3" t="s">
        <v>138</v>
      </c>
      <c r="K525" s="3" t="s">
        <v>2096</v>
      </c>
      <c r="L525" s="3" t="s">
        <v>19</v>
      </c>
      <c r="M525" s="3" t="s">
        <v>1969</v>
      </c>
      <c r="N525" s="2">
        <v>380</v>
      </c>
      <c r="O525" s="3" t="s">
        <v>271</v>
      </c>
      <c r="P525" s="3" t="s">
        <v>97</v>
      </c>
      <c r="Q525" s="2" t="s">
        <v>5920</v>
      </c>
      <c r="R525" s="3" t="s">
        <v>2097</v>
      </c>
    </row>
    <row r="526" spans="1:18" x14ac:dyDescent="0.25">
      <c r="A526" s="2">
        <v>24602</v>
      </c>
      <c r="B526" s="3" t="s">
        <v>2098</v>
      </c>
      <c r="C526" s="2" t="s">
        <v>4109</v>
      </c>
      <c r="D526" s="2" t="s">
        <v>19</v>
      </c>
      <c r="E526" s="3" t="s">
        <v>1718</v>
      </c>
      <c r="F526" s="3" t="s">
        <v>1961</v>
      </c>
      <c r="G526" s="2" t="s">
        <v>5019</v>
      </c>
      <c r="H526" s="2" t="s">
        <v>5022</v>
      </c>
      <c r="I526" s="3" t="s">
        <v>2090</v>
      </c>
      <c r="J526" s="3" t="s">
        <v>184</v>
      </c>
      <c r="K526" s="3" t="s">
        <v>2099</v>
      </c>
      <c r="L526" s="3" t="s">
        <v>19</v>
      </c>
      <c r="M526" s="3" t="s">
        <v>1985</v>
      </c>
      <c r="N526" s="2">
        <v>380</v>
      </c>
      <c r="O526" s="3" t="s">
        <v>244</v>
      </c>
      <c r="P526" s="3" t="s">
        <v>1986</v>
      </c>
      <c r="Q526" s="2" t="s">
        <v>5921</v>
      </c>
      <c r="R526" s="3" t="s">
        <v>2100</v>
      </c>
    </row>
    <row r="527" spans="1:18" x14ac:dyDescent="0.25">
      <c r="A527" s="2">
        <v>32631</v>
      </c>
      <c r="B527" s="3" t="s">
        <v>2101</v>
      </c>
      <c r="C527" s="2" t="s">
        <v>4110</v>
      </c>
      <c r="D527" s="2" t="s">
        <v>19</v>
      </c>
      <c r="E527" s="3" t="s">
        <v>1718</v>
      </c>
      <c r="F527" s="3" t="s">
        <v>1961</v>
      </c>
      <c r="G527" s="2" t="s">
        <v>4944</v>
      </c>
      <c r="H527" s="2" t="s">
        <v>5023</v>
      </c>
      <c r="I527" s="3" t="s">
        <v>1962</v>
      </c>
      <c r="J527" s="3" t="s">
        <v>1659</v>
      </c>
      <c r="K527" s="3" t="s">
        <v>2102</v>
      </c>
      <c r="L527" s="3" t="s">
        <v>19</v>
      </c>
      <c r="M527" s="3" t="s">
        <v>20</v>
      </c>
      <c r="N527" s="2">
        <v>380</v>
      </c>
      <c r="O527" s="3" t="s">
        <v>21</v>
      </c>
      <c r="P527" s="3" t="s">
        <v>22</v>
      </c>
      <c r="Q527" s="2" t="s">
        <v>5922</v>
      </c>
      <c r="R527" s="3" t="s">
        <v>2103</v>
      </c>
    </row>
    <row r="528" spans="1:18" x14ac:dyDescent="0.25">
      <c r="A528" s="2">
        <v>40848</v>
      </c>
      <c r="B528" s="3" t="s">
        <v>2104</v>
      </c>
      <c r="C528" s="2" t="s">
        <v>4111</v>
      </c>
      <c r="D528" s="2" t="s">
        <v>19</v>
      </c>
      <c r="E528" s="3" t="s">
        <v>1718</v>
      </c>
      <c r="F528" s="3" t="s">
        <v>1961</v>
      </c>
      <c r="G528" s="2" t="s">
        <v>4944</v>
      </c>
      <c r="H528" s="2" t="s">
        <v>5024</v>
      </c>
      <c r="I528" s="3" t="s">
        <v>1962</v>
      </c>
      <c r="J528" s="3" t="s">
        <v>2105</v>
      </c>
      <c r="K528" s="3" t="s">
        <v>2106</v>
      </c>
      <c r="L528" s="3" t="s">
        <v>19</v>
      </c>
      <c r="M528" s="3" t="s">
        <v>20</v>
      </c>
      <c r="N528" s="2">
        <v>380</v>
      </c>
      <c r="O528" s="3" t="s">
        <v>21</v>
      </c>
      <c r="P528" s="3" t="s">
        <v>22</v>
      </c>
      <c r="Q528" s="2" t="s">
        <v>5923</v>
      </c>
      <c r="R528" s="3" t="s">
        <v>2107</v>
      </c>
    </row>
    <row r="529" spans="1:18" x14ac:dyDescent="0.25">
      <c r="A529" s="2">
        <v>25411</v>
      </c>
      <c r="B529" s="3" t="s">
        <v>2108</v>
      </c>
      <c r="C529" s="2" t="s">
        <v>4112</v>
      </c>
      <c r="D529" s="2" t="s">
        <v>19</v>
      </c>
      <c r="E529" s="3" t="s">
        <v>1718</v>
      </c>
      <c r="F529" s="3" t="s">
        <v>1961</v>
      </c>
      <c r="G529" s="2" t="s">
        <v>4944</v>
      </c>
      <c r="H529" s="2" t="s">
        <v>5025</v>
      </c>
      <c r="I529" s="3" t="s">
        <v>1962</v>
      </c>
      <c r="J529" s="3" t="s">
        <v>138</v>
      </c>
      <c r="K529" s="3" t="s">
        <v>2109</v>
      </c>
      <c r="L529" s="3" t="s">
        <v>19</v>
      </c>
      <c r="M529" s="3" t="s">
        <v>20</v>
      </c>
      <c r="N529" s="2">
        <v>380</v>
      </c>
      <c r="O529" s="3" t="s">
        <v>21</v>
      </c>
      <c r="P529" s="3" t="s">
        <v>22</v>
      </c>
      <c r="Q529" s="2" t="s">
        <v>5924</v>
      </c>
      <c r="R529" s="3" t="s">
        <v>2110</v>
      </c>
    </row>
    <row r="530" spans="1:18" x14ac:dyDescent="0.25">
      <c r="A530" s="2">
        <v>8589</v>
      </c>
      <c r="B530" s="3" t="s">
        <v>2111</v>
      </c>
      <c r="C530" s="2" t="s">
        <v>4113</v>
      </c>
      <c r="D530" s="2" t="s">
        <v>19</v>
      </c>
      <c r="E530" s="3" t="s">
        <v>1718</v>
      </c>
      <c r="F530" s="3" t="s">
        <v>1961</v>
      </c>
      <c r="G530" s="2" t="s">
        <v>5019</v>
      </c>
      <c r="H530" s="2" t="s">
        <v>5026</v>
      </c>
      <c r="I530" s="3" t="s">
        <v>2112</v>
      </c>
      <c r="J530" s="3" t="s">
        <v>138</v>
      </c>
      <c r="K530" s="3" t="s">
        <v>2113</v>
      </c>
      <c r="L530" s="3" t="s">
        <v>19</v>
      </c>
      <c r="M530" s="3" t="s">
        <v>1969</v>
      </c>
      <c r="N530" s="2">
        <v>380</v>
      </c>
      <c r="O530" s="3" t="s">
        <v>271</v>
      </c>
      <c r="P530" s="3" t="s">
        <v>97</v>
      </c>
      <c r="Q530" s="2" t="s">
        <v>5925</v>
      </c>
      <c r="R530" s="3" t="s">
        <v>2114</v>
      </c>
    </row>
    <row r="531" spans="1:18" x14ac:dyDescent="0.25">
      <c r="A531" s="2">
        <v>13977</v>
      </c>
      <c r="B531" s="3" t="s">
        <v>2115</v>
      </c>
      <c r="C531" s="2" t="s">
        <v>4114</v>
      </c>
      <c r="D531" s="2" t="s">
        <v>19</v>
      </c>
      <c r="E531" s="3" t="s">
        <v>1718</v>
      </c>
      <c r="F531" s="3" t="s">
        <v>1961</v>
      </c>
      <c r="G531" s="2" t="s">
        <v>4984</v>
      </c>
      <c r="H531" s="2" t="s">
        <v>5027</v>
      </c>
      <c r="I531" s="3" t="s">
        <v>2116</v>
      </c>
      <c r="J531" s="3" t="s">
        <v>138</v>
      </c>
      <c r="K531" s="3" t="s">
        <v>2117</v>
      </c>
      <c r="L531" s="3" t="s">
        <v>19</v>
      </c>
      <c r="M531" s="3" t="s">
        <v>1969</v>
      </c>
      <c r="N531" s="2">
        <v>380</v>
      </c>
      <c r="O531" s="3" t="s">
        <v>271</v>
      </c>
      <c r="P531" s="3" t="s">
        <v>97</v>
      </c>
      <c r="Q531" s="2" t="s">
        <v>5926</v>
      </c>
      <c r="R531" s="3" t="s">
        <v>2118</v>
      </c>
    </row>
    <row r="532" spans="1:18" x14ac:dyDescent="0.25">
      <c r="A532" s="2">
        <v>9259</v>
      </c>
      <c r="B532" s="3" t="s">
        <v>2119</v>
      </c>
      <c r="C532" s="2" t="s">
        <v>4115</v>
      </c>
      <c r="D532" s="2" t="s">
        <v>19</v>
      </c>
      <c r="E532" s="3" t="s">
        <v>1718</v>
      </c>
      <c r="F532" s="3" t="s">
        <v>1961</v>
      </c>
      <c r="G532" s="2" t="s">
        <v>4984</v>
      </c>
      <c r="H532" s="2" t="s">
        <v>5028</v>
      </c>
      <c r="I532" s="3" t="s">
        <v>1967</v>
      </c>
      <c r="J532" s="3" t="s">
        <v>138</v>
      </c>
      <c r="K532" s="3" t="s">
        <v>1980</v>
      </c>
      <c r="L532" s="3" t="s">
        <v>19</v>
      </c>
      <c r="M532" s="3" t="s">
        <v>1969</v>
      </c>
      <c r="N532" s="2">
        <v>380</v>
      </c>
      <c r="O532" s="3" t="s">
        <v>244</v>
      </c>
      <c r="P532" s="3" t="s">
        <v>97</v>
      </c>
      <c r="Q532" s="2" t="s">
        <v>5927</v>
      </c>
      <c r="R532" s="3" t="s">
        <v>2120</v>
      </c>
    </row>
    <row r="533" spans="1:18" x14ac:dyDescent="0.25">
      <c r="A533" s="2">
        <v>30444</v>
      </c>
      <c r="B533" s="3" t="s">
        <v>2121</v>
      </c>
      <c r="C533" s="2" t="s">
        <v>4116</v>
      </c>
      <c r="D533" s="2" t="s">
        <v>19</v>
      </c>
      <c r="E533" s="3" t="s">
        <v>1718</v>
      </c>
      <c r="F533" s="3" t="s">
        <v>1961</v>
      </c>
      <c r="G533" s="2" t="s">
        <v>5005</v>
      </c>
      <c r="H533" s="2" t="s">
        <v>5029</v>
      </c>
      <c r="I533" s="3" t="s">
        <v>1962</v>
      </c>
      <c r="J533" s="3" t="s">
        <v>138</v>
      </c>
      <c r="K533" s="3" t="s">
        <v>2122</v>
      </c>
      <c r="L533" s="3" t="s">
        <v>19</v>
      </c>
      <c r="M533" s="3" t="s">
        <v>20</v>
      </c>
      <c r="N533" s="2">
        <v>380</v>
      </c>
      <c r="O533" s="3" t="s">
        <v>21</v>
      </c>
      <c r="P533" s="3" t="s">
        <v>22</v>
      </c>
      <c r="Q533" s="2" t="s">
        <v>5928</v>
      </c>
      <c r="R533" s="3" t="s">
        <v>2123</v>
      </c>
    </row>
    <row r="534" spans="1:18" x14ac:dyDescent="0.25">
      <c r="A534" s="2">
        <v>7177</v>
      </c>
      <c r="B534" s="3" t="s">
        <v>2124</v>
      </c>
      <c r="C534" s="2" t="s">
        <v>4117</v>
      </c>
      <c r="D534" s="2" t="s">
        <v>19</v>
      </c>
      <c r="E534" s="3" t="s">
        <v>1718</v>
      </c>
      <c r="F534" s="3" t="s">
        <v>1961</v>
      </c>
      <c r="G534" s="2" t="s">
        <v>5000</v>
      </c>
      <c r="H534" s="2" t="s">
        <v>5030</v>
      </c>
      <c r="I534" s="3" t="s">
        <v>2027</v>
      </c>
      <c r="J534" s="3" t="s">
        <v>2125</v>
      </c>
      <c r="K534" s="3" t="s">
        <v>2126</v>
      </c>
      <c r="L534" s="3" t="s">
        <v>19</v>
      </c>
      <c r="M534" s="3" t="s">
        <v>1969</v>
      </c>
      <c r="N534" s="2">
        <v>380</v>
      </c>
      <c r="O534" s="3" t="s">
        <v>271</v>
      </c>
      <c r="P534" s="3" t="s">
        <v>97</v>
      </c>
      <c r="Q534" s="2" t="s">
        <v>5929</v>
      </c>
      <c r="R534" s="3" t="s">
        <v>2127</v>
      </c>
    </row>
    <row r="535" spans="1:18" x14ac:dyDescent="0.25">
      <c r="A535" s="2">
        <v>24062</v>
      </c>
      <c r="B535" s="3" t="s">
        <v>2128</v>
      </c>
      <c r="C535" s="2" t="s">
        <v>4118</v>
      </c>
      <c r="D535" s="2" t="s">
        <v>19</v>
      </c>
      <c r="E535" s="3" t="s">
        <v>1718</v>
      </c>
      <c r="F535" s="3" t="s">
        <v>1961</v>
      </c>
      <c r="G535" s="2" t="s">
        <v>5019</v>
      </c>
      <c r="H535" s="2" t="s">
        <v>5031</v>
      </c>
      <c r="I535" s="3" t="s">
        <v>2090</v>
      </c>
      <c r="J535" s="3" t="s">
        <v>2129</v>
      </c>
      <c r="K535" s="3" t="s">
        <v>2130</v>
      </c>
      <c r="L535" s="3" t="s">
        <v>19</v>
      </c>
      <c r="M535" s="3" t="s">
        <v>1985</v>
      </c>
      <c r="N535" s="2">
        <v>380</v>
      </c>
      <c r="O535" s="3" t="s">
        <v>244</v>
      </c>
      <c r="P535" s="3" t="s">
        <v>1986</v>
      </c>
      <c r="Q535" s="2" t="s">
        <v>5930</v>
      </c>
      <c r="R535" s="3" t="s">
        <v>2131</v>
      </c>
    </row>
    <row r="536" spans="1:18" x14ac:dyDescent="0.25">
      <c r="A536" s="2">
        <v>8399</v>
      </c>
      <c r="B536" s="3" t="s">
        <v>2132</v>
      </c>
      <c r="C536" s="2" t="s">
        <v>4119</v>
      </c>
      <c r="D536" s="2" t="s">
        <v>19</v>
      </c>
      <c r="E536" s="3" t="s">
        <v>1718</v>
      </c>
      <c r="F536" s="3" t="s">
        <v>1961</v>
      </c>
      <c r="G536" s="2" t="s">
        <v>5019</v>
      </c>
      <c r="H536" s="2" t="s">
        <v>5032</v>
      </c>
      <c r="I536" s="3" t="s">
        <v>2133</v>
      </c>
      <c r="J536" s="3" t="s">
        <v>138</v>
      </c>
      <c r="K536" s="3" t="s">
        <v>2134</v>
      </c>
      <c r="L536" s="3" t="s">
        <v>19</v>
      </c>
      <c r="M536" s="3" t="s">
        <v>1969</v>
      </c>
      <c r="N536" s="2">
        <v>380</v>
      </c>
      <c r="O536" s="3" t="s">
        <v>96</v>
      </c>
      <c r="P536" s="3" t="s">
        <v>97</v>
      </c>
      <c r="Q536" s="2" t="s">
        <v>5931</v>
      </c>
      <c r="R536" s="3" t="s">
        <v>2135</v>
      </c>
    </row>
    <row r="537" spans="1:18" x14ac:dyDescent="0.25">
      <c r="A537" s="2">
        <v>26719</v>
      </c>
      <c r="B537" s="3" t="s">
        <v>2136</v>
      </c>
      <c r="C537" s="2" t="s">
        <v>4120</v>
      </c>
      <c r="D537" s="2" t="s">
        <v>19</v>
      </c>
      <c r="E537" s="3" t="s">
        <v>1718</v>
      </c>
      <c r="F537" s="3" t="s">
        <v>1961</v>
      </c>
      <c r="G537" s="2" t="s">
        <v>4944</v>
      </c>
      <c r="H537" s="2" t="s">
        <v>5033</v>
      </c>
      <c r="I537" s="3" t="s">
        <v>1962</v>
      </c>
      <c r="J537" s="3" t="s">
        <v>2137</v>
      </c>
      <c r="K537" s="3" t="s">
        <v>2138</v>
      </c>
      <c r="L537" s="3" t="s">
        <v>19</v>
      </c>
      <c r="M537" s="3" t="s">
        <v>20</v>
      </c>
      <c r="N537" s="2">
        <v>380</v>
      </c>
      <c r="O537" s="3" t="s">
        <v>21</v>
      </c>
      <c r="P537" s="3" t="s">
        <v>22</v>
      </c>
      <c r="Q537" s="2" t="s">
        <v>5932</v>
      </c>
      <c r="R537" s="3" t="s">
        <v>2139</v>
      </c>
    </row>
    <row r="538" spans="1:18" x14ac:dyDescent="0.25">
      <c r="A538" s="2">
        <v>27334</v>
      </c>
      <c r="B538" s="3" t="s">
        <v>2140</v>
      </c>
      <c r="C538" s="2" t="s">
        <v>4121</v>
      </c>
      <c r="D538" s="2" t="s">
        <v>19</v>
      </c>
      <c r="E538" s="3" t="s">
        <v>1718</v>
      </c>
      <c r="F538" s="3" t="s">
        <v>1961</v>
      </c>
      <c r="G538" s="2" t="s">
        <v>4992</v>
      </c>
      <c r="H538" s="2" t="s">
        <v>5034</v>
      </c>
      <c r="I538" s="3" t="s">
        <v>2141</v>
      </c>
      <c r="J538" s="3" t="s">
        <v>2142</v>
      </c>
      <c r="K538" s="3" t="s">
        <v>2143</v>
      </c>
      <c r="L538" s="3" t="s">
        <v>19</v>
      </c>
      <c r="M538" s="3" t="s">
        <v>1969</v>
      </c>
      <c r="N538" s="2">
        <v>380</v>
      </c>
      <c r="O538" s="3" t="s">
        <v>271</v>
      </c>
      <c r="P538" s="3" t="s">
        <v>97</v>
      </c>
      <c r="Q538" s="2" t="s">
        <v>5933</v>
      </c>
      <c r="R538" s="3" t="s">
        <v>2144</v>
      </c>
    </row>
    <row r="539" spans="1:18" x14ac:dyDescent="0.25">
      <c r="A539" s="2">
        <v>15947</v>
      </c>
      <c r="B539" s="3" t="s">
        <v>2145</v>
      </c>
      <c r="C539" s="2" t="s">
        <v>4122</v>
      </c>
      <c r="D539" s="2" t="s">
        <v>19</v>
      </c>
      <c r="E539" s="3" t="s">
        <v>1718</v>
      </c>
      <c r="F539" s="3" t="s">
        <v>1961</v>
      </c>
      <c r="G539" s="2" t="s">
        <v>4992</v>
      </c>
      <c r="H539" s="2" t="s">
        <v>5035</v>
      </c>
      <c r="I539" s="3" t="s">
        <v>2095</v>
      </c>
      <c r="J539" s="3" t="s">
        <v>2146</v>
      </c>
      <c r="K539" s="3" t="s">
        <v>2147</v>
      </c>
      <c r="L539" s="3" t="s">
        <v>19</v>
      </c>
      <c r="M539" s="3" t="s">
        <v>1969</v>
      </c>
      <c r="N539" s="2">
        <v>380</v>
      </c>
      <c r="O539" s="3" t="s">
        <v>271</v>
      </c>
      <c r="P539" s="3" t="s">
        <v>97</v>
      </c>
      <c r="Q539" s="2" t="s">
        <v>5934</v>
      </c>
      <c r="R539" s="3" t="s">
        <v>2148</v>
      </c>
    </row>
    <row r="540" spans="1:18" x14ac:dyDescent="0.25">
      <c r="A540" s="2">
        <v>12533</v>
      </c>
      <c r="B540" s="3" t="s">
        <v>2149</v>
      </c>
      <c r="C540" s="2" t="s">
        <v>4123</v>
      </c>
      <c r="D540" s="2" t="s">
        <v>19</v>
      </c>
      <c r="E540" s="3" t="s">
        <v>1718</v>
      </c>
      <c r="F540" s="3" t="s">
        <v>1961</v>
      </c>
      <c r="G540" s="2" t="s">
        <v>4984</v>
      </c>
      <c r="H540" s="2" t="s">
        <v>5036</v>
      </c>
      <c r="I540" s="3" t="s">
        <v>2150</v>
      </c>
      <c r="J540" s="3" t="s">
        <v>138</v>
      </c>
      <c r="K540" s="3" t="s">
        <v>2151</v>
      </c>
      <c r="L540" s="3" t="s">
        <v>19</v>
      </c>
      <c r="M540" s="3" t="s">
        <v>1969</v>
      </c>
      <c r="N540" s="2">
        <v>380</v>
      </c>
      <c r="O540" s="3" t="s">
        <v>271</v>
      </c>
      <c r="P540" s="3" t="s">
        <v>97</v>
      </c>
      <c r="Q540" s="2" t="s">
        <v>5935</v>
      </c>
      <c r="R540" s="3" t="s">
        <v>2152</v>
      </c>
    </row>
    <row r="541" spans="1:18" x14ac:dyDescent="0.25">
      <c r="A541" s="2">
        <v>36044</v>
      </c>
      <c r="B541" s="3" t="s">
        <v>2153</v>
      </c>
      <c r="C541" s="2" t="s">
        <v>4124</v>
      </c>
      <c r="D541" s="2" t="s">
        <v>19</v>
      </c>
      <c r="E541" s="3" t="s">
        <v>1718</v>
      </c>
      <c r="F541" s="3" t="s">
        <v>1961</v>
      </c>
      <c r="G541" s="2" t="s">
        <v>4992</v>
      </c>
      <c r="H541" s="2" t="s">
        <v>5037</v>
      </c>
      <c r="I541" s="3" t="s">
        <v>2154</v>
      </c>
      <c r="J541" s="3" t="s">
        <v>2155</v>
      </c>
      <c r="K541" s="3" t="s">
        <v>2156</v>
      </c>
      <c r="L541" s="3" t="s">
        <v>19</v>
      </c>
      <c r="M541" s="3" t="s">
        <v>1969</v>
      </c>
      <c r="N541" s="2">
        <v>380</v>
      </c>
      <c r="O541" s="3" t="s">
        <v>271</v>
      </c>
      <c r="P541" s="3" t="s">
        <v>97</v>
      </c>
      <c r="Q541" s="2" t="s">
        <v>5936</v>
      </c>
      <c r="R541" s="3" t="s">
        <v>2157</v>
      </c>
    </row>
    <row r="542" spans="1:18" x14ac:dyDescent="0.25">
      <c r="A542" s="2">
        <v>7466</v>
      </c>
      <c r="B542" s="3" t="s">
        <v>2158</v>
      </c>
      <c r="C542" s="2" t="s">
        <v>4125</v>
      </c>
      <c r="D542" s="2" t="s">
        <v>19</v>
      </c>
      <c r="E542" s="3" t="s">
        <v>1718</v>
      </c>
      <c r="F542" s="3" t="s">
        <v>1961</v>
      </c>
      <c r="G542" s="2" t="s">
        <v>4984</v>
      </c>
      <c r="H542" s="2" t="s">
        <v>5038</v>
      </c>
      <c r="I542" s="3" t="s">
        <v>2150</v>
      </c>
      <c r="J542" s="3" t="s">
        <v>138</v>
      </c>
      <c r="K542" s="3" t="s">
        <v>2159</v>
      </c>
      <c r="L542" s="3" t="s">
        <v>19</v>
      </c>
      <c r="M542" s="3" t="s">
        <v>1969</v>
      </c>
      <c r="N542" s="2">
        <v>380</v>
      </c>
      <c r="O542" s="3" t="s">
        <v>271</v>
      </c>
      <c r="P542" s="3" t="s">
        <v>97</v>
      </c>
      <c r="Q542" s="2" t="s">
        <v>5937</v>
      </c>
      <c r="R542" s="3" t="s">
        <v>2160</v>
      </c>
    </row>
    <row r="543" spans="1:18" x14ac:dyDescent="0.25">
      <c r="A543" s="2">
        <v>21683</v>
      </c>
      <c r="B543" s="3" t="s">
        <v>2161</v>
      </c>
      <c r="C543" s="2" t="s">
        <v>4126</v>
      </c>
      <c r="D543" s="2" t="s">
        <v>19</v>
      </c>
      <c r="E543" s="3" t="s">
        <v>1718</v>
      </c>
      <c r="F543" s="3" t="s">
        <v>1961</v>
      </c>
      <c r="G543" s="2" t="s">
        <v>4944</v>
      </c>
      <c r="H543" s="2" t="s">
        <v>5039</v>
      </c>
      <c r="I543" s="3" t="s">
        <v>1962</v>
      </c>
      <c r="J543" s="3" t="s">
        <v>2162</v>
      </c>
      <c r="K543" s="3" t="s">
        <v>2163</v>
      </c>
      <c r="L543" s="3" t="s">
        <v>19</v>
      </c>
      <c r="M543" s="3" t="s">
        <v>20</v>
      </c>
      <c r="N543" s="2">
        <v>380</v>
      </c>
      <c r="O543" s="3" t="s">
        <v>21</v>
      </c>
      <c r="P543" s="3" t="s">
        <v>22</v>
      </c>
      <c r="Q543" s="2" t="s">
        <v>5938</v>
      </c>
      <c r="R543" s="3" t="s">
        <v>2164</v>
      </c>
    </row>
    <row r="544" spans="1:18" x14ac:dyDescent="0.25">
      <c r="A544" s="2">
        <v>26269</v>
      </c>
      <c r="B544" s="3" t="s">
        <v>2165</v>
      </c>
      <c r="C544" s="2" t="s">
        <v>4127</v>
      </c>
      <c r="D544" s="2" t="s">
        <v>19</v>
      </c>
      <c r="E544" s="3" t="s">
        <v>1718</v>
      </c>
      <c r="F544" s="3" t="s">
        <v>1961</v>
      </c>
      <c r="G544" s="2" t="s">
        <v>5005</v>
      </c>
      <c r="H544" s="2" t="s">
        <v>5040</v>
      </c>
      <c r="I544" s="3" t="s">
        <v>2166</v>
      </c>
      <c r="J544" s="3" t="s">
        <v>2167</v>
      </c>
      <c r="K544" s="3" t="s">
        <v>2168</v>
      </c>
      <c r="L544" s="3" t="s">
        <v>19</v>
      </c>
      <c r="M544" s="3" t="s">
        <v>1985</v>
      </c>
      <c r="N544" s="2">
        <v>380</v>
      </c>
      <c r="O544" s="3" t="s">
        <v>21</v>
      </c>
      <c r="P544" s="3" t="s">
        <v>1986</v>
      </c>
      <c r="Q544" s="2" t="s">
        <v>5939</v>
      </c>
      <c r="R544" s="3" t="s">
        <v>2169</v>
      </c>
    </row>
    <row r="545" spans="1:18" x14ac:dyDescent="0.25">
      <c r="A545" s="2">
        <v>19442</v>
      </c>
      <c r="B545" s="3" t="s">
        <v>2170</v>
      </c>
      <c r="C545" s="2" t="s">
        <v>4128</v>
      </c>
      <c r="D545" s="2" t="s">
        <v>19</v>
      </c>
      <c r="E545" s="3" t="s">
        <v>1718</v>
      </c>
      <c r="F545" s="3" t="s">
        <v>1961</v>
      </c>
      <c r="G545" s="2" t="s">
        <v>5000</v>
      </c>
      <c r="H545" s="2" t="s">
        <v>5041</v>
      </c>
      <c r="I545" s="3" t="s">
        <v>2171</v>
      </c>
      <c r="J545" s="3" t="s">
        <v>2172</v>
      </c>
      <c r="K545" s="3" t="s">
        <v>2173</v>
      </c>
      <c r="L545" s="3" t="s">
        <v>19</v>
      </c>
      <c r="M545" s="3" t="s">
        <v>1969</v>
      </c>
      <c r="N545" s="2">
        <v>380</v>
      </c>
      <c r="O545" s="3" t="s">
        <v>244</v>
      </c>
      <c r="P545" s="3" t="s">
        <v>97</v>
      </c>
      <c r="Q545" s="2" t="s">
        <v>5940</v>
      </c>
      <c r="R545" s="3" t="s">
        <v>2174</v>
      </c>
    </row>
    <row r="546" spans="1:18" x14ac:dyDescent="0.25">
      <c r="A546" s="2">
        <v>4403</v>
      </c>
      <c r="B546" s="3" t="s">
        <v>2175</v>
      </c>
      <c r="C546" s="2" t="s">
        <v>4129</v>
      </c>
      <c r="D546" s="2" t="s">
        <v>19</v>
      </c>
      <c r="E546" s="3" t="s">
        <v>1718</v>
      </c>
      <c r="F546" s="3" t="s">
        <v>1961</v>
      </c>
      <c r="G546" s="2" t="s">
        <v>4992</v>
      </c>
      <c r="H546" s="2" t="s">
        <v>5042</v>
      </c>
      <c r="I546" s="3" t="s">
        <v>2176</v>
      </c>
      <c r="J546" s="3" t="s">
        <v>138</v>
      </c>
      <c r="K546" s="3" t="s">
        <v>2177</v>
      </c>
      <c r="L546" s="3" t="s">
        <v>19</v>
      </c>
      <c r="M546" s="3" t="s">
        <v>1969</v>
      </c>
      <c r="N546" s="2">
        <v>380</v>
      </c>
      <c r="O546" s="3" t="s">
        <v>271</v>
      </c>
      <c r="P546" s="3" t="s">
        <v>97</v>
      </c>
      <c r="Q546" s="2" t="s">
        <v>5941</v>
      </c>
      <c r="R546" s="3" t="s">
        <v>2178</v>
      </c>
    </row>
    <row r="547" spans="1:18" x14ac:dyDescent="0.25">
      <c r="A547" s="2">
        <v>8324</v>
      </c>
      <c r="B547" s="3" t="s">
        <v>2179</v>
      </c>
      <c r="C547" s="2" t="s">
        <v>4130</v>
      </c>
      <c r="D547" s="2" t="s">
        <v>19</v>
      </c>
      <c r="E547" s="3" t="s">
        <v>1718</v>
      </c>
      <c r="F547" s="3" t="s">
        <v>1961</v>
      </c>
      <c r="G547" s="2" t="s">
        <v>5019</v>
      </c>
      <c r="H547" s="2" t="s">
        <v>5043</v>
      </c>
      <c r="I547" s="3" t="s">
        <v>2180</v>
      </c>
      <c r="J547" s="3" t="s">
        <v>138</v>
      </c>
      <c r="K547" s="3" t="s">
        <v>2181</v>
      </c>
      <c r="L547" s="3" t="s">
        <v>19</v>
      </c>
      <c r="M547" s="3" t="s">
        <v>1969</v>
      </c>
      <c r="N547" s="2">
        <v>380</v>
      </c>
      <c r="O547" s="3" t="s">
        <v>244</v>
      </c>
      <c r="P547" s="3" t="s">
        <v>97</v>
      </c>
      <c r="Q547" s="2" t="s">
        <v>5942</v>
      </c>
      <c r="R547" s="3" t="s">
        <v>2182</v>
      </c>
    </row>
    <row r="548" spans="1:18" x14ac:dyDescent="0.25">
      <c r="A548" s="2">
        <v>3947</v>
      </c>
      <c r="B548" s="3" t="s">
        <v>2183</v>
      </c>
      <c r="C548" s="2" t="s">
        <v>4131</v>
      </c>
      <c r="D548" s="2" t="s">
        <v>19</v>
      </c>
      <c r="E548" s="3" t="s">
        <v>1718</v>
      </c>
      <c r="F548" s="3" t="s">
        <v>1961</v>
      </c>
      <c r="G548" s="2" t="s">
        <v>4984</v>
      </c>
      <c r="H548" s="2" t="s">
        <v>5044</v>
      </c>
      <c r="I548" s="3" t="s">
        <v>2184</v>
      </c>
      <c r="J548" s="3" t="s">
        <v>138</v>
      </c>
      <c r="K548" s="3" t="s">
        <v>2185</v>
      </c>
      <c r="L548" s="3" t="s">
        <v>19</v>
      </c>
      <c r="M548" s="3" t="s">
        <v>1969</v>
      </c>
      <c r="N548" s="2">
        <v>380</v>
      </c>
      <c r="O548" s="3" t="s">
        <v>96</v>
      </c>
      <c r="P548" s="3" t="s">
        <v>97</v>
      </c>
      <c r="Q548" s="2" t="s">
        <v>5943</v>
      </c>
      <c r="R548" s="3" t="s">
        <v>2186</v>
      </c>
    </row>
    <row r="549" spans="1:18" x14ac:dyDescent="0.25">
      <c r="A549" s="2">
        <v>37432</v>
      </c>
      <c r="B549" s="3" t="s">
        <v>2187</v>
      </c>
      <c r="C549" s="2" t="s">
        <v>4132</v>
      </c>
      <c r="D549" s="2" t="s">
        <v>19</v>
      </c>
      <c r="E549" s="3" t="s">
        <v>1718</v>
      </c>
      <c r="F549" s="3" t="s">
        <v>1961</v>
      </c>
      <c r="G549" s="2" t="s">
        <v>5000</v>
      </c>
      <c r="H549" s="2" t="s">
        <v>5045</v>
      </c>
      <c r="I549" s="3" t="s">
        <v>2027</v>
      </c>
      <c r="J549" s="3" t="s">
        <v>2028</v>
      </c>
      <c r="K549" s="3" t="s">
        <v>2029</v>
      </c>
      <c r="L549" s="3" t="s">
        <v>19</v>
      </c>
      <c r="M549" s="3" t="s">
        <v>1969</v>
      </c>
      <c r="N549" s="2">
        <v>380</v>
      </c>
      <c r="O549" s="3" t="s">
        <v>271</v>
      </c>
      <c r="P549" s="3" t="s">
        <v>97</v>
      </c>
      <c r="Q549" s="2" t="s">
        <v>5944</v>
      </c>
      <c r="R549" s="3" t="s">
        <v>2188</v>
      </c>
    </row>
    <row r="550" spans="1:18" x14ac:dyDescent="0.25">
      <c r="A550" s="2">
        <v>14959</v>
      </c>
      <c r="B550" s="3" t="s">
        <v>2189</v>
      </c>
      <c r="C550" s="2" t="s">
        <v>4133</v>
      </c>
      <c r="D550" s="2" t="s">
        <v>19</v>
      </c>
      <c r="E550" s="3" t="s">
        <v>1718</v>
      </c>
      <c r="F550" s="3" t="s">
        <v>1961</v>
      </c>
      <c r="G550" s="2" t="s">
        <v>5019</v>
      </c>
      <c r="H550" s="2" t="s">
        <v>5046</v>
      </c>
      <c r="I550" s="3" t="s">
        <v>2090</v>
      </c>
      <c r="J550" s="3" t="s">
        <v>2190</v>
      </c>
      <c r="K550" s="3" t="s">
        <v>2191</v>
      </c>
      <c r="L550" s="3" t="s">
        <v>19</v>
      </c>
      <c r="M550" s="3" t="s">
        <v>1985</v>
      </c>
      <c r="N550" s="2">
        <v>380</v>
      </c>
      <c r="O550" s="3" t="s">
        <v>244</v>
      </c>
      <c r="P550" s="3" t="s">
        <v>1986</v>
      </c>
      <c r="Q550" s="2" t="s">
        <v>5945</v>
      </c>
      <c r="R550" s="3" t="s">
        <v>2192</v>
      </c>
    </row>
    <row r="551" spans="1:18" x14ac:dyDescent="0.25">
      <c r="A551" s="2">
        <v>14347</v>
      </c>
      <c r="B551" s="3" t="s">
        <v>2193</v>
      </c>
      <c r="C551" s="2" t="s">
        <v>4134</v>
      </c>
      <c r="D551" s="2" t="s">
        <v>19</v>
      </c>
      <c r="E551" s="3" t="s">
        <v>1718</v>
      </c>
      <c r="F551" s="3" t="s">
        <v>1961</v>
      </c>
      <c r="G551" s="2" t="s">
        <v>5000</v>
      </c>
      <c r="H551" s="2" t="s">
        <v>5047</v>
      </c>
      <c r="I551" s="3" t="s">
        <v>2194</v>
      </c>
      <c r="J551" s="3" t="s">
        <v>138</v>
      </c>
      <c r="K551" s="3" t="s">
        <v>2195</v>
      </c>
      <c r="L551" s="3" t="s">
        <v>19</v>
      </c>
      <c r="M551" s="3" t="s">
        <v>1969</v>
      </c>
      <c r="N551" s="2">
        <v>380</v>
      </c>
      <c r="O551" s="3" t="s">
        <v>271</v>
      </c>
      <c r="P551" s="3" t="s">
        <v>97</v>
      </c>
      <c r="Q551" s="2" t="s">
        <v>5946</v>
      </c>
      <c r="R551" s="3" t="s">
        <v>2196</v>
      </c>
    </row>
    <row r="552" spans="1:18" x14ac:dyDescent="0.25">
      <c r="A552" s="2">
        <v>23711</v>
      </c>
      <c r="B552" s="3" t="s">
        <v>2197</v>
      </c>
      <c r="C552" s="2" t="s">
        <v>4135</v>
      </c>
      <c r="D552" s="2" t="s">
        <v>19</v>
      </c>
      <c r="E552" s="3" t="s">
        <v>1718</v>
      </c>
      <c r="F552" s="3" t="s">
        <v>1961</v>
      </c>
      <c r="G552" s="2" t="s">
        <v>4992</v>
      </c>
      <c r="H552" s="2" t="s">
        <v>5048</v>
      </c>
      <c r="I552" s="3" t="s">
        <v>2154</v>
      </c>
      <c r="J552" s="3" t="s">
        <v>138</v>
      </c>
      <c r="K552" s="3" t="s">
        <v>2198</v>
      </c>
      <c r="L552" s="3" t="s">
        <v>19</v>
      </c>
      <c r="M552" s="3" t="s">
        <v>1969</v>
      </c>
      <c r="N552" s="2">
        <v>380</v>
      </c>
      <c r="O552" s="3" t="s">
        <v>271</v>
      </c>
      <c r="P552" s="3" t="s">
        <v>97</v>
      </c>
      <c r="Q552" s="2" t="s">
        <v>5947</v>
      </c>
      <c r="R552" s="3" t="s">
        <v>2199</v>
      </c>
    </row>
    <row r="553" spans="1:18" x14ac:dyDescent="0.25">
      <c r="A553" s="2">
        <v>41168</v>
      </c>
      <c r="B553" s="3" t="s">
        <v>2200</v>
      </c>
      <c r="C553" s="2" t="s">
        <v>4136</v>
      </c>
      <c r="D553" s="2" t="s">
        <v>19</v>
      </c>
      <c r="E553" s="3" t="s">
        <v>1718</v>
      </c>
      <c r="F553" s="3" t="s">
        <v>1961</v>
      </c>
      <c r="G553" s="2" t="s">
        <v>4984</v>
      </c>
      <c r="H553" s="2" t="s">
        <v>5049</v>
      </c>
      <c r="I553" s="3" t="s">
        <v>1983</v>
      </c>
      <c r="J553" s="3" t="s">
        <v>138</v>
      </c>
      <c r="K553" s="3" t="s">
        <v>2201</v>
      </c>
      <c r="L553" s="3" t="s">
        <v>19</v>
      </c>
      <c r="M553" s="3" t="s">
        <v>1985</v>
      </c>
      <c r="N553" s="2">
        <v>380</v>
      </c>
      <c r="O553" s="3" t="s">
        <v>244</v>
      </c>
      <c r="P553" s="3" t="s">
        <v>1986</v>
      </c>
      <c r="Q553" s="2" t="s">
        <v>5948</v>
      </c>
      <c r="R553" s="3" t="s">
        <v>2202</v>
      </c>
    </row>
    <row r="554" spans="1:18" x14ac:dyDescent="0.25">
      <c r="A554" s="2">
        <v>7266</v>
      </c>
      <c r="B554" s="3" t="s">
        <v>2203</v>
      </c>
      <c r="C554" s="2" t="s">
        <v>4137</v>
      </c>
      <c r="D554" s="2" t="s">
        <v>19</v>
      </c>
      <c r="E554" s="3" t="s">
        <v>1718</v>
      </c>
      <c r="F554" s="3" t="s">
        <v>1961</v>
      </c>
      <c r="G554" s="2" t="s">
        <v>4984</v>
      </c>
      <c r="H554" s="2" t="s">
        <v>5050</v>
      </c>
      <c r="I554" s="3" t="s">
        <v>2204</v>
      </c>
      <c r="J554" s="3" t="s">
        <v>2205</v>
      </c>
      <c r="K554" s="3" t="s">
        <v>2206</v>
      </c>
      <c r="L554" s="3" t="s">
        <v>19</v>
      </c>
      <c r="M554" s="3" t="s">
        <v>1969</v>
      </c>
      <c r="N554" s="2">
        <v>380</v>
      </c>
      <c r="O554" s="3" t="s">
        <v>96</v>
      </c>
      <c r="P554" s="3" t="s">
        <v>97</v>
      </c>
      <c r="Q554" s="2" t="s">
        <v>5949</v>
      </c>
      <c r="R554" s="3" t="s">
        <v>2207</v>
      </c>
    </row>
    <row r="555" spans="1:18" x14ac:dyDescent="0.25">
      <c r="A555" s="2">
        <v>1473</v>
      </c>
      <c r="B555" s="3" t="s">
        <v>2208</v>
      </c>
      <c r="C555" s="2" t="s">
        <v>4138</v>
      </c>
      <c r="D555" s="2" t="s">
        <v>19</v>
      </c>
      <c r="E555" s="3" t="s">
        <v>1718</v>
      </c>
      <c r="F555" s="3" t="s">
        <v>1961</v>
      </c>
      <c r="G555" s="2" t="s">
        <v>5000</v>
      </c>
      <c r="H555" s="2" t="s">
        <v>5051</v>
      </c>
      <c r="I555" s="3" t="s">
        <v>2209</v>
      </c>
      <c r="J555" s="3" t="s">
        <v>138</v>
      </c>
      <c r="K555" s="3" t="s">
        <v>2210</v>
      </c>
      <c r="L555" s="3" t="s">
        <v>19</v>
      </c>
      <c r="M555" s="3" t="s">
        <v>1969</v>
      </c>
      <c r="N555" s="2">
        <v>380</v>
      </c>
      <c r="O555" s="3" t="s">
        <v>244</v>
      </c>
      <c r="P555" s="3" t="s">
        <v>97</v>
      </c>
      <c r="Q555" s="2" t="s">
        <v>5950</v>
      </c>
      <c r="R555" s="3" t="s">
        <v>2211</v>
      </c>
    </row>
    <row r="556" spans="1:18" x14ac:dyDescent="0.25">
      <c r="A556" s="2">
        <v>37895</v>
      </c>
      <c r="B556" s="3" t="s">
        <v>2212</v>
      </c>
      <c r="C556" s="2" t="s">
        <v>4139</v>
      </c>
      <c r="D556" s="2" t="s">
        <v>19</v>
      </c>
      <c r="E556" s="3" t="s">
        <v>1718</v>
      </c>
      <c r="F556" s="3" t="s">
        <v>1961</v>
      </c>
      <c r="G556" s="2" t="s">
        <v>4984</v>
      </c>
      <c r="H556" s="2" t="s">
        <v>5052</v>
      </c>
      <c r="I556" s="3" t="s">
        <v>1983</v>
      </c>
      <c r="J556" s="3" t="s">
        <v>2213</v>
      </c>
      <c r="K556" s="3" t="s">
        <v>2214</v>
      </c>
      <c r="L556" s="3" t="s">
        <v>19</v>
      </c>
      <c r="M556" s="3" t="s">
        <v>1985</v>
      </c>
      <c r="N556" s="2">
        <v>380</v>
      </c>
      <c r="O556" s="3" t="s">
        <v>244</v>
      </c>
      <c r="P556" s="3" t="s">
        <v>1986</v>
      </c>
      <c r="Q556" s="2" t="s">
        <v>5951</v>
      </c>
      <c r="R556" s="3" t="s">
        <v>2215</v>
      </c>
    </row>
    <row r="557" spans="1:18" x14ac:dyDescent="0.25">
      <c r="A557" s="2">
        <v>15997</v>
      </c>
      <c r="B557" s="3" t="s">
        <v>2216</v>
      </c>
      <c r="C557" s="2" t="s">
        <v>4140</v>
      </c>
      <c r="D557" s="2" t="s">
        <v>19</v>
      </c>
      <c r="E557" s="3" t="s">
        <v>1718</v>
      </c>
      <c r="F557" s="3" t="s">
        <v>1961</v>
      </c>
      <c r="G557" s="2" t="s">
        <v>5000</v>
      </c>
      <c r="H557" s="2" t="s">
        <v>5053</v>
      </c>
      <c r="I557" s="3" t="s">
        <v>2217</v>
      </c>
      <c r="J557" s="3" t="s">
        <v>138</v>
      </c>
      <c r="K557" s="3" t="s">
        <v>2218</v>
      </c>
      <c r="L557" s="3" t="s">
        <v>19</v>
      </c>
      <c r="M557" s="3" t="s">
        <v>1969</v>
      </c>
      <c r="N557" s="2">
        <v>380</v>
      </c>
      <c r="O557" s="3" t="s">
        <v>244</v>
      </c>
      <c r="P557" s="3" t="s">
        <v>97</v>
      </c>
      <c r="Q557" s="2" t="s">
        <v>5952</v>
      </c>
      <c r="R557" s="3" t="s">
        <v>2219</v>
      </c>
    </row>
    <row r="558" spans="1:18" x14ac:dyDescent="0.25">
      <c r="A558" s="2">
        <v>18897</v>
      </c>
      <c r="B558" s="3" t="s">
        <v>2220</v>
      </c>
      <c r="C558" s="2" t="s">
        <v>4141</v>
      </c>
      <c r="D558" s="2" t="s">
        <v>19</v>
      </c>
      <c r="E558" s="3" t="s">
        <v>1718</v>
      </c>
      <c r="F558" s="3" t="s">
        <v>1961</v>
      </c>
      <c r="G558" s="2" t="s">
        <v>4992</v>
      </c>
      <c r="H558" s="2" t="s">
        <v>5054</v>
      </c>
      <c r="I558" s="3" t="s">
        <v>2141</v>
      </c>
      <c r="J558" s="3" t="s">
        <v>138</v>
      </c>
      <c r="K558" s="3" t="s">
        <v>2143</v>
      </c>
      <c r="L558" s="3" t="s">
        <v>19</v>
      </c>
      <c r="M558" s="3" t="s">
        <v>1969</v>
      </c>
      <c r="N558" s="2">
        <v>380</v>
      </c>
      <c r="O558" s="3" t="s">
        <v>271</v>
      </c>
      <c r="P558" s="3" t="s">
        <v>97</v>
      </c>
      <c r="Q558" s="2" t="s">
        <v>5953</v>
      </c>
      <c r="R558" s="3" t="s">
        <v>2221</v>
      </c>
    </row>
    <row r="559" spans="1:18" x14ac:dyDescent="0.25">
      <c r="A559" s="2">
        <v>6593</v>
      </c>
      <c r="B559" s="3" t="s">
        <v>2222</v>
      </c>
      <c r="C559" s="2" t="s">
        <v>4142</v>
      </c>
      <c r="D559" s="2" t="s">
        <v>19</v>
      </c>
      <c r="E559" s="3" t="s">
        <v>1718</v>
      </c>
      <c r="F559" s="3" t="s">
        <v>1961</v>
      </c>
      <c r="G559" s="2" t="s">
        <v>5019</v>
      </c>
      <c r="H559" s="2" t="s">
        <v>5055</v>
      </c>
      <c r="I559" s="3" t="s">
        <v>2223</v>
      </c>
      <c r="J559" s="3" t="s">
        <v>138</v>
      </c>
      <c r="K559" s="3" t="s">
        <v>2224</v>
      </c>
      <c r="L559" s="3" t="s">
        <v>19</v>
      </c>
      <c r="M559" s="3" t="s">
        <v>1969</v>
      </c>
      <c r="N559" s="2">
        <v>380</v>
      </c>
      <c r="O559" s="3" t="s">
        <v>271</v>
      </c>
      <c r="P559" s="3" t="s">
        <v>97</v>
      </c>
      <c r="Q559" s="2" t="s">
        <v>5954</v>
      </c>
      <c r="R559" s="3" t="s">
        <v>2225</v>
      </c>
    </row>
    <row r="560" spans="1:18" x14ac:dyDescent="0.25">
      <c r="A560" s="2">
        <v>26813</v>
      </c>
      <c r="B560" s="3" t="s">
        <v>2226</v>
      </c>
      <c r="C560" s="2" t="s">
        <v>4143</v>
      </c>
      <c r="D560" s="2" t="s">
        <v>19</v>
      </c>
      <c r="E560" s="3" t="s">
        <v>1718</v>
      </c>
      <c r="F560" s="3" t="s">
        <v>1961</v>
      </c>
      <c r="G560" s="2" t="s">
        <v>4984</v>
      </c>
      <c r="H560" s="2" t="s">
        <v>5056</v>
      </c>
      <c r="I560" s="3" t="s">
        <v>2204</v>
      </c>
      <c r="J560" s="3" t="s">
        <v>2227</v>
      </c>
      <c r="K560" s="3" t="s">
        <v>2228</v>
      </c>
      <c r="L560" s="3" t="s">
        <v>19</v>
      </c>
      <c r="M560" s="3" t="s">
        <v>1969</v>
      </c>
      <c r="N560" s="2">
        <v>380</v>
      </c>
      <c r="O560" s="3" t="s">
        <v>96</v>
      </c>
      <c r="P560" s="3" t="s">
        <v>97</v>
      </c>
      <c r="Q560" s="2" t="s">
        <v>5955</v>
      </c>
      <c r="R560" s="3" t="s">
        <v>2229</v>
      </c>
    </row>
    <row r="561" spans="1:18" x14ac:dyDescent="0.25">
      <c r="A561" s="2">
        <v>12609</v>
      </c>
      <c r="B561" s="3" t="s">
        <v>2230</v>
      </c>
      <c r="C561" s="2" t="s">
        <v>4144</v>
      </c>
      <c r="D561" s="2" t="s">
        <v>19</v>
      </c>
      <c r="E561" s="3" t="s">
        <v>1718</v>
      </c>
      <c r="F561" s="3" t="s">
        <v>1961</v>
      </c>
      <c r="G561" s="2" t="s">
        <v>4984</v>
      </c>
      <c r="H561" s="2" t="s">
        <v>5057</v>
      </c>
      <c r="I561" s="3" t="s">
        <v>1983</v>
      </c>
      <c r="J561" s="3" t="s">
        <v>138</v>
      </c>
      <c r="K561" s="3" t="s">
        <v>2011</v>
      </c>
      <c r="L561" s="3" t="s">
        <v>19</v>
      </c>
      <c r="M561" s="3" t="s">
        <v>1985</v>
      </c>
      <c r="N561" s="2">
        <v>380</v>
      </c>
      <c r="O561" s="3" t="s">
        <v>244</v>
      </c>
      <c r="P561" s="3" t="s">
        <v>1986</v>
      </c>
      <c r="Q561" s="2" t="s">
        <v>5956</v>
      </c>
      <c r="R561" s="3" t="s">
        <v>2231</v>
      </c>
    </row>
    <row r="562" spans="1:18" x14ac:dyDescent="0.25">
      <c r="A562" s="2">
        <v>8282</v>
      </c>
      <c r="B562" s="3" t="s">
        <v>2232</v>
      </c>
      <c r="C562" s="2" t="s">
        <v>4145</v>
      </c>
      <c r="D562" s="2" t="s">
        <v>19</v>
      </c>
      <c r="E562" s="3" t="s">
        <v>1718</v>
      </c>
      <c r="F562" s="3" t="s">
        <v>1961</v>
      </c>
      <c r="G562" s="2" t="s">
        <v>4984</v>
      </c>
      <c r="H562" s="2" t="s">
        <v>5058</v>
      </c>
      <c r="I562" s="3" t="s">
        <v>2204</v>
      </c>
      <c r="J562" s="3" t="s">
        <v>138</v>
      </c>
      <c r="K562" s="3" t="s">
        <v>2233</v>
      </c>
      <c r="L562" s="3" t="s">
        <v>19</v>
      </c>
      <c r="M562" s="3" t="s">
        <v>1969</v>
      </c>
      <c r="N562" s="2">
        <v>380</v>
      </c>
      <c r="O562" s="3" t="s">
        <v>96</v>
      </c>
      <c r="P562" s="3" t="s">
        <v>97</v>
      </c>
      <c r="Q562" s="2" t="s">
        <v>5957</v>
      </c>
      <c r="R562" s="3" t="s">
        <v>2234</v>
      </c>
    </row>
    <row r="563" spans="1:18" x14ac:dyDescent="0.25">
      <c r="A563" s="2">
        <v>7995</v>
      </c>
      <c r="B563" s="3" t="s">
        <v>2235</v>
      </c>
      <c r="C563" s="2" t="s">
        <v>4146</v>
      </c>
      <c r="D563" s="2" t="s">
        <v>19</v>
      </c>
      <c r="E563" s="3" t="s">
        <v>1718</v>
      </c>
      <c r="F563" s="3" t="s">
        <v>1961</v>
      </c>
      <c r="G563" s="2" t="s">
        <v>4992</v>
      </c>
      <c r="H563" s="2" t="s">
        <v>5059</v>
      </c>
      <c r="I563" s="3" t="s">
        <v>2059</v>
      </c>
      <c r="J563" s="3" t="s">
        <v>138</v>
      </c>
      <c r="K563" s="3" t="s">
        <v>2060</v>
      </c>
      <c r="L563" s="3" t="s">
        <v>19</v>
      </c>
      <c r="M563" s="3" t="s">
        <v>1969</v>
      </c>
      <c r="N563" s="2">
        <v>380</v>
      </c>
      <c r="O563" s="3" t="s">
        <v>271</v>
      </c>
      <c r="P563" s="3" t="s">
        <v>97</v>
      </c>
      <c r="Q563" s="2" t="s">
        <v>5958</v>
      </c>
      <c r="R563" s="3" t="s">
        <v>2236</v>
      </c>
    </row>
    <row r="564" spans="1:18" x14ac:dyDescent="0.25">
      <c r="A564" s="2">
        <v>1942</v>
      </c>
      <c r="B564" s="3" t="s">
        <v>2237</v>
      </c>
      <c r="C564" s="2" t="s">
        <v>4147</v>
      </c>
      <c r="D564" s="2" t="s">
        <v>19</v>
      </c>
      <c r="E564" s="3" t="s">
        <v>1718</v>
      </c>
      <c r="F564" s="3" t="s">
        <v>1961</v>
      </c>
      <c r="G564" s="2" t="s">
        <v>4992</v>
      </c>
      <c r="H564" s="2" t="s">
        <v>5060</v>
      </c>
      <c r="I564" s="3" t="s">
        <v>2238</v>
      </c>
      <c r="J564" s="3" t="s">
        <v>138</v>
      </c>
      <c r="K564" s="3" t="s">
        <v>2239</v>
      </c>
      <c r="L564" s="3" t="s">
        <v>19</v>
      </c>
      <c r="M564" s="3" t="s">
        <v>1969</v>
      </c>
      <c r="N564" s="2">
        <v>380</v>
      </c>
      <c r="O564" s="3" t="s">
        <v>244</v>
      </c>
      <c r="P564" s="3" t="s">
        <v>97</v>
      </c>
      <c r="Q564" s="2" t="s">
        <v>5959</v>
      </c>
      <c r="R564" s="3" t="s">
        <v>2240</v>
      </c>
    </row>
    <row r="565" spans="1:18" x14ac:dyDescent="0.25">
      <c r="A565" s="2">
        <v>24590</v>
      </c>
      <c r="B565" s="3" t="s">
        <v>2241</v>
      </c>
      <c r="C565" s="2" t="s">
        <v>4148</v>
      </c>
      <c r="D565" s="2" t="s">
        <v>19</v>
      </c>
      <c r="E565" s="3" t="s">
        <v>1718</v>
      </c>
      <c r="F565" s="3" t="s">
        <v>1961</v>
      </c>
      <c r="G565" s="2" t="s">
        <v>4944</v>
      </c>
      <c r="H565" s="2" t="s">
        <v>5061</v>
      </c>
      <c r="I565" s="3" t="s">
        <v>1962</v>
      </c>
      <c r="J565" s="3" t="s">
        <v>2242</v>
      </c>
      <c r="K565" s="3" t="s">
        <v>2243</v>
      </c>
      <c r="L565" s="3" t="s">
        <v>19</v>
      </c>
      <c r="M565" s="3" t="s">
        <v>20</v>
      </c>
      <c r="N565" s="2">
        <v>380</v>
      </c>
      <c r="O565" s="3" t="s">
        <v>21</v>
      </c>
      <c r="P565" s="3" t="s">
        <v>22</v>
      </c>
      <c r="Q565" s="2" t="s">
        <v>5960</v>
      </c>
      <c r="R565" s="3" t="s">
        <v>2244</v>
      </c>
    </row>
    <row r="566" spans="1:18" x14ac:dyDescent="0.25">
      <c r="A566" s="2">
        <v>37627</v>
      </c>
      <c r="B566" s="3" t="s">
        <v>2245</v>
      </c>
      <c r="C566" s="2" t="s">
        <v>4149</v>
      </c>
      <c r="D566" s="2" t="s">
        <v>19</v>
      </c>
      <c r="E566" s="3" t="s">
        <v>1718</v>
      </c>
      <c r="F566" s="3" t="s">
        <v>1961</v>
      </c>
      <c r="G566" s="2" t="s">
        <v>4992</v>
      </c>
      <c r="H566" s="2" t="s">
        <v>5062</v>
      </c>
      <c r="I566" s="3" t="s">
        <v>2246</v>
      </c>
      <c r="J566" s="3" t="s">
        <v>1157</v>
      </c>
      <c r="K566" s="3" t="s">
        <v>2247</v>
      </c>
      <c r="L566" s="3" t="s">
        <v>19</v>
      </c>
      <c r="M566" s="3" t="s">
        <v>1969</v>
      </c>
      <c r="N566" s="2">
        <v>380</v>
      </c>
      <c r="O566" s="3" t="s">
        <v>271</v>
      </c>
      <c r="P566" s="3" t="s">
        <v>97</v>
      </c>
      <c r="Q566" s="2" t="s">
        <v>5961</v>
      </c>
      <c r="R566" s="3" t="s">
        <v>2248</v>
      </c>
    </row>
    <row r="567" spans="1:18" x14ac:dyDescent="0.25">
      <c r="A567" s="2">
        <v>40563</v>
      </c>
      <c r="B567" s="3" t="s">
        <v>2249</v>
      </c>
      <c r="C567" s="2" t="s">
        <v>4150</v>
      </c>
      <c r="D567" s="2" t="s">
        <v>19</v>
      </c>
      <c r="E567" s="3" t="s">
        <v>1718</v>
      </c>
      <c r="F567" s="3" t="s">
        <v>1961</v>
      </c>
      <c r="G567" s="2" t="s">
        <v>4944</v>
      </c>
      <c r="H567" s="2" t="s">
        <v>5063</v>
      </c>
      <c r="I567" s="3" t="s">
        <v>2166</v>
      </c>
      <c r="J567" s="3" t="s">
        <v>2250</v>
      </c>
      <c r="K567" s="3" t="s">
        <v>2251</v>
      </c>
      <c r="L567" s="3" t="s">
        <v>19</v>
      </c>
      <c r="M567" s="3" t="s">
        <v>1985</v>
      </c>
      <c r="N567" s="2">
        <v>380</v>
      </c>
      <c r="O567" s="3" t="s">
        <v>21</v>
      </c>
      <c r="P567" s="3" t="s">
        <v>1986</v>
      </c>
      <c r="Q567" s="2" t="s">
        <v>5962</v>
      </c>
      <c r="R567" s="3" t="s">
        <v>2252</v>
      </c>
    </row>
    <row r="568" spans="1:18" x14ac:dyDescent="0.25">
      <c r="A568" s="2">
        <v>24418</v>
      </c>
      <c r="B568" s="3" t="s">
        <v>2253</v>
      </c>
      <c r="C568" s="2" t="s">
        <v>4151</v>
      </c>
      <c r="D568" s="2" t="s">
        <v>19</v>
      </c>
      <c r="E568" s="3" t="s">
        <v>1718</v>
      </c>
      <c r="F568" s="3" t="s">
        <v>1961</v>
      </c>
      <c r="G568" s="2" t="s">
        <v>4984</v>
      </c>
      <c r="H568" s="2" t="s">
        <v>5064</v>
      </c>
      <c r="I568" s="3" t="s">
        <v>2254</v>
      </c>
      <c r="J568" s="3" t="s">
        <v>927</v>
      </c>
      <c r="K568" s="3" t="s">
        <v>2255</v>
      </c>
      <c r="L568" s="3" t="s">
        <v>19</v>
      </c>
      <c r="M568" s="3" t="s">
        <v>1969</v>
      </c>
      <c r="N568" s="2">
        <v>380</v>
      </c>
      <c r="O568" s="3" t="s">
        <v>271</v>
      </c>
      <c r="P568" s="3" t="s">
        <v>97</v>
      </c>
      <c r="Q568" s="2" t="s">
        <v>5963</v>
      </c>
      <c r="R568" s="3" t="s">
        <v>2256</v>
      </c>
    </row>
    <row r="569" spans="1:18" x14ac:dyDescent="0.25">
      <c r="A569" s="2">
        <v>24338</v>
      </c>
      <c r="B569" s="3" t="s">
        <v>2257</v>
      </c>
      <c r="C569" s="2" t="s">
        <v>4152</v>
      </c>
      <c r="D569" s="2" t="s">
        <v>19</v>
      </c>
      <c r="E569" s="3" t="s">
        <v>1718</v>
      </c>
      <c r="F569" s="3" t="s">
        <v>1961</v>
      </c>
      <c r="G569" s="2" t="s">
        <v>4984</v>
      </c>
      <c r="H569" s="2" t="s">
        <v>5065</v>
      </c>
      <c r="I569" s="3" t="s">
        <v>2258</v>
      </c>
      <c r="J569" s="3" t="s">
        <v>2259</v>
      </c>
      <c r="K569" s="3" t="s">
        <v>2260</v>
      </c>
      <c r="L569" s="3" t="s">
        <v>19</v>
      </c>
      <c r="M569" s="3" t="s">
        <v>1969</v>
      </c>
      <c r="N569" s="2">
        <v>380</v>
      </c>
      <c r="O569" s="3" t="s">
        <v>244</v>
      </c>
      <c r="P569" s="3" t="s">
        <v>97</v>
      </c>
      <c r="Q569" s="2" t="s">
        <v>5964</v>
      </c>
      <c r="R569" s="3" t="s">
        <v>2261</v>
      </c>
    </row>
    <row r="570" spans="1:18" x14ac:dyDescent="0.25">
      <c r="A570" s="2">
        <v>33463</v>
      </c>
      <c r="B570" s="3" t="s">
        <v>2262</v>
      </c>
      <c r="C570" s="2" t="s">
        <v>4153</v>
      </c>
      <c r="D570" s="2" t="s">
        <v>19</v>
      </c>
      <c r="E570" s="3" t="s">
        <v>1718</v>
      </c>
      <c r="F570" s="3" t="s">
        <v>1961</v>
      </c>
      <c r="G570" s="2" t="s">
        <v>4984</v>
      </c>
      <c r="H570" s="2" t="s">
        <v>5066</v>
      </c>
      <c r="I570" s="3" t="s">
        <v>2263</v>
      </c>
      <c r="J570" s="3" t="s">
        <v>138</v>
      </c>
      <c r="K570" s="3" t="s">
        <v>2264</v>
      </c>
      <c r="L570" s="3" t="s">
        <v>19</v>
      </c>
      <c r="M570" s="3" t="s">
        <v>1969</v>
      </c>
      <c r="N570" s="2">
        <v>380</v>
      </c>
      <c r="O570" s="3" t="s">
        <v>271</v>
      </c>
      <c r="P570" s="3" t="s">
        <v>97</v>
      </c>
      <c r="Q570" s="2" t="s">
        <v>5965</v>
      </c>
      <c r="R570" s="3" t="s">
        <v>2265</v>
      </c>
    </row>
    <row r="571" spans="1:18" x14ac:dyDescent="0.25">
      <c r="A571" s="2">
        <v>52712</v>
      </c>
      <c r="B571" s="3" t="s">
        <v>2266</v>
      </c>
      <c r="C571" s="2" t="s">
        <v>4154</v>
      </c>
      <c r="D571" s="2" t="s">
        <v>19</v>
      </c>
      <c r="E571" s="3" t="s">
        <v>1718</v>
      </c>
      <c r="F571" s="3" t="s">
        <v>1961</v>
      </c>
      <c r="G571" s="2" t="s">
        <v>5067</v>
      </c>
      <c r="H571" s="2" t="s">
        <v>5068</v>
      </c>
      <c r="I571" s="3" t="s">
        <v>2267</v>
      </c>
      <c r="J571" s="3" t="s">
        <v>2268</v>
      </c>
      <c r="K571" s="3" t="s">
        <v>2269</v>
      </c>
      <c r="L571" s="3" t="s">
        <v>19</v>
      </c>
      <c r="M571" s="3" t="s">
        <v>1969</v>
      </c>
      <c r="N571" s="2">
        <v>380</v>
      </c>
      <c r="O571" s="3" t="s">
        <v>244</v>
      </c>
      <c r="P571" s="3" t="s">
        <v>97</v>
      </c>
      <c r="Q571" s="2" t="s">
        <v>5966</v>
      </c>
      <c r="R571" s="3" t="s">
        <v>2270</v>
      </c>
    </row>
    <row r="572" spans="1:18" x14ac:dyDescent="0.25">
      <c r="A572" s="2">
        <v>1970</v>
      </c>
      <c r="B572" s="3" t="s">
        <v>2271</v>
      </c>
      <c r="C572" s="2" t="s">
        <v>4155</v>
      </c>
      <c r="D572" s="2" t="s">
        <v>19</v>
      </c>
      <c r="E572" s="3" t="s">
        <v>1718</v>
      </c>
      <c r="F572" s="3" t="s">
        <v>1961</v>
      </c>
      <c r="G572" s="2" t="s">
        <v>5000</v>
      </c>
      <c r="H572" s="2" t="s">
        <v>5069</v>
      </c>
      <c r="I572" s="3" t="s">
        <v>2063</v>
      </c>
      <c r="J572" s="3" t="s">
        <v>138</v>
      </c>
      <c r="K572" s="3" t="s">
        <v>2064</v>
      </c>
      <c r="L572" s="3" t="s">
        <v>19</v>
      </c>
      <c r="M572" s="3" t="s">
        <v>1969</v>
      </c>
      <c r="N572" s="2">
        <v>380</v>
      </c>
      <c r="O572" s="3" t="s">
        <v>271</v>
      </c>
      <c r="P572" s="3" t="s">
        <v>97</v>
      </c>
      <c r="Q572" s="2" t="s">
        <v>5967</v>
      </c>
      <c r="R572" s="3" t="s">
        <v>2272</v>
      </c>
    </row>
    <row r="573" spans="1:18" x14ac:dyDescent="0.25">
      <c r="A573" s="2">
        <v>19560</v>
      </c>
      <c r="B573" s="3" t="s">
        <v>2273</v>
      </c>
      <c r="C573" s="2" t="s">
        <v>4156</v>
      </c>
      <c r="D573" s="2" t="s">
        <v>19</v>
      </c>
      <c r="E573" s="3" t="s">
        <v>1718</v>
      </c>
      <c r="F573" s="3" t="s">
        <v>1961</v>
      </c>
      <c r="G573" s="2" t="s">
        <v>4992</v>
      </c>
      <c r="H573" s="2" t="s">
        <v>5070</v>
      </c>
      <c r="I573" s="3" t="s">
        <v>2154</v>
      </c>
      <c r="J573" s="3" t="s">
        <v>138</v>
      </c>
      <c r="K573" s="3" t="s">
        <v>2274</v>
      </c>
      <c r="L573" s="3" t="s">
        <v>19</v>
      </c>
      <c r="M573" s="3" t="s">
        <v>1969</v>
      </c>
      <c r="N573" s="2">
        <v>380</v>
      </c>
      <c r="O573" s="3" t="s">
        <v>271</v>
      </c>
      <c r="P573" s="3" t="s">
        <v>97</v>
      </c>
      <c r="Q573" s="2" t="s">
        <v>5968</v>
      </c>
      <c r="R573" s="3" t="s">
        <v>2275</v>
      </c>
    </row>
    <row r="574" spans="1:18" x14ac:dyDescent="0.25">
      <c r="A574" s="2">
        <v>34475</v>
      </c>
      <c r="B574" s="3" t="s">
        <v>2276</v>
      </c>
      <c r="C574" s="2" t="s">
        <v>4157</v>
      </c>
      <c r="D574" s="2" t="s">
        <v>19</v>
      </c>
      <c r="E574" s="3" t="s">
        <v>1718</v>
      </c>
      <c r="F574" s="3" t="s">
        <v>1961</v>
      </c>
      <c r="G574" s="2" t="s">
        <v>5000</v>
      </c>
      <c r="H574" s="2" t="s">
        <v>5071</v>
      </c>
      <c r="I574" s="3" t="s">
        <v>2277</v>
      </c>
      <c r="J574" s="3" t="s">
        <v>138</v>
      </c>
      <c r="K574" s="3" t="s">
        <v>2278</v>
      </c>
      <c r="L574" s="3" t="s">
        <v>19</v>
      </c>
      <c r="M574" s="3" t="s">
        <v>1969</v>
      </c>
      <c r="N574" s="2">
        <v>380</v>
      </c>
      <c r="O574" s="3" t="s">
        <v>244</v>
      </c>
      <c r="P574" s="3" t="s">
        <v>97</v>
      </c>
      <c r="Q574" s="2" t="s">
        <v>5969</v>
      </c>
      <c r="R574" s="3" t="s">
        <v>2279</v>
      </c>
    </row>
    <row r="575" spans="1:18" x14ac:dyDescent="0.25">
      <c r="A575" s="2">
        <v>37476</v>
      </c>
      <c r="B575" s="3" t="s">
        <v>2280</v>
      </c>
      <c r="C575" s="2" t="s">
        <v>4158</v>
      </c>
      <c r="D575" s="2" t="s">
        <v>19</v>
      </c>
      <c r="E575" s="3" t="s">
        <v>1718</v>
      </c>
      <c r="F575" s="3" t="s">
        <v>1961</v>
      </c>
      <c r="G575" s="2" t="s">
        <v>5000</v>
      </c>
      <c r="H575" s="2" t="s">
        <v>5072</v>
      </c>
      <c r="I575" s="3" t="s">
        <v>394</v>
      </c>
      <c r="J575" s="3" t="s">
        <v>138</v>
      </c>
      <c r="K575" s="3" t="s">
        <v>2281</v>
      </c>
      <c r="L575" s="3" t="s">
        <v>19</v>
      </c>
      <c r="M575" s="3" t="s">
        <v>1969</v>
      </c>
      <c r="N575" s="2">
        <v>380</v>
      </c>
      <c r="O575" s="3" t="s">
        <v>96</v>
      </c>
      <c r="P575" s="3" t="s">
        <v>97</v>
      </c>
      <c r="Q575" s="2" t="s">
        <v>5970</v>
      </c>
      <c r="R575" s="3" t="s">
        <v>2282</v>
      </c>
    </row>
    <row r="576" spans="1:18" x14ac:dyDescent="0.25">
      <c r="A576" s="2">
        <v>339</v>
      </c>
      <c r="B576" s="3" t="s">
        <v>2283</v>
      </c>
      <c r="C576" s="2" t="s">
        <v>4159</v>
      </c>
      <c r="D576" s="2" t="s">
        <v>19</v>
      </c>
      <c r="E576" s="3" t="s">
        <v>1718</v>
      </c>
      <c r="F576" s="3" t="s">
        <v>1961</v>
      </c>
      <c r="G576" s="2" t="s">
        <v>4984</v>
      </c>
      <c r="H576" s="2" t="s">
        <v>5073</v>
      </c>
      <c r="I576" s="3" t="s">
        <v>1967</v>
      </c>
      <c r="J576" s="3" t="s">
        <v>2284</v>
      </c>
      <c r="K576" s="3" t="s">
        <v>2285</v>
      </c>
      <c r="L576" s="3" t="s">
        <v>19</v>
      </c>
      <c r="M576" s="3" t="s">
        <v>1969</v>
      </c>
      <c r="N576" s="2">
        <v>380</v>
      </c>
      <c r="O576" s="3" t="s">
        <v>244</v>
      </c>
      <c r="P576" s="3" t="s">
        <v>97</v>
      </c>
      <c r="Q576" s="2" t="s">
        <v>5971</v>
      </c>
      <c r="R576" s="3" t="s">
        <v>2286</v>
      </c>
    </row>
    <row r="577" spans="1:18" x14ac:dyDescent="0.25">
      <c r="A577" s="2">
        <v>7204</v>
      </c>
      <c r="B577" s="3" t="s">
        <v>2287</v>
      </c>
      <c r="C577" s="2" t="s">
        <v>4160</v>
      </c>
      <c r="D577" s="2" t="s">
        <v>19</v>
      </c>
      <c r="E577" s="3" t="s">
        <v>1718</v>
      </c>
      <c r="F577" s="3" t="s">
        <v>1961</v>
      </c>
      <c r="G577" s="2" t="s">
        <v>4984</v>
      </c>
      <c r="H577" s="2" t="s">
        <v>5074</v>
      </c>
      <c r="I577" s="3" t="s">
        <v>2051</v>
      </c>
      <c r="J577" s="3" t="s">
        <v>138</v>
      </c>
      <c r="K577" s="3" t="s">
        <v>2052</v>
      </c>
      <c r="L577" s="3" t="s">
        <v>19</v>
      </c>
      <c r="M577" s="3" t="s">
        <v>1969</v>
      </c>
      <c r="N577" s="2">
        <v>380</v>
      </c>
      <c r="O577" s="3" t="s">
        <v>244</v>
      </c>
      <c r="P577" s="3" t="s">
        <v>97</v>
      </c>
      <c r="Q577" s="2" t="s">
        <v>5972</v>
      </c>
      <c r="R577" s="3" t="s">
        <v>2288</v>
      </c>
    </row>
    <row r="578" spans="1:18" x14ac:dyDescent="0.25">
      <c r="A578" s="2">
        <v>22796</v>
      </c>
      <c r="B578" s="3" t="s">
        <v>2289</v>
      </c>
      <c r="C578" s="2" t="s">
        <v>4161</v>
      </c>
      <c r="D578" s="2" t="s">
        <v>19</v>
      </c>
      <c r="E578" s="3" t="s">
        <v>1718</v>
      </c>
      <c r="F578" s="3" t="s">
        <v>1961</v>
      </c>
      <c r="G578" s="2" t="s">
        <v>4917</v>
      </c>
      <c r="H578" s="2" t="s">
        <v>5075</v>
      </c>
      <c r="I578" s="3" t="s">
        <v>2032</v>
      </c>
      <c r="J578" s="3" t="s">
        <v>138</v>
      </c>
      <c r="K578" s="3" t="s">
        <v>2290</v>
      </c>
      <c r="L578" s="3" t="s">
        <v>19</v>
      </c>
      <c r="M578" s="3" t="s">
        <v>1969</v>
      </c>
      <c r="N578" s="2">
        <v>380</v>
      </c>
      <c r="O578" s="3" t="s">
        <v>244</v>
      </c>
      <c r="P578" s="3" t="s">
        <v>97</v>
      </c>
      <c r="Q578" s="2" t="s">
        <v>5973</v>
      </c>
      <c r="R578" s="3" t="s">
        <v>2291</v>
      </c>
    </row>
    <row r="579" spans="1:18" x14ac:dyDescent="0.25">
      <c r="A579" s="2">
        <v>12010</v>
      </c>
      <c r="B579" s="3" t="s">
        <v>2292</v>
      </c>
      <c r="C579" s="2" t="s">
        <v>4162</v>
      </c>
      <c r="D579" s="2" t="s">
        <v>19</v>
      </c>
      <c r="E579" s="3" t="s">
        <v>1718</v>
      </c>
      <c r="F579" s="3" t="s">
        <v>1961</v>
      </c>
      <c r="G579" s="2" t="s">
        <v>5000</v>
      </c>
      <c r="H579" s="2" t="s">
        <v>5076</v>
      </c>
      <c r="I579" s="3" t="s">
        <v>2293</v>
      </c>
      <c r="J579" s="3" t="s">
        <v>2294</v>
      </c>
      <c r="K579" s="3" t="s">
        <v>2295</v>
      </c>
      <c r="L579" s="3" t="s">
        <v>19</v>
      </c>
      <c r="M579" s="3" t="s">
        <v>1969</v>
      </c>
      <c r="N579" s="2">
        <v>380</v>
      </c>
      <c r="O579" s="3" t="s">
        <v>271</v>
      </c>
      <c r="P579" s="3" t="s">
        <v>97</v>
      </c>
      <c r="Q579" s="2" t="s">
        <v>5974</v>
      </c>
      <c r="R579" s="3" t="s">
        <v>2296</v>
      </c>
    </row>
    <row r="580" spans="1:18" x14ac:dyDescent="0.25">
      <c r="A580" s="2">
        <v>19042</v>
      </c>
      <c r="B580" s="3" t="s">
        <v>2297</v>
      </c>
      <c r="C580" s="2" t="s">
        <v>4163</v>
      </c>
      <c r="D580" s="2" t="s">
        <v>19</v>
      </c>
      <c r="E580" s="3" t="s">
        <v>1718</v>
      </c>
      <c r="F580" s="3" t="s">
        <v>1961</v>
      </c>
      <c r="G580" s="2" t="s">
        <v>5019</v>
      </c>
      <c r="H580" s="2" t="s">
        <v>5077</v>
      </c>
      <c r="I580" s="3" t="s">
        <v>2298</v>
      </c>
      <c r="J580" s="3" t="s">
        <v>138</v>
      </c>
      <c r="K580" s="3" t="s">
        <v>2299</v>
      </c>
      <c r="L580" s="3" t="s">
        <v>19</v>
      </c>
      <c r="M580" s="3" t="s">
        <v>1969</v>
      </c>
      <c r="N580" s="2">
        <v>380</v>
      </c>
      <c r="O580" s="3" t="s">
        <v>271</v>
      </c>
      <c r="P580" s="3" t="s">
        <v>97</v>
      </c>
      <c r="Q580" s="2" t="s">
        <v>5975</v>
      </c>
      <c r="R580" s="3" t="s">
        <v>2300</v>
      </c>
    </row>
    <row r="581" spans="1:18" x14ac:dyDescent="0.25">
      <c r="A581" s="2">
        <v>19162</v>
      </c>
      <c r="B581" s="3" t="s">
        <v>2301</v>
      </c>
      <c r="C581" s="2" t="s">
        <v>4164</v>
      </c>
      <c r="D581" s="2" t="s">
        <v>19</v>
      </c>
      <c r="E581" s="3" t="s">
        <v>1718</v>
      </c>
      <c r="F581" s="3" t="s">
        <v>1961</v>
      </c>
      <c r="G581" s="2" t="s">
        <v>5019</v>
      </c>
      <c r="H581" s="2" t="s">
        <v>5078</v>
      </c>
      <c r="I581" s="3" t="s">
        <v>2302</v>
      </c>
      <c r="J581" s="3" t="s">
        <v>1420</v>
      </c>
      <c r="K581" s="3" t="s">
        <v>2303</v>
      </c>
      <c r="L581" s="3" t="s">
        <v>19</v>
      </c>
      <c r="M581" s="3" t="s">
        <v>1969</v>
      </c>
      <c r="N581" s="2">
        <v>380</v>
      </c>
      <c r="O581" s="3" t="s">
        <v>271</v>
      </c>
      <c r="P581" s="3" t="s">
        <v>97</v>
      </c>
      <c r="Q581" s="2" t="s">
        <v>5976</v>
      </c>
      <c r="R581" s="3" t="s">
        <v>2304</v>
      </c>
    </row>
    <row r="582" spans="1:18" x14ac:dyDescent="0.25">
      <c r="A582" s="2">
        <v>14233</v>
      </c>
      <c r="B582" s="3" t="s">
        <v>2305</v>
      </c>
      <c r="C582" s="2" t="s">
        <v>4165</v>
      </c>
      <c r="D582" s="2" t="s">
        <v>19</v>
      </c>
      <c r="E582" s="3" t="s">
        <v>1718</v>
      </c>
      <c r="F582" s="3" t="s">
        <v>1961</v>
      </c>
      <c r="G582" s="2" t="s">
        <v>4944</v>
      </c>
      <c r="H582" s="2" t="s">
        <v>5079</v>
      </c>
      <c r="I582" s="3" t="s">
        <v>2166</v>
      </c>
      <c r="J582" s="3" t="s">
        <v>1402</v>
      </c>
      <c r="K582" s="3" t="s">
        <v>2306</v>
      </c>
      <c r="L582" s="3" t="s">
        <v>19</v>
      </c>
      <c r="M582" s="3" t="s">
        <v>1985</v>
      </c>
      <c r="N582" s="2">
        <v>380</v>
      </c>
      <c r="O582" s="3" t="s">
        <v>21</v>
      </c>
      <c r="P582" s="3" t="s">
        <v>1986</v>
      </c>
      <c r="Q582" s="2" t="s">
        <v>5977</v>
      </c>
      <c r="R582" s="3" t="s">
        <v>2307</v>
      </c>
    </row>
    <row r="583" spans="1:18" x14ac:dyDescent="0.25">
      <c r="A583" s="2">
        <v>35964</v>
      </c>
      <c r="B583" s="3" t="s">
        <v>2308</v>
      </c>
      <c r="C583" s="2" t="s">
        <v>4166</v>
      </c>
      <c r="D583" s="2" t="s">
        <v>19</v>
      </c>
      <c r="E583" s="3" t="s">
        <v>1718</v>
      </c>
      <c r="F583" s="3" t="s">
        <v>1961</v>
      </c>
      <c r="G583" s="2" t="s">
        <v>4984</v>
      </c>
      <c r="H583" s="2" t="s">
        <v>5080</v>
      </c>
      <c r="I583" s="3" t="s">
        <v>2309</v>
      </c>
      <c r="J583" s="3" t="s">
        <v>138</v>
      </c>
      <c r="K583" s="3" t="s">
        <v>2310</v>
      </c>
      <c r="L583" s="3" t="s">
        <v>19</v>
      </c>
      <c r="M583" s="3" t="s">
        <v>1969</v>
      </c>
      <c r="N583" s="2">
        <v>380</v>
      </c>
      <c r="O583" s="3" t="s">
        <v>244</v>
      </c>
      <c r="P583" s="3" t="s">
        <v>97</v>
      </c>
      <c r="Q583" s="2" t="s">
        <v>5978</v>
      </c>
      <c r="R583" s="3" t="s">
        <v>2311</v>
      </c>
    </row>
    <row r="584" spans="1:18" x14ac:dyDescent="0.25">
      <c r="A584" s="2">
        <v>31909</v>
      </c>
      <c r="B584" s="3" t="s">
        <v>2312</v>
      </c>
      <c r="C584" s="2" t="s">
        <v>4167</v>
      </c>
      <c r="D584" s="2" t="s">
        <v>19</v>
      </c>
      <c r="E584" s="3" t="s">
        <v>1718</v>
      </c>
      <c r="F584" s="3" t="s">
        <v>1961</v>
      </c>
      <c r="G584" s="2" t="s">
        <v>4984</v>
      </c>
      <c r="H584" s="2" t="s">
        <v>5081</v>
      </c>
      <c r="I584" s="3" t="s">
        <v>1983</v>
      </c>
      <c r="J584" s="3" t="s">
        <v>138</v>
      </c>
      <c r="K584" s="3" t="s">
        <v>2313</v>
      </c>
      <c r="L584" s="3" t="s">
        <v>19</v>
      </c>
      <c r="M584" s="3" t="s">
        <v>1985</v>
      </c>
      <c r="N584" s="2">
        <v>380</v>
      </c>
      <c r="O584" s="3" t="s">
        <v>244</v>
      </c>
      <c r="P584" s="3" t="s">
        <v>1986</v>
      </c>
      <c r="Q584" s="2" t="s">
        <v>5979</v>
      </c>
      <c r="R584" s="3" t="s">
        <v>2314</v>
      </c>
    </row>
    <row r="585" spans="1:18" x14ac:dyDescent="0.25">
      <c r="A585" s="2">
        <v>41128</v>
      </c>
      <c r="B585" s="3" t="s">
        <v>2315</v>
      </c>
      <c r="C585" s="2" t="s">
        <v>4168</v>
      </c>
      <c r="D585" s="2" t="s">
        <v>19</v>
      </c>
      <c r="E585" s="3" t="s">
        <v>1718</v>
      </c>
      <c r="F585" s="3" t="s">
        <v>1961</v>
      </c>
      <c r="G585" s="2" t="s">
        <v>4992</v>
      </c>
      <c r="H585" s="2" t="s">
        <v>5082</v>
      </c>
      <c r="I585" s="3" t="s">
        <v>2316</v>
      </c>
      <c r="J585" s="3" t="s">
        <v>138</v>
      </c>
      <c r="K585" s="3" t="s">
        <v>2317</v>
      </c>
      <c r="L585" s="3" t="s">
        <v>19</v>
      </c>
      <c r="M585" s="3" t="s">
        <v>1969</v>
      </c>
      <c r="N585" s="2">
        <v>380</v>
      </c>
      <c r="O585" s="3" t="s">
        <v>271</v>
      </c>
      <c r="P585" s="3" t="s">
        <v>97</v>
      </c>
      <c r="Q585" s="2" t="s">
        <v>5980</v>
      </c>
      <c r="R585" s="3" t="s">
        <v>2318</v>
      </c>
    </row>
    <row r="586" spans="1:18" x14ac:dyDescent="0.25">
      <c r="A586" s="2">
        <v>10913</v>
      </c>
      <c r="B586" s="3" t="s">
        <v>2319</v>
      </c>
      <c r="C586" s="2" t="s">
        <v>4169</v>
      </c>
      <c r="D586" s="2" t="s">
        <v>19</v>
      </c>
      <c r="E586" s="3" t="s">
        <v>1718</v>
      </c>
      <c r="F586" s="3" t="s">
        <v>1961</v>
      </c>
      <c r="G586" s="2" t="s">
        <v>5000</v>
      </c>
      <c r="H586" s="2" t="s">
        <v>5083</v>
      </c>
      <c r="I586" s="3" t="s">
        <v>2027</v>
      </c>
      <c r="J586" s="3" t="s">
        <v>1157</v>
      </c>
      <c r="K586" s="3" t="s">
        <v>2320</v>
      </c>
      <c r="L586" s="3" t="s">
        <v>19</v>
      </c>
      <c r="M586" s="3" t="s">
        <v>1969</v>
      </c>
      <c r="N586" s="2">
        <v>380</v>
      </c>
      <c r="O586" s="3" t="s">
        <v>271</v>
      </c>
      <c r="P586" s="3" t="s">
        <v>97</v>
      </c>
      <c r="Q586" s="2" t="s">
        <v>5981</v>
      </c>
      <c r="R586" s="3" t="s">
        <v>2321</v>
      </c>
    </row>
    <row r="587" spans="1:18" x14ac:dyDescent="0.25">
      <c r="A587" s="2">
        <v>24781</v>
      </c>
      <c r="B587" s="3" t="s">
        <v>2322</v>
      </c>
      <c r="C587" s="2" t="s">
        <v>4170</v>
      </c>
      <c r="D587" s="2" t="s">
        <v>19</v>
      </c>
      <c r="E587" s="3" t="s">
        <v>1718</v>
      </c>
      <c r="F587" s="3" t="s">
        <v>1961</v>
      </c>
      <c r="G587" s="2" t="s">
        <v>4944</v>
      </c>
      <c r="H587" s="2" t="s">
        <v>5084</v>
      </c>
      <c r="I587" s="3" t="s">
        <v>2166</v>
      </c>
      <c r="J587" s="3" t="s">
        <v>2323</v>
      </c>
      <c r="K587" s="3" t="s">
        <v>2324</v>
      </c>
      <c r="L587" s="3" t="s">
        <v>19</v>
      </c>
      <c r="M587" s="3" t="s">
        <v>1985</v>
      </c>
      <c r="N587" s="2">
        <v>380</v>
      </c>
      <c r="O587" s="3" t="s">
        <v>244</v>
      </c>
      <c r="P587" s="3" t="s">
        <v>1986</v>
      </c>
      <c r="Q587" s="2" t="s">
        <v>5982</v>
      </c>
      <c r="R587" s="3" t="s">
        <v>2325</v>
      </c>
    </row>
    <row r="588" spans="1:18" x14ac:dyDescent="0.25">
      <c r="A588" s="2">
        <v>31838</v>
      </c>
      <c r="B588" s="3" t="s">
        <v>2326</v>
      </c>
      <c r="C588" s="2" t="s">
        <v>4171</v>
      </c>
      <c r="D588" s="2" t="s">
        <v>19</v>
      </c>
      <c r="E588" s="3" t="s">
        <v>1718</v>
      </c>
      <c r="F588" s="3" t="s">
        <v>1961</v>
      </c>
      <c r="G588" s="2" t="s">
        <v>5019</v>
      </c>
      <c r="H588" s="2" t="s">
        <v>5085</v>
      </c>
      <c r="I588" s="3" t="s">
        <v>2327</v>
      </c>
      <c r="J588" s="3" t="s">
        <v>2328</v>
      </c>
      <c r="K588" s="3" t="s">
        <v>2329</v>
      </c>
      <c r="L588" s="3" t="s">
        <v>19</v>
      </c>
      <c r="M588" s="3" t="s">
        <v>1969</v>
      </c>
      <c r="N588" s="2">
        <v>380</v>
      </c>
      <c r="O588" s="3" t="s">
        <v>271</v>
      </c>
      <c r="P588" s="3" t="s">
        <v>97</v>
      </c>
      <c r="Q588" s="2" t="s">
        <v>5983</v>
      </c>
      <c r="R588" s="3" t="s">
        <v>2330</v>
      </c>
    </row>
    <row r="589" spans="1:18" x14ac:dyDescent="0.25">
      <c r="A589" s="2">
        <v>15876</v>
      </c>
      <c r="B589" s="3" t="s">
        <v>2331</v>
      </c>
      <c r="C589" s="2" t="s">
        <v>4172</v>
      </c>
      <c r="D589" s="2" t="s">
        <v>19</v>
      </c>
      <c r="E589" s="3" t="s">
        <v>1718</v>
      </c>
      <c r="F589" s="3" t="s">
        <v>1961</v>
      </c>
      <c r="G589" s="2" t="s">
        <v>5000</v>
      </c>
      <c r="H589" s="2" t="s">
        <v>5086</v>
      </c>
      <c r="I589" s="3" t="s">
        <v>2332</v>
      </c>
      <c r="J589" s="3" t="s">
        <v>138</v>
      </c>
      <c r="K589" s="3" t="s">
        <v>2333</v>
      </c>
      <c r="L589" s="3" t="s">
        <v>19</v>
      </c>
      <c r="M589" s="3" t="s">
        <v>1969</v>
      </c>
      <c r="N589" s="2">
        <v>380</v>
      </c>
      <c r="O589" s="3" t="s">
        <v>271</v>
      </c>
      <c r="P589" s="3" t="s">
        <v>97</v>
      </c>
      <c r="Q589" s="2" t="s">
        <v>5984</v>
      </c>
      <c r="R589" s="3" t="s">
        <v>2334</v>
      </c>
    </row>
    <row r="590" spans="1:18" x14ac:dyDescent="0.25">
      <c r="A590" s="2">
        <v>39361</v>
      </c>
      <c r="B590" s="3" t="s">
        <v>2335</v>
      </c>
      <c r="C590" s="2" t="s">
        <v>4173</v>
      </c>
      <c r="D590" s="2" t="s">
        <v>19</v>
      </c>
      <c r="E590" s="3" t="s">
        <v>1718</v>
      </c>
      <c r="F590" s="3" t="s">
        <v>1961</v>
      </c>
      <c r="G590" s="2" t="s">
        <v>4992</v>
      </c>
      <c r="H590" s="2" t="s">
        <v>5087</v>
      </c>
      <c r="I590" s="3" t="s">
        <v>2095</v>
      </c>
      <c r="J590" s="3" t="s">
        <v>138</v>
      </c>
      <c r="K590" s="3" t="s">
        <v>2336</v>
      </c>
      <c r="L590" s="3" t="s">
        <v>19</v>
      </c>
      <c r="M590" s="3" t="s">
        <v>1969</v>
      </c>
      <c r="N590" s="2">
        <v>380</v>
      </c>
      <c r="O590" s="3" t="s">
        <v>271</v>
      </c>
      <c r="P590" s="3" t="s">
        <v>97</v>
      </c>
      <c r="Q590" s="2" t="s">
        <v>5985</v>
      </c>
      <c r="R590" s="3" t="s">
        <v>2337</v>
      </c>
    </row>
    <row r="591" spans="1:18" x14ac:dyDescent="0.25">
      <c r="A591" s="2">
        <v>8648</v>
      </c>
      <c r="B591" s="3" t="s">
        <v>2338</v>
      </c>
      <c r="C591" s="2" t="s">
        <v>4174</v>
      </c>
      <c r="D591" s="2" t="s">
        <v>19</v>
      </c>
      <c r="E591" s="3" t="s">
        <v>1718</v>
      </c>
      <c r="F591" s="3" t="s">
        <v>1961</v>
      </c>
      <c r="G591" s="2" t="s">
        <v>4984</v>
      </c>
      <c r="H591" s="2" t="s">
        <v>5088</v>
      </c>
      <c r="I591" s="3" t="s">
        <v>2339</v>
      </c>
      <c r="J591" s="3" t="s">
        <v>138</v>
      </c>
      <c r="K591" s="3" t="s">
        <v>2340</v>
      </c>
      <c r="L591" s="3" t="s">
        <v>19</v>
      </c>
      <c r="M591" s="3" t="s">
        <v>1969</v>
      </c>
      <c r="N591" s="2">
        <v>380</v>
      </c>
      <c r="O591" s="3" t="s">
        <v>271</v>
      </c>
      <c r="P591" s="3" t="s">
        <v>97</v>
      </c>
      <c r="Q591" s="2" t="s">
        <v>5986</v>
      </c>
      <c r="R591" s="3" t="s">
        <v>2341</v>
      </c>
    </row>
    <row r="592" spans="1:18" x14ac:dyDescent="0.25">
      <c r="A592" s="2">
        <v>1519</v>
      </c>
      <c r="B592" s="3" t="s">
        <v>2342</v>
      </c>
      <c r="C592" s="2" t="s">
        <v>4175</v>
      </c>
      <c r="D592" s="2" t="s">
        <v>19</v>
      </c>
      <c r="E592" s="3" t="s">
        <v>1718</v>
      </c>
      <c r="F592" s="3" t="s">
        <v>1961</v>
      </c>
      <c r="G592" s="2" t="s">
        <v>5019</v>
      </c>
      <c r="H592" s="2" t="s">
        <v>5089</v>
      </c>
      <c r="I592" s="3" t="s">
        <v>2223</v>
      </c>
      <c r="J592" s="3" t="s">
        <v>1550</v>
      </c>
      <c r="K592" s="3" t="s">
        <v>2343</v>
      </c>
      <c r="L592" s="3" t="s">
        <v>19</v>
      </c>
      <c r="M592" s="3" t="s">
        <v>1969</v>
      </c>
      <c r="N592" s="2">
        <v>380</v>
      </c>
      <c r="O592" s="3" t="s">
        <v>271</v>
      </c>
      <c r="P592" s="3" t="s">
        <v>97</v>
      </c>
      <c r="Q592" s="2" t="s">
        <v>5987</v>
      </c>
      <c r="R592" s="3" t="s">
        <v>2344</v>
      </c>
    </row>
    <row r="593" spans="1:18" x14ac:dyDescent="0.25">
      <c r="A593" s="2">
        <v>15217</v>
      </c>
      <c r="B593" s="3" t="s">
        <v>2345</v>
      </c>
      <c r="C593" s="2" t="s">
        <v>4176</v>
      </c>
      <c r="D593" s="2" t="s">
        <v>19</v>
      </c>
      <c r="E593" s="3" t="s">
        <v>1718</v>
      </c>
      <c r="F593" s="3" t="s">
        <v>1961</v>
      </c>
      <c r="G593" s="2" t="s">
        <v>4984</v>
      </c>
      <c r="H593" s="2" t="s">
        <v>5090</v>
      </c>
      <c r="I593" s="3" t="s">
        <v>1967</v>
      </c>
      <c r="J593" s="3" t="s">
        <v>138</v>
      </c>
      <c r="K593" s="3" t="s">
        <v>2346</v>
      </c>
      <c r="L593" s="3" t="s">
        <v>19</v>
      </c>
      <c r="M593" s="3" t="s">
        <v>1969</v>
      </c>
      <c r="N593" s="2">
        <v>380</v>
      </c>
      <c r="O593" s="3" t="s">
        <v>271</v>
      </c>
      <c r="P593" s="3" t="s">
        <v>97</v>
      </c>
      <c r="Q593" s="2" t="s">
        <v>5988</v>
      </c>
      <c r="R593" s="3" t="s">
        <v>2347</v>
      </c>
    </row>
    <row r="594" spans="1:18" x14ac:dyDescent="0.25">
      <c r="A594" s="2">
        <v>14058</v>
      </c>
      <c r="B594" s="3" t="s">
        <v>2348</v>
      </c>
      <c r="C594" s="2" t="s">
        <v>4177</v>
      </c>
      <c r="D594" s="2" t="s">
        <v>19</v>
      </c>
      <c r="E594" s="3" t="s">
        <v>1718</v>
      </c>
      <c r="F594" s="3" t="s">
        <v>1961</v>
      </c>
      <c r="G594" s="2" t="s">
        <v>4992</v>
      </c>
      <c r="H594" s="2" t="s">
        <v>5091</v>
      </c>
      <c r="I594" s="3" t="s">
        <v>2349</v>
      </c>
      <c r="J594" s="3" t="s">
        <v>138</v>
      </c>
      <c r="K594" s="3" t="s">
        <v>2350</v>
      </c>
      <c r="L594" s="3" t="s">
        <v>19</v>
      </c>
      <c r="M594" s="3" t="s">
        <v>1969</v>
      </c>
      <c r="N594" s="2">
        <v>380</v>
      </c>
      <c r="O594" s="3" t="s">
        <v>271</v>
      </c>
      <c r="P594" s="3" t="s">
        <v>97</v>
      </c>
      <c r="Q594" s="2" t="s">
        <v>5989</v>
      </c>
      <c r="R594" s="3" t="s">
        <v>2351</v>
      </c>
    </row>
    <row r="595" spans="1:18" x14ac:dyDescent="0.25">
      <c r="A595" s="2">
        <v>21324</v>
      </c>
      <c r="B595" s="3" t="s">
        <v>2352</v>
      </c>
      <c r="C595" s="2" t="s">
        <v>4178</v>
      </c>
      <c r="D595" s="2" t="s">
        <v>19</v>
      </c>
      <c r="E595" s="3" t="s">
        <v>1718</v>
      </c>
      <c r="F595" s="3" t="s">
        <v>1961</v>
      </c>
      <c r="G595" s="2" t="s">
        <v>5000</v>
      </c>
      <c r="H595" s="2" t="s">
        <v>5092</v>
      </c>
      <c r="I595" s="3" t="s">
        <v>2353</v>
      </c>
      <c r="J595" s="3" t="s">
        <v>2354</v>
      </c>
      <c r="K595" s="3" t="s">
        <v>2355</v>
      </c>
      <c r="L595" s="3" t="s">
        <v>19</v>
      </c>
      <c r="M595" s="3" t="s">
        <v>1969</v>
      </c>
      <c r="N595" s="2">
        <v>380</v>
      </c>
      <c r="O595" s="3" t="s">
        <v>271</v>
      </c>
      <c r="P595" s="3" t="s">
        <v>97</v>
      </c>
      <c r="Q595" s="2" t="s">
        <v>5990</v>
      </c>
      <c r="R595" s="3" t="s">
        <v>2356</v>
      </c>
    </row>
    <row r="596" spans="1:18" x14ac:dyDescent="0.25">
      <c r="A596" s="2">
        <v>25673</v>
      </c>
      <c r="B596" s="3" t="s">
        <v>2357</v>
      </c>
      <c r="C596" s="2" t="s">
        <v>4179</v>
      </c>
      <c r="D596" s="2" t="s">
        <v>19</v>
      </c>
      <c r="E596" s="3" t="s">
        <v>1718</v>
      </c>
      <c r="F596" s="3" t="s">
        <v>1961</v>
      </c>
      <c r="G596" s="2" t="s">
        <v>5000</v>
      </c>
      <c r="H596" s="2" t="s">
        <v>5093</v>
      </c>
      <c r="I596" s="3" t="s">
        <v>2067</v>
      </c>
      <c r="J596" s="3" t="s">
        <v>138</v>
      </c>
      <c r="K596" s="3" t="s">
        <v>2069</v>
      </c>
      <c r="L596" s="3" t="s">
        <v>19</v>
      </c>
      <c r="M596" s="3" t="s">
        <v>1969</v>
      </c>
      <c r="N596" s="2">
        <v>380</v>
      </c>
      <c r="O596" s="3" t="s">
        <v>271</v>
      </c>
      <c r="P596" s="3" t="s">
        <v>97</v>
      </c>
      <c r="Q596" s="2" t="s">
        <v>5991</v>
      </c>
      <c r="R596" s="3" t="s">
        <v>2358</v>
      </c>
    </row>
    <row r="597" spans="1:18" x14ac:dyDescent="0.25">
      <c r="A597" s="2">
        <v>10823</v>
      </c>
      <c r="B597" s="3" t="s">
        <v>2359</v>
      </c>
      <c r="C597" s="2" t="s">
        <v>4180</v>
      </c>
      <c r="D597" s="2" t="s">
        <v>19</v>
      </c>
      <c r="E597" s="3" t="s">
        <v>1718</v>
      </c>
      <c r="F597" s="3" t="s">
        <v>1961</v>
      </c>
      <c r="G597" s="2" t="s">
        <v>5019</v>
      </c>
      <c r="H597" s="2" t="s">
        <v>5094</v>
      </c>
      <c r="I597" s="3" t="s">
        <v>2223</v>
      </c>
      <c r="J597" s="3" t="s">
        <v>138</v>
      </c>
      <c r="K597" s="3" t="s">
        <v>2224</v>
      </c>
      <c r="L597" s="3" t="s">
        <v>19</v>
      </c>
      <c r="M597" s="3" t="s">
        <v>1969</v>
      </c>
      <c r="N597" s="2">
        <v>380</v>
      </c>
      <c r="O597" s="3" t="s">
        <v>271</v>
      </c>
      <c r="P597" s="3" t="s">
        <v>97</v>
      </c>
      <c r="Q597" s="2" t="s">
        <v>5992</v>
      </c>
      <c r="R597" s="3" t="s">
        <v>2360</v>
      </c>
    </row>
    <row r="598" spans="1:18" x14ac:dyDescent="0.25">
      <c r="A598" s="2">
        <v>14471</v>
      </c>
      <c r="B598" s="3" t="s">
        <v>2361</v>
      </c>
      <c r="C598" s="2" t="s">
        <v>4181</v>
      </c>
      <c r="D598" s="2" t="s">
        <v>19</v>
      </c>
      <c r="E598" s="3" t="s">
        <v>1718</v>
      </c>
      <c r="F598" s="3" t="s">
        <v>1961</v>
      </c>
      <c r="G598" s="2" t="s">
        <v>4984</v>
      </c>
      <c r="H598" s="2" t="s">
        <v>5095</v>
      </c>
      <c r="I598" s="3" t="s">
        <v>2362</v>
      </c>
      <c r="J598" s="3" t="s">
        <v>138</v>
      </c>
      <c r="K598" s="3" t="s">
        <v>2363</v>
      </c>
      <c r="L598" s="3" t="s">
        <v>19</v>
      </c>
      <c r="M598" s="3" t="s">
        <v>1969</v>
      </c>
      <c r="N598" s="2">
        <v>380</v>
      </c>
      <c r="O598" s="3" t="s">
        <v>271</v>
      </c>
      <c r="P598" s="3" t="s">
        <v>97</v>
      </c>
      <c r="Q598" s="2" t="s">
        <v>5993</v>
      </c>
      <c r="R598" s="3" t="s">
        <v>2364</v>
      </c>
    </row>
    <row r="599" spans="1:18" x14ac:dyDescent="0.25">
      <c r="A599" s="2">
        <v>22527</v>
      </c>
      <c r="B599" s="3" t="s">
        <v>2365</v>
      </c>
      <c r="C599" s="2" t="s">
        <v>4182</v>
      </c>
      <c r="D599" s="2" t="s">
        <v>19</v>
      </c>
      <c r="E599" s="3" t="s">
        <v>1718</v>
      </c>
      <c r="F599" s="3" t="s">
        <v>1961</v>
      </c>
      <c r="G599" s="2" t="s">
        <v>4984</v>
      </c>
      <c r="H599" s="2" t="s">
        <v>5096</v>
      </c>
      <c r="I599" s="3" t="s">
        <v>2366</v>
      </c>
      <c r="J599" s="3" t="s">
        <v>138</v>
      </c>
      <c r="K599" s="3" t="s">
        <v>2367</v>
      </c>
      <c r="L599" s="3" t="s">
        <v>19</v>
      </c>
      <c r="M599" s="3" t="s">
        <v>1969</v>
      </c>
      <c r="N599" s="2">
        <v>380</v>
      </c>
      <c r="O599" s="3" t="s">
        <v>271</v>
      </c>
      <c r="P599" s="3" t="s">
        <v>97</v>
      </c>
      <c r="Q599" s="2" t="s">
        <v>5994</v>
      </c>
      <c r="R599" s="3" t="s">
        <v>2368</v>
      </c>
    </row>
    <row r="600" spans="1:18" x14ac:dyDescent="0.25">
      <c r="A600" s="2">
        <v>19636</v>
      </c>
      <c r="B600" s="3" t="s">
        <v>2369</v>
      </c>
      <c r="C600" s="2" t="s">
        <v>4183</v>
      </c>
      <c r="D600" s="2" t="s">
        <v>19</v>
      </c>
      <c r="E600" s="3" t="s">
        <v>1718</v>
      </c>
      <c r="F600" s="3" t="s">
        <v>1961</v>
      </c>
      <c r="G600" s="2" t="s">
        <v>5000</v>
      </c>
      <c r="H600" s="2" t="s">
        <v>5097</v>
      </c>
      <c r="I600" s="3" t="s">
        <v>2370</v>
      </c>
      <c r="J600" s="3" t="s">
        <v>138</v>
      </c>
      <c r="K600" s="3" t="s">
        <v>2371</v>
      </c>
      <c r="L600" s="3" t="s">
        <v>19</v>
      </c>
      <c r="M600" s="3" t="s">
        <v>1969</v>
      </c>
      <c r="N600" s="2">
        <v>380</v>
      </c>
      <c r="O600" s="3" t="s">
        <v>96</v>
      </c>
      <c r="P600" s="3" t="s">
        <v>97</v>
      </c>
      <c r="Q600" s="2" t="s">
        <v>5995</v>
      </c>
      <c r="R600" s="3" t="s">
        <v>2372</v>
      </c>
    </row>
    <row r="601" spans="1:18" x14ac:dyDescent="0.25">
      <c r="A601" s="2">
        <v>35044</v>
      </c>
      <c r="B601" s="3" t="s">
        <v>2373</v>
      </c>
      <c r="C601" s="2" t="s">
        <v>4184</v>
      </c>
      <c r="D601" s="2" t="s">
        <v>2378</v>
      </c>
      <c r="E601" s="3" t="s">
        <v>1718</v>
      </c>
      <c r="F601" s="3" t="s">
        <v>2374</v>
      </c>
      <c r="G601" s="2" t="s">
        <v>5098</v>
      </c>
      <c r="H601" s="2" t="s">
        <v>5099</v>
      </c>
      <c r="I601" s="3" t="s">
        <v>2375</v>
      </c>
      <c r="J601" s="3" t="s">
        <v>2376</v>
      </c>
      <c r="K601" s="3" t="s">
        <v>2377</v>
      </c>
      <c r="L601" s="3" t="s">
        <v>2378</v>
      </c>
      <c r="M601" s="3" t="s">
        <v>20</v>
      </c>
      <c r="N601" s="2">
        <v>417</v>
      </c>
      <c r="O601" s="3" t="s">
        <v>21</v>
      </c>
      <c r="P601" s="3" t="s">
        <v>22</v>
      </c>
      <c r="Q601" s="2" t="s">
        <v>5996</v>
      </c>
      <c r="R601" s="3" t="s">
        <v>2379</v>
      </c>
    </row>
    <row r="602" spans="1:18" x14ac:dyDescent="0.25">
      <c r="A602" s="2">
        <v>14799</v>
      </c>
      <c r="B602" s="3" t="s">
        <v>2380</v>
      </c>
      <c r="C602" s="2" t="s">
        <v>4185</v>
      </c>
      <c r="D602" s="2" t="s">
        <v>19</v>
      </c>
      <c r="E602" s="3" t="s">
        <v>1718</v>
      </c>
      <c r="F602" s="3" t="s">
        <v>2374</v>
      </c>
      <c r="G602" s="2" t="s">
        <v>4919</v>
      </c>
      <c r="H602" s="2" t="s">
        <v>5100</v>
      </c>
      <c r="I602" s="3" t="s">
        <v>2381</v>
      </c>
      <c r="J602" s="3" t="s">
        <v>138</v>
      </c>
      <c r="K602" s="3" t="s">
        <v>2382</v>
      </c>
      <c r="L602" s="3" t="s">
        <v>19</v>
      </c>
      <c r="M602" s="3" t="s">
        <v>1969</v>
      </c>
      <c r="N602" s="2">
        <v>417</v>
      </c>
      <c r="O602" s="3" t="s">
        <v>96</v>
      </c>
      <c r="P602" s="3" t="s">
        <v>97</v>
      </c>
      <c r="Q602" s="2" t="s">
        <v>5997</v>
      </c>
      <c r="R602" s="3" t="s">
        <v>2383</v>
      </c>
    </row>
    <row r="603" spans="1:18" x14ac:dyDescent="0.25">
      <c r="A603" s="2">
        <v>13456</v>
      </c>
      <c r="B603" s="3" t="s">
        <v>2384</v>
      </c>
      <c r="C603" s="2" t="s">
        <v>4186</v>
      </c>
      <c r="D603" s="2" t="s">
        <v>2378</v>
      </c>
      <c r="E603" s="3" t="s">
        <v>1718</v>
      </c>
      <c r="F603" s="3" t="s">
        <v>2374</v>
      </c>
      <c r="G603" s="2" t="s">
        <v>5101</v>
      </c>
      <c r="H603" s="2" t="s">
        <v>5102</v>
      </c>
      <c r="I603" s="3" t="s">
        <v>2375</v>
      </c>
      <c r="J603" s="3" t="s">
        <v>2385</v>
      </c>
      <c r="K603" s="3" t="s">
        <v>2386</v>
      </c>
      <c r="L603" s="3" t="s">
        <v>2378</v>
      </c>
      <c r="M603" s="3" t="s">
        <v>20</v>
      </c>
      <c r="N603" s="2">
        <v>417</v>
      </c>
      <c r="O603" s="3" t="s">
        <v>21</v>
      </c>
      <c r="P603" s="3" t="s">
        <v>22</v>
      </c>
      <c r="Q603" s="2" t="s">
        <v>5998</v>
      </c>
      <c r="R603" s="3" t="s">
        <v>2387</v>
      </c>
    </row>
    <row r="604" spans="1:18" x14ac:dyDescent="0.25">
      <c r="A604" s="2">
        <v>18119</v>
      </c>
      <c r="B604" s="3" t="s">
        <v>2388</v>
      </c>
      <c r="C604" s="2" t="s">
        <v>4187</v>
      </c>
      <c r="D604" s="2" t="s">
        <v>2378</v>
      </c>
      <c r="E604" s="3" t="s">
        <v>1718</v>
      </c>
      <c r="F604" s="3" t="s">
        <v>2374</v>
      </c>
      <c r="G604" s="2" t="s">
        <v>4936</v>
      </c>
      <c r="H604" s="2" t="s">
        <v>5103</v>
      </c>
      <c r="I604" s="3" t="s">
        <v>2389</v>
      </c>
      <c r="J604" s="3" t="s">
        <v>138</v>
      </c>
      <c r="K604" s="3" t="s">
        <v>2390</v>
      </c>
      <c r="L604" s="3" t="s">
        <v>2378</v>
      </c>
      <c r="M604" s="3" t="s">
        <v>1969</v>
      </c>
      <c r="N604" s="2">
        <v>417</v>
      </c>
      <c r="O604" s="3" t="s">
        <v>96</v>
      </c>
      <c r="P604" s="3" t="s">
        <v>97</v>
      </c>
      <c r="Q604" s="2" t="s">
        <v>5999</v>
      </c>
      <c r="R604" s="3" t="s">
        <v>2391</v>
      </c>
    </row>
    <row r="605" spans="1:18" x14ac:dyDescent="0.25">
      <c r="A605" s="2">
        <v>5008</v>
      </c>
      <c r="B605" s="3" t="s">
        <v>2392</v>
      </c>
      <c r="C605" s="2" t="s">
        <v>4188</v>
      </c>
      <c r="D605" s="2" t="s">
        <v>19</v>
      </c>
      <c r="E605" s="3" t="s">
        <v>1718</v>
      </c>
      <c r="F605" s="3" t="s">
        <v>2374</v>
      </c>
      <c r="G605" s="2" t="s">
        <v>4919</v>
      </c>
      <c r="H605" s="2" t="s">
        <v>5104</v>
      </c>
      <c r="I605" s="3" t="s">
        <v>2393</v>
      </c>
      <c r="J605" s="3" t="s">
        <v>2394</v>
      </c>
      <c r="K605" s="3" t="s">
        <v>2395</v>
      </c>
      <c r="L605" s="3" t="s">
        <v>19</v>
      </c>
      <c r="M605" s="3" t="s">
        <v>1985</v>
      </c>
      <c r="N605" s="2">
        <v>417</v>
      </c>
      <c r="O605" s="3" t="s">
        <v>244</v>
      </c>
      <c r="P605" s="3" t="s">
        <v>1986</v>
      </c>
      <c r="Q605" s="2" t="s">
        <v>6000</v>
      </c>
      <c r="R605" s="3" t="s">
        <v>2396</v>
      </c>
    </row>
    <row r="606" spans="1:18" x14ac:dyDescent="0.25">
      <c r="A606" s="2">
        <v>15328</v>
      </c>
      <c r="B606" s="3" t="s">
        <v>2397</v>
      </c>
      <c r="C606" s="2" t="s">
        <v>4189</v>
      </c>
      <c r="D606" s="2" t="s">
        <v>19</v>
      </c>
      <c r="E606" s="3" t="s">
        <v>1718</v>
      </c>
      <c r="F606" s="3" t="s">
        <v>2374</v>
      </c>
      <c r="G606" s="2" t="s">
        <v>5105</v>
      </c>
      <c r="H606" s="2" t="s">
        <v>5106</v>
      </c>
      <c r="I606" s="3" t="s">
        <v>2398</v>
      </c>
      <c r="J606" s="3" t="s">
        <v>138</v>
      </c>
      <c r="K606" s="3" t="s">
        <v>2399</v>
      </c>
      <c r="L606" s="3" t="s">
        <v>19</v>
      </c>
      <c r="M606" s="3" t="s">
        <v>1969</v>
      </c>
      <c r="N606" s="2">
        <v>417</v>
      </c>
      <c r="O606" s="3" t="s">
        <v>96</v>
      </c>
      <c r="P606" s="3" t="s">
        <v>97</v>
      </c>
      <c r="Q606" s="2" t="s">
        <v>6001</v>
      </c>
      <c r="R606" s="3" t="s">
        <v>2400</v>
      </c>
    </row>
    <row r="607" spans="1:18" x14ac:dyDescent="0.25">
      <c r="A607" s="2">
        <v>37172</v>
      </c>
      <c r="B607" s="3" t="s">
        <v>2401</v>
      </c>
      <c r="C607" s="2" t="s">
        <v>4190</v>
      </c>
      <c r="D607" s="2" t="s">
        <v>2378</v>
      </c>
      <c r="E607" s="3" t="s">
        <v>1718</v>
      </c>
      <c r="F607" s="3" t="s">
        <v>2374</v>
      </c>
      <c r="G607" s="2" t="s">
        <v>4936</v>
      </c>
      <c r="H607" s="2" t="s">
        <v>5107</v>
      </c>
      <c r="I607" s="3" t="s">
        <v>2375</v>
      </c>
      <c r="J607" s="3" t="s">
        <v>1907</v>
      </c>
      <c r="K607" s="3" t="s">
        <v>2402</v>
      </c>
      <c r="L607" s="3" t="s">
        <v>2378</v>
      </c>
      <c r="M607" s="3" t="s">
        <v>20</v>
      </c>
      <c r="N607" s="2">
        <v>417</v>
      </c>
      <c r="O607" s="3" t="s">
        <v>21</v>
      </c>
      <c r="P607" s="3" t="s">
        <v>22</v>
      </c>
      <c r="Q607" s="2" t="s">
        <v>6002</v>
      </c>
      <c r="R607" s="3" t="s">
        <v>2403</v>
      </c>
    </row>
    <row r="608" spans="1:18" x14ac:dyDescent="0.25">
      <c r="A608" s="2">
        <v>15247</v>
      </c>
      <c r="B608" s="3" t="s">
        <v>2404</v>
      </c>
      <c r="C608" s="2" t="s">
        <v>4191</v>
      </c>
      <c r="D608" s="2" t="s">
        <v>19</v>
      </c>
      <c r="E608" s="3" t="s">
        <v>1718</v>
      </c>
      <c r="F608" s="3" t="s">
        <v>2374</v>
      </c>
      <c r="G608" s="2" t="s">
        <v>4919</v>
      </c>
      <c r="H608" s="2" t="s">
        <v>5108</v>
      </c>
      <c r="I608" s="3" t="s">
        <v>2405</v>
      </c>
      <c r="J608" s="3" t="s">
        <v>138</v>
      </c>
      <c r="K608" s="3" t="s">
        <v>2406</v>
      </c>
      <c r="L608" s="3" t="s">
        <v>19</v>
      </c>
      <c r="M608" s="3" t="s">
        <v>1969</v>
      </c>
      <c r="N608" s="2">
        <v>417</v>
      </c>
      <c r="O608" s="3" t="s">
        <v>96</v>
      </c>
      <c r="P608" s="3" t="s">
        <v>97</v>
      </c>
      <c r="Q608" s="2" t="s">
        <v>6003</v>
      </c>
      <c r="R608" s="3" t="s">
        <v>2407</v>
      </c>
    </row>
    <row r="609" spans="1:18" x14ac:dyDescent="0.25">
      <c r="A609" s="2">
        <v>17088</v>
      </c>
      <c r="B609" s="3" t="s">
        <v>2408</v>
      </c>
      <c r="C609" s="2" t="s">
        <v>4192</v>
      </c>
      <c r="D609" s="2" t="s">
        <v>2378</v>
      </c>
      <c r="E609" s="3" t="s">
        <v>1718</v>
      </c>
      <c r="F609" s="3" t="s">
        <v>2374</v>
      </c>
      <c r="G609" s="2" t="s">
        <v>5101</v>
      </c>
      <c r="H609" s="2" t="s">
        <v>5109</v>
      </c>
      <c r="I609" s="3" t="s">
        <v>2375</v>
      </c>
      <c r="J609" s="3" t="s">
        <v>138</v>
      </c>
      <c r="K609" s="3" t="s">
        <v>2409</v>
      </c>
      <c r="L609" s="3" t="s">
        <v>2378</v>
      </c>
      <c r="M609" s="3" t="s">
        <v>20</v>
      </c>
      <c r="N609" s="2">
        <v>417</v>
      </c>
      <c r="O609" s="3" t="s">
        <v>21</v>
      </c>
      <c r="P609" s="3" t="s">
        <v>22</v>
      </c>
      <c r="Q609" s="2" t="s">
        <v>6004</v>
      </c>
      <c r="R609" s="3" t="s">
        <v>2410</v>
      </c>
    </row>
    <row r="610" spans="1:18" x14ac:dyDescent="0.25">
      <c r="A610" s="2">
        <v>18079</v>
      </c>
      <c r="B610" s="3" t="s">
        <v>2411</v>
      </c>
      <c r="C610" s="2" t="s">
        <v>4193</v>
      </c>
      <c r="D610" s="2" t="s">
        <v>2378</v>
      </c>
      <c r="E610" s="3" t="s">
        <v>1718</v>
      </c>
      <c r="F610" s="3" t="s">
        <v>2374</v>
      </c>
      <c r="G610" s="2" t="s">
        <v>5098</v>
      </c>
      <c r="H610" s="2" t="s">
        <v>5110</v>
      </c>
      <c r="I610" s="3" t="s">
        <v>2375</v>
      </c>
      <c r="J610" s="3" t="s">
        <v>2412</v>
      </c>
      <c r="K610" s="3" t="s">
        <v>2413</v>
      </c>
      <c r="L610" s="3" t="s">
        <v>2378</v>
      </c>
      <c r="M610" s="3" t="s">
        <v>20</v>
      </c>
      <c r="N610" s="2">
        <v>417</v>
      </c>
      <c r="O610" s="3" t="s">
        <v>21</v>
      </c>
      <c r="P610" s="3" t="s">
        <v>22</v>
      </c>
      <c r="Q610" s="2" t="s">
        <v>6005</v>
      </c>
      <c r="R610" s="3" t="s">
        <v>2414</v>
      </c>
    </row>
    <row r="611" spans="1:18" x14ac:dyDescent="0.25">
      <c r="A611" s="2">
        <v>21104</v>
      </c>
      <c r="B611" s="3" t="s">
        <v>2415</v>
      </c>
      <c r="C611" s="2" t="s">
        <v>4194</v>
      </c>
      <c r="D611" s="2" t="s">
        <v>19</v>
      </c>
      <c r="E611" s="3" t="s">
        <v>1718</v>
      </c>
      <c r="F611" s="3" t="s">
        <v>2374</v>
      </c>
      <c r="G611" s="2" t="s">
        <v>4919</v>
      </c>
      <c r="H611" s="2" t="s">
        <v>5111</v>
      </c>
      <c r="I611" s="3" t="s">
        <v>2416</v>
      </c>
      <c r="J611" s="3" t="s">
        <v>138</v>
      </c>
      <c r="K611" s="3" t="s">
        <v>2417</v>
      </c>
      <c r="L611" s="3" t="s">
        <v>19</v>
      </c>
      <c r="M611" s="3" t="s">
        <v>1969</v>
      </c>
      <c r="N611" s="2">
        <v>417</v>
      </c>
      <c r="O611" s="3" t="s">
        <v>96</v>
      </c>
      <c r="P611" s="3" t="s">
        <v>97</v>
      </c>
      <c r="Q611" s="2" t="s">
        <v>6006</v>
      </c>
      <c r="R611" s="3" t="s">
        <v>2418</v>
      </c>
    </row>
    <row r="612" spans="1:18" x14ac:dyDescent="0.25">
      <c r="A612" s="2">
        <v>6991</v>
      </c>
      <c r="B612" s="3" t="s">
        <v>2419</v>
      </c>
      <c r="C612" s="2" t="s">
        <v>4195</v>
      </c>
      <c r="D612" s="2" t="s">
        <v>19</v>
      </c>
      <c r="E612" s="3" t="s">
        <v>1718</v>
      </c>
      <c r="F612" s="3" t="s">
        <v>2374</v>
      </c>
      <c r="G612" s="2" t="s">
        <v>5105</v>
      </c>
      <c r="H612" s="2" t="s">
        <v>5112</v>
      </c>
      <c r="I612" s="3" t="s">
        <v>2420</v>
      </c>
      <c r="J612" s="3" t="s">
        <v>138</v>
      </c>
      <c r="K612" s="3" t="s">
        <v>2421</v>
      </c>
      <c r="L612" s="3" t="s">
        <v>19</v>
      </c>
      <c r="M612" s="3" t="s">
        <v>1969</v>
      </c>
      <c r="N612" s="2">
        <v>417</v>
      </c>
      <c r="O612" s="3" t="s">
        <v>96</v>
      </c>
      <c r="P612" s="3" t="s">
        <v>97</v>
      </c>
      <c r="Q612" s="2" t="s">
        <v>6007</v>
      </c>
      <c r="R612" s="3" t="s">
        <v>2422</v>
      </c>
    </row>
    <row r="613" spans="1:18" x14ac:dyDescent="0.25">
      <c r="A613" s="2">
        <v>22430</v>
      </c>
      <c r="B613" s="3" t="s">
        <v>2423</v>
      </c>
      <c r="C613" s="2" t="s">
        <v>4196</v>
      </c>
      <c r="D613" s="2" t="s">
        <v>19</v>
      </c>
      <c r="E613" s="3" t="s">
        <v>1718</v>
      </c>
      <c r="F613" s="3" t="s">
        <v>2374</v>
      </c>
      <c r="G613" s="2" t="s">
        <v>5105</v>
      </c>
      <c r="H613" s="2" t="s">
        <v>5113</v>
      </c>
      <c r="I613" s="3" t="s">
        <v>2424</v>
      </c>
      <c r="J613" s="3" t="s">
        <v>2425</v>
      </c>
      <c r="K613" s="3" t="s">
        <v>2426</v>
      </c>
      <c r="L613" s="3" t="s">
        <v>19</v>
      </c>
      <c r="M613" s="3" t="s">
        <v>1969</v>
      </c>
      <c r="N613" s="2">
        <v>417</v>
      </c>
      <c r="O613" s="3" t="s">
        <v>96</v>
      </c>
      <c r="P613" s="3" t="s">
        <v>97</v>
      </c>
      <c r="Q613" s="2" t="s">
        <v>6008</v>
      </c>
      <c r="R613" s="3" t="s">
        <v>2427</v>
      </c>
    </row>
    <row r="614" spans="1:18" x14ac:dyDescent="0.25">
      <c r="A614" s="2">
        <v>57925</v>
      </c>
      <c r="B614" s="3" t="s">
        <v>2428</v>
      </c>
      <c r="C614" s="2" t="s">
        <v>4197</v>
      </c>
      <c r="D614" s="2" t="s">
        <v>2378</v>
      </c>
      <c r="E614" s="3" t="s">
        <v>1718</v>
      </c>
      <c r="F614" s="3" t="s">
        <v>2374</v>
      </c>
      <c r="G614" s="2" t="s">
        <v>5098</v>
      </c>
      <c r="H614" s="2" t="s">
        <v>5114</v>
      </c>
      <c r="I614" s="3" t="s">
        <v>2429</v>
      </c>
      <c r="J614" s="3" t="s">
        <v>2430</v>
      </c>
      <c r="K614" s="3" t="s">
        <v>2431</v>
      </c>
      <c r="L614" s="3" t="s">
        <v>2378</v>
      </c>
      <c r="M614" s="3" t="s">
        <v>1969</v>
      </c>
      <c r="N614" s="2">
        <v>417</v>
      </c>
      <c r="O614" s="3" t="s">
        <v>96</v>
      </c>
      <c r="P614" s="3" t="s">
        <v>97</v>
      </c>
      <c r="Q614" s="2" t="s">
        <v>6009</v>
      </c>
      <c r="R614" s="3" t="s">
        <v>2432</v>
      </c>
    </row>
    <row r="615" spans="1:18" x14ac:dyDescent="0.25">
      <c r="A615" s="2">
        <v>14222</v>
      </c>
      <c r="B615" s="3" t="s">
        <v>2433</v>
      </c>
      <c r="C615" s="2" t="s">
        <v>4198</v>
      </c>
      <c r="D615" s="2" t="s">
        <v>19</v>
      </c>
      <c r="E615" s="3" t="s">
        <v>1718</v>
      </c>
      <c r="F615" s="3" t="s">
        <v>2374</v>
      </c>
      <c r="G615" s="2" t="s">
        <v>4919</v>
      </c>
      <c r="H615" s="2" t="s">
        <v>5115</v>
      </c>
      <c r="I615" s="3" t="s">
        <v>2434</v>
      </c>
      <c r="J615" s="3" t="s">
        <v>2435</v>
      </c>
      <c r="K615" s="3" t="s">
        <v>2436</v>
      </c>
      <c r="L615" s="3" t="s">
        <v>19</v>
      </c>
      <c r="M615" s="3" t="s">
        <v>1985</v>
      </c>
      <c r="N615" s="2">
        <v>417</v>
      </c>
      <c r="O615" s="3" t="s">
        <v>244</v>
      </c>
      <c r="P615" s="3" t="s">
        <v>1986</v>
      </c>
      <c r="Q615" s="2" t="s">
        <v>6010</v>
      </c>
      <c r="R615" s="3" t="s">
        <v>2437</v>
      </c>
    </row>
    <row r="616" spans="1:18" x14ac:dyDescent="0.25">
      <c r="A616" s="2">
        <v>22012</v>
      </c>
      <c r="B616" s="3" t="s">
        <v>2438</v>
      </c>
      <c r="C616" s="2" t="s">
        <v>4199</v>
      </c>
      <c r="D616" s="2" t="s">
        <v>19</v>
      </c>
      <c r="E616" s="3" t="s">
        <v>1718</v>
      </c>
      <c r="F616" s="3" t="s">
        <v>2374</v>
      </c>
      <c r="G616" s="2" t="s">
        <v>4919</v>
      </c>
      <c r="H616" s="2" t="s">
        <v>5116</v>
      </c>
      <c r="I616" s="3" t="s">
        <v>2439</v>
      </c>
      <c r="J616" s="3" t="s">
        <v>2440</v>
      </c>
      <c r="K616" s="3" t="s">
        <v>2441</v>
      </c>
      <c r="L616" s="3" t="s">
        <v>19</v>
      </c>
      <c r="M616" s="3" t="s">
        <v>1969</v>
      </c>
      <c r="N616" s="2">
        <v>417</v>
      </c>
      <c r="O616" s="3" t="s">
        <v>96</v>
      </c>
      <c r="P616" s="3" t="s">
        <v>97</v>
      </c>
      <c r="Q616" s="2" t="s">
        <v>6011</v>
      </c>
      <c r="R616" s="3" t="s">
        <v>2442</v>
      </c>
    </row>
    <row r="617" spans="1:18" x14ac:dyDescent="0.25">
      <c r="A617" s="2">
        <v>28511</v>
      </c>
      <c r="B617" s="3" t="s">
        <v>2443</v>
      </c>
      <c r="C617" s="2" t="s">
        <v>4200</v>
      </c>
      <c r="D617" s="2" t="s">
        <v>19</v>
      </c>
      <c r="E617" s="3" t="s">
        <v>1718</v>
      </c>
      <c r="F617" s="3" t="s">
        <v>2374</v>
      </c>
      <c r="G617" s="2" t="s">
        <v>4919</v>
      </c>
      <c r="H617" s="2" t="s">
        <v>5117</v>
      </c>
      <c r="I617" s="3" t="s">
        <v>2444</v>
      </c>
      <c r="J617" s="3" t="s">
        <v>2445</v>
      </c>
      <c r="K617" s="3" t="s">
        <v>2446</v>
      </c>
      <c r="L617" s="3" t="s">
        <v>19</v>
      </c>
      <c r="M617" s="3" t="s">
        <v>1969</v>
      </c>
      <c r="N617" s="2">
        <v>417</v>
      </c>
      <c r="O617" s="3" t="s">
        <v>96</v>
      </c>
      <c r="P617" s="3" t="s">
        <v>97</v>
      </c>
      <c r="Q617" s="2" t="s">
        <v>6012</v>
      </c>
      <c r="R617" s="3" t="s">
        <v>2447</v>
      </c>
    </row>
    <row r="618" spans="1:18" x14ac:dyDescent="0.25">
      <c r="A618" s="2">
        <v>4550</v>
      </c>
      <c r="B618" s="3" t="s">
        <v>2448</v>
      </c>
      <c r="C618" s="2" t="s">
        <v>4201</v>
      </c>
      <c r="D618" s="2" t="s">
        <v>2378</v>
      </c>
      <c r="E618" s="3" t="s">
        <v>1718</v>
      </c>
      <c r="F618" s="3" t="s">
        <v>2374</v>
      </c>
      <c r="G618" s="2" t="s">
        <v>5101</v>
      </c>
      <c r="H618" s="2" t="s">
        <v>5118</v>
      </c>
      <c r="I618" s="3" t="s">
        <v>2375</v>
      </c>
      <c r="J618" s="3" t="s">
        <v>2449</v>
      </c>
      <c r="K618" s="3" t="s">
        <v>2450</v>
      </c>
      <c r="L618" s="3" t="s">
        <v>2378</v>
      </c>
      <c r="M618" s="3" t="s">
        <v>20</v>
      </c>
      <c r="N618" s="2">
        <v>417</v>
      </c>
      <c r="O618" s="3" t="s">
        <v>244</v>
      </c>
      <c r="P618" s="3" t="s">
        <v>22</v>
      </c>
      <c r="Q618" s="2" t="s">
        <v>6013</v>
      </c>
      <c r="R618" s="3" t="s">
        <v>2451</v>
      </c>
    </row>
    <row r="619" spans="1:18" x14ac:dyDescent="0.25">
      <c r="A619" s="2">
        <v>1270</v>
      </c>
      <c r="B619" s="3" t="s">
        <v>2452</v>
      </c>
      <c r="C619" s="2" t="s">
        <v>4202</v>
      </c>
      <c r="D619" s="2" t="s">
        <v>2378</v>
      </c>
      <c r="E619" s="3" t="s">
        <v>1718</v>
      </c>
      <c r="F619" s="3" t="s">
        <v>2374</v>
      </c>
      <c r="G619" s="2" t="s">
        <v>5098</v>
      </c>
      <c r="H619" s="2" t="s">
        <v>5119</v>
      </c>
      <c r="I619" s="3" t="s">
        <v>2375</v>
      </c>
      <c r="J619" s="3" t="s">
        <v>2453</v>
      </c>
      <c r="K619" s="3" t="s">
        <v>2454</v>
      </c>
      <c r="L619" s="3" t="s">
        <v>2378</v>
      </c>
      <c r="M619" s="3" t="s">
        <v>20</v>
      </c>
      <c r="N619" s="2">
        <v>417</v>
      </c>
      <c r="O619" s="3" t="s">
        <v>244</v>
      </c>
      <c r="P619" s="3" t="s">
        <v>22</v>
      </c>
      <c r="Q619" s="2" t="s">
        <v>6014</v>
      </c>
      <c r="R619" s="3" t="s">
        <v>2455</v>
      </c>
    </row>
    <row r="620" spans="1:18" x14ac:dyDescent="0.25">
      <c r="A620" s="2">
        <v>19700</v>
      </c>
      <c r="B620" s="3" t="s">
        <v>2456</v>
      </c>
      <c r="C620" s="2" t="s">
        <v>4203</v>
      </c>
      <c r="D620" s="2" t="s">
        <v>19</v>
      </c>
      <c r="E620" s="3" t="s">
        <v>1718</v>
      </c>
      <c r="F620" s="3" t="s">
        <v>2374</v>
      </c>
      <c r="G620" s="2" t="s">
        <v>4919</v>
      </c>
      <c r="H620" s="2" t="s">
        <v>5120</v>
      </c>
      <c r="I620" s="3" t="s">
        <v>2434</v>
      </c>
      <c r="J620" s="3" t="s">
        <v>2457</v>
      </c>
      <c r="K620" s="3" t="s">
        <v>2458</v>
      </c>
      <c r="L620" s="3" t="s">
        <v>19</v>
      </c>
      <c r="M620" s="3" t="s">
        <v>1985</v>
      </c>
      <c r="N620" s="2">
        <v>417</v>
      </c>
      <c r="O620" s="3" t="s">
        <v>244</v>
      </c>
      <c r="P620" s="3" t="s">
        <v>1986</v>
      </c>
      <c r="Q620" s="2" t="s">
        <v>6015</v>
      </c>
      <c r="R620" s="3" t="s">
        <v>2459</v>
      </c>
    </row>
    <row r="621" spans="1:18" x14ac:dyDescent="0.25">
      <c r="A621" s="2">
        <v>14474</v>
      </c>
      <c r="B621" s="3" t="s">
        <v>2460</v>
      </c>
      <c r="C621" s="2" t="s">
        <v>4204</v>
      </c>
      <c r="D621" s="2" t="s">
        <v>19</v>
      </c>
      <c r="E621" s="3" t="s">
        <v>1718</v>
      </c>
      <c r="F621" s="3" t="s">
        <v>2374</v>
      </c>
      <c r="G621" s="2" t="s">
        <v>5105</v>
      </c>
      <c r="H621" s="2" t="s">
        <v>5121</v>
      </c>
      <c r="I621" s="3" t="s">
        <v>2461</v>
      </c>
      <c r="J621" s="3" t="s">
        <v>138</v>
      </c>
      <c r="K621" s="3" t="s">
        <v>2462</v>
      </c>
      <c r="L621" s="3" t="s">
        <v>19</v>
      </c>
      <c r="M621" s="3" t="s">
        <v>1969</v>
      </c>
      <c r="N621" s="2">
        <v>417</v>
      </c>
      <c r="O621" s="3" t="s">
        <v>96</v>
      </c>
      <c r="P621" s="3" t="s">
        <v>97</v>
      </c>
      <c r="Q621" s="2" t="s">
        <v>6016</v>
      </c>
      <c r="R621" s="3" t="s">
        <v>2463</v>
      </c>
    </row>
    <row r="622" spans="1:18" x14ac:dyDescent="0.25">
      <c r="A622" s="2">
        <v>34988</v>
      </c>
      <c r="B622" s="3" t="s">
        <v>2464</v>
      </c>
      <c r="C622" s="2" t="s">
        <v>4205</v>
      </c>
      <c r="D622" s="2" t="s">
        <v>2378</v>
      </c>
      <c r="E622" s="3" t="s">
        <v>1718</v>
      </c>
      <c r="F622" s="3" t="s">
        <v>2374</v>
      </c>
      <c r="G622" s="2" t="s">
        <v>5098</v>
      </c>
      <c r="H622" s="2" t="s">
        <v>5122</v>
      </c>
      <c r="I622" s="3" t="s">
        <v>2375</v>
      </c>
      <c r="J622" s="3" t="s">
        <v>2465</v>
      </c>
      <c r="K622" s="3" t="s">
        <v>2466</v>
      </c>
      <c r="L622" s="3" t="s">
        <v>2378</v>
      </c>
      <c r="M622" s="3" t="s">
        <v>20</v>
      </c>
      <c r="N622" s="2">
        <v>417</v>
      </c>
      <c r="O622" s="3" t="s">
        <v>244</v>
      </c>
      <c r="P622" s="3" t="s">
        <v>22</v>
      </c>
      <c r="Q622" s="2" t="s">
        <v>6017</v>
      </c>
      <c r="R622" s="3" t="s">
        <v>2467</v>
      </c>
    </row>
    <row r="623" spans="1:18" x14ac:dyDescent="0.25">
      <c r="A623" s="2">
        <v>936</v>
      </c>
      <c r="B623" s="3" t="s">
        <v>2468</v>
      </c>
      <c r="C623" s="2" t="s">
        <v>4206</v>
      </c>
      <c r="D623" s="2" t="s">
        <v>19</v>
      </c>
      <c r="E623" s="3" t="s">
        <v>1718</v>
      </c>
      <c r="F623" s="3" t="s">
        <v>2374</v>
      </c>
      <c r="G623" s="2" t="s">
        <v>4919</v>
      </c>
      <c r="H623" s="2" t="s">
        <v>5123</v>
      </c>
      <c r="I623" s="3" t="s">
        <v>2469</v>
      </c>
      <c r="J623" s="3" t="s">
        <v>138</v>
      </c>
      <c r="K623" s="3" t="s">
        <v>2470</v>
      </c>
      <c r="L623" s="3" t="s">
        <v>19</v>
      </c>
      <c r="M623" s="3" t="s">
        <v>1985</v>
      </c>
      <c r="N623" s="2">
        <v>417</v>
      </c>
      <c r="O623" s="3" t="s">
        <v>244</v>
      </c>
      <c r="P623" s="3" t="s">
        <v>1986</v>
      </c>
      <c r="Q623" s="2" t="s">
        <v>6018</v>
      </c>
      <c r="R623" s="3" t="s">
        <v>2471</v>
      </c>
    </row>
    <row r="624" spans="1:18" x14ac:dyDescent="0.25">
      <c r="A624" s="2">
        <v>36324</v>
      </c>
      <c r="B624" s="3" t="s">
        <v>2472</v>
      </c>
      <c r="C624" s="2" t="s">
        <v>4207</v>
      </c>
      <c r="D624" s="2" t="s">
        <v>19</v>
      </c>
      <c r="E624" s="3" t="s">
        <v>1718</v>
      </c>
      <c r="F624" s="3" t="s">
        <v>2374</v>
      </c>
      <c r="G624" s="2" t="s">
        <v>4936</v>
      </c>
      <c r="H624" s="2" t="s">
        <v>5124</v>
      </c>
      <c r="I624" s="3" t="s">
        <v>2473</v>
      </c>
      <c r="J624" s="3" t="s">
        <v>138</v>
      </c>
      <c r="K624" s="3" t="s">
        <v>2474</v>
      </c>
      <c r="L624" s="3" t="s">
        <v>19</v>
      </c>
      <c r="M624" s="3" t="s">
        <v>1969</v>
      </c>
      <c r="N624" s="2">
        <v>417</v>
      </c>
      <c r="O624" s="3" t="s">
        <v>96</v>
      </c>
      <c r="P624" s="3" t="s">
        <v>97</v>
      </c>
      <c r="Q624" s="2" t="s">
        <v>6019</v>
      </c>
      <c r="R624" s="3" t="s">
        <v>2475</v>
      </c>
    </row>
    <row r="625" spans="1:18" x14ac:dyDescent="0.25">
      <c r="A625" s="2">
        <v>17905</v>
      </c>
      <c r="B625" s="3" t="s">
        <v>2476</v>
      </c>
      <c r="C625" s="2" t="s">
        <v>4208</v>
      </c>
      <c r="D625" s="2" t="s">
        <v>19</v>
      </c>
      <c r="E625" s="3" t="s">
        <v>1718</v>
      </c>
      <c r="F625" s="3" t="s">
        <v>2374</v>
      </c>
      <c r="G625" s="2" t="s">
        <v>4919</v>
      </c>
      <c r="H625" s="2" t="s">
        <v>5125</v>
      </c>
      <c r="I625" s="3" t="s">
        <v>2416</v>
      </c>
      <c r="J625" s="3" t="s">
        <v>138</v>
      </c>
      <c r="K625" s="3" t="s">
        <v>2477</v>
      </c>
      <c r="L625" s="3" t="s">
        <v>19</v>
      </c>
      <c r="M625" s="3" t="s">
        <v>1969</v>
      </c>
      <c r="N625" s="2">
        <v>417</v>
      </c>
      <c r="O625" s="3" t="s">
        <v>96</v>
      </c>
      <c r="P625" s="3" t="s">
        <v>97</v>
      </c>
      <c r="Q625" s="2" t="s">
        <v>6020</v>
      </c>
      <c r="R625" s="3" t="s">
        <v>2478</v>
      </c>
    </row>
    <row r="626" spans="1:18" x14ac:dyDescent="0.25">
      <c r="A626" s="2">
        <v>22956</v>
      </c>
      <c r="B626" s="3" t="s">
        <v>2479</v>
      </c>
      <c r="C626" s="2" t="s">
        <v>4209</v>
      </c>
      <c r="D626" s="2" t="s">
        <v>19</v>
      </c>
      <c r="E626" s="3" t="s">
        <v>1718</v>
      </c>
      <c r="F626" s="3" t="s">
        <v>2374</v>
      </c>
      <c r="G626" s="2" t="s">
        <v>4919</v>
      </c>
      <c r="H626" s="2" t="s">
        <v>5126</v>
      </c>
      <c r="I626" s="3" t="s">
        <v>2480</v>
      </c>
      <c r="J626" s="3" t="s">
        <v>802</v>
      </c>
      <c r="K626" s="3" t="s">
        <v>2481</v>
      </c>
      <c r="L626" s="3" t="s">
        <v>19</v>
      </c>
      <c r="M626" s="3" t="s">
        <v>1985</v>
      </c>
      <c r="N626" s="2">
        <v>417</v>
      </c>
      <c r="O626" s="3" t="s">
        <v>244</v>
      </c>
      <c r="P626" s="3" t="s">
        <v>1986</v>
      </c>
      <c r="Q626" s="2" t="s">
        <v>6021</v>
      </c>
      <c r="R626" s="3" t="s">
        <v>2482</v>
      </c>
    </row>
    <row r="627" spans="1:18" x14ac:dyDescent="0.25">
      <c r="A627" s="2">
        <v>4012</v>
      </c>
      <c r="B627" s="3" t="s">
        <v>2483</v>
      </c>
      <c r="C627" s="2" t="s">
        <v>4210</v>
      </c>
      <c r="D627" s="2" t="s">
        <v>2378</v>
      </c>
      <c r="E627" s="3" t="s">
        <v>1718</v>
      </c>
      <c r="F627" s="3" t="s">
        <v>2374</v>
      </c>
      <c r="G627" s="2" t="s">
        <v>4919</v>
      </c>
      <c r="H627" s="2" t="s">
        <v>5127</v>
      </c>
      <c r="I627" s="3" t="s">
        <v>2484</v>
      </c>
      <c r="J627" s="3" t="s">
        <v>138</v>
      </c>
      <c r="K627" s="3" t="s">
        <v>2485</v>
      </c>
      <c r="L627" s="3" t="s">
        <v>2378</v>
      </c>
      <c r="M627" s="3" t="s">
        <v>1969</v>
      </c>
      <c r="N627" s="2">
        <v>417</v>
      </c>
      <c r="O627" s="3" t="s">
        <v>96</v>
      </c>
      <c r="P627" s="3" t="s">
        <v>97</v>
      </c>
      <c r="Q627" s="2" t="s">
        <v>6022</v>
      </c>
      <c r="R627" s="3" t="s">
        <v>2486</v>
      </c>
    </row>
    <row r="628" spans="1:18" x14ac:dyDescent="0.25">
      <c r="A628" s="2">
        <v>41392</v>
      </c>
      <c r="B628" s="3" t="s">
        <v>2487</v>
      </c>
      <c r="C628" s="2" t="s">
        <v>4211</v>
      </c>
      <c r="D628" s="2" t="s">
        <v>19</v>
      </c>
      <c r="E628" s="3" t="s">
        <v>1718</v>
      </c>
      <c r="F628" s="3" t="s">
        <v>2374</v>
      </c>
      <c r="G628" s="2" t="s">
        <v>5105</v>
      </c>
      <c r="H628" s="2" t="s">
        <v>5128</v>
      </c>
      <c r="I628" s="3" t="s">
        <v>2488</v>
      </c>
      <c r="J628" s="3" t="s">
        <v>138</v>
      </c>
      <c r="K628" s="3" t="s">
        <v>2489</v>
      </c>
      <c r="L628" s="3" t="s">
        <v>19</v>
      </c>
      <c r="M628" s="3" t="s">
        <v>1969</v>
      </c>
      <c r="N628" s="2">
        <v>417</v>
      </c>
      <c r="O628" s="3" t="s">
        <v>96</v>
      </c>
      <c r="P628" s="3" t="s">
        <v>97</v>
      </c>
      <c r="Q628" s="2" t="s">
        <v>6023</v>
      </c>
      <c r="R628" s="3" t="s">
        <v>2490</v>
      </c>
    </row>
    <row r="629" spans="1:18" x14ac:dyDescent="0.25">
      <c r="A629" s="2">
        <v>38398</v>
      </c>
      <c r="B629" s="3" t="s">
        <v>2491</v>
      </c>
      <c r="C629" s="2" t="s">
        <v>4212</v>
      </c>
      <c r="D629" s="2" t="s">
        <v>19</v>
      </c>
      <c r="E629" s="3" t="s">
        <v>1718</v>
      </c>
      <c r="F629" s="3" t="s">
        <v>2374</v>
      </c>
      <c r="G629" s="2" t="s">
        <v>4919</v>
      </c>
      <c r="H629" s="2" t="s">
        <v>5129</v>
      </c>
      <c r="I629" s="3" t="s">
        <v>2492</v>
      </c>
      <c r="J629" s="3" t="s">
        <v>2493</v>
      </c>
      <c r="K629" s="3" t="s">
        <v>2494</v>
      </c>
      <c r="L629" s="3" t="s">
        <v>19</v>
      </c>
      <c r="M629" s="3" t="s">
        <v>1985</v>
      </c>
      <c r="N629" s="2">
        <v>417</v>
      </c>
      <c r="O629" s="3" t="s">
        <v>244</v>
      </c>
      <c r="P629" s="3" t="s">
        <v>1986</v>
      </c>
      <c r="Q629" s="2" t="s">
        <v>6024</v>
      </c>
      <c r="R629" s="3" t="s">
        <v>2495</v>
      </c>
    </row>
    <row r="630" spans="1:18" x14ac:dyDescent="0.25">
      <c r="A630" s="2">
        <v>18822</v>
      </c>
      <c r="B630" s="3" t="s">
        <v>2496</v>
      </c>
      <c r="C630" s="2" t="s">
        <v>4213</v>
      </c>
      <c r="D630" s="2" t="s">
        <v>19</v>
      </c>
      <c r="E630" s="3" t="s">
        <v>1718</v>
      </c>
      <c r="F630" s="3" t="s">
        <v>2374</v>
      </c>
      <c r="G630" s="2" t="s">
        <v>4919</v>
      </c>
      <c r="H630" s="2" t="s">
        <v>5130</v>
      </c>
      <c r="I630" s="3" t="s">
        <v>2434</v>
      </c>
      <c r="J630" s="3" t="s">
        <v>138</v>
      </c>
      <c r="K630" s="3" t="s">
        <v>2497</v>
      </c>
      <c r="L630" s="3" t="s">
        <v>19</v>
      </c>
      <c r="M630" s="3" t="s">
        <v>1985</v>
      </c>
      <c r="N630" s="2">
        <v>417</v>
      </c>
      <c r="O630" s="3" t="s">
        <v>244</v>
      </c>
      <c r="P630" s="3" t="s">
        <v>1986</v>
      </c>
      <c r="Q630" s="2" t="s">
        <v>6025</v>
      </c>
      <c r="R630" s="3" t="s">
        <v>2498</v>
      </c>
    </row>
    <row r="631" spans="1:18" x14ac:dyDescent="0.25">
      <c r="A631" s="2">
        <v>23464</v>
      </c>
      <c r="B631" s="3" t="s">
        <v>2499</v>
      </c>
      <c r="C631" s="2" t="s">
        <v>4214</v>
      </c>
      <c r="D631" s="2" t="s">
        <v>19</v>
      </c>
      <c r="E631" s="3" t="s">
        <v>1718</v>
      </c>
      <c r="F631" s="3" t="s">
        <v>2374</v>
      </c>
      <c r="G631" s="2" t="s">
        <v>4919</v>
      </c>
      <c r="H631" s="2" t="s">
        <v>5131</v>
      </c>
      <c r="I631" s="3" t="s">
        <v>2500</v>
      </c>
      <c r="J631" s="3" t="s">
        <v>138</v>
      </c>
      <c r="K631" s="3" t="s">
        <v>2501</v>
      </c>
      <c r="L631" s="3" t="s">
        <v>19</v>
      </c>
      <c r="M631" s="3" t="s">
        <v>1969</v>
      </c>
      <c r="N631" s="2">
        <v>417</v>
      </c>
      <c r="O631" s="3" t="s">
        <v>96</v>
      </c>
      <c r="P631" s="3" t="s">
        <v>97</v>
      </c>
      <c r="Q631" s="2" t="s">
        <v>6026</v>
      </c>
      <c r="R631" s="3" t="s">
        <v>2502</v>
      </c>
    </row>
    <row r="632" spans="1:18" x14ac:dyDescent="0.25">
      <c r="A632" s="2">
        <v>26031</v>
      </c>
      <c r="B632" s="3" t="s">
        <v>2503</v>
      </c>
      <c r="C632" s="2" t="s">
        <v>4215</v>
      </c>
      <c r="D632" s="2" t="s">
        <v>2378</v>
      </c>
      <c r="E632" s="3" t="s">
        <v>1718</v>
      </c>
      <c r="F632" s="3" t="s">
        <v>2374</v>
      </c>
      <c r="G632" s="2" t="s">
        <v>4936</v>
      </c>
      <c r="H632" s="2" t="s">
        <v>5132</v>
      </c>
      <c r="I632" s="3" t="s">
        <v>2504</v>
      </c>
      <c r="J632" s="3" t="s">
        <v>2505</v>
      </c>
      <c r="K632" s="3" t="s">
        <v>2506</v>
      </c>
      <c r="L632" s="3" t="s">
        <v>2378</v>
      </c>
      <c r="M632" s="3" t="s">
        <v>20</v>
      </c>
      <c r="N632" s="2">
        <v>417</v>
      </c>
      <c r="O632" s="3" t="s">
        <v>21</v>
      </c>
      <c r="P632" s="3" t="s">
        <v>22</v>
      </c>
      <c r="Q632" s="2" t="s">
        <v>6027</v>
      </c>
      <c r="R632" s="3" t="s">
        <v>2507</v>
      </c>
    </row>
    <row r="633" spans="1:18" x14ac:dyDescent="0.25">
      <c r="A633" s="2">
        <v>40458</v>
      </c>
      <c r="B633" s="3" t="s">
        <v>2508</v>
      </c>
      <c r="C633" s="2" t="s">
        <v>4216</v>
      </c>
      <c r="D633" s="2" t="s">
        <v>2378</v>
      </c>
      <c r="E633" s="3" t="s">
        <v>1718</v>
      </c>
      <c r="F633" s="3" t="s">
        <v>2374</v>
      </c>
      <c r="G633" s="2" t="s">
        <v>5101</v>
      </c>
      <c r="H633" s="2" t="s">
        <v>5133</v>
      </c>
      <c r="I633" s="3" t="s">
        <v>2509</v>
      </c>
      <c r="J633" s="3" t="s">
        <v>138</v>
      </c>
      <c r="K633" s="3" t="s">
        <v>2510</v>
      </c>
      <c r="L633" s="3" t="s">
        <v>2378</v>
      </c>
      <c r="M633" s="3" t="s">
        <v>20</v>
      </c>
      <c r="N633" s="2">
        <v>417</v>
      </c>
      <c r="O633" s="3" t="s">
        <v>96</v>
      </c>
      <c r="P633" s="3" t="s">
        <v>22</v>
      </c>
      <c r="Q633" s="2" t="s">
        <v>6028</v>
      </c>
      <c r="R633" s="3" t="s">
        <v>2511</v>
      </c>
    </row>
    <row r="634" spans="1:18" x14ac:dyDescent="0.25">
      <c r="A634" s="2">
        <v>24912</v>
      </c>
      <c r="B634" s="3" t="s">
        <v>2512</v>
      </c>
      <c r="C634" s="2" t="s">
        <v>4217</v>
      </c>
      <c r="D634" s="2" t="s">
        <v>19</v>
      </c>
      <c r="E634" s="3" t="s">
        <v>1718</v>
      </c>
      <c r="F634" s="3" t="s">
        <v>2374</v>
      </c>
      <c r="G634" s="2" t="s">
        <v>5105</v>
      </c>
      <c r="H634" s="2" t="s">
        <v>5134</v>
      </c>
      <c r="I634" s="3" t="s">
        <v>2398</v>
      </c>
      <c r="J634" s="3" t="s">
        <v>2513</v>
      </c>
      <c r="K634" s="3" t="s">
        <v>2514</v>
      </c>
      <c r="L634" s="3" t="s">
        <v>19</v>
      </c>
      <c r="M634" s="3" t="s">
        <v>1969</v>
      </c>
      <c r="N634" s="2">
        <v>417</v>
      </c>
      <c r="O634" s="3" t="s">
        <v>96</v>
      </c>
      <c r="P634" s="3" t="s">
        <v>97</v>
      </c>
      <c r="Q634" s="2" t="s">
        <v>6029</v>
      </c>
      <c r="R634" s="3" t="s">
        <v>2515</v>
      </c>
    </row>
    <row r="635" spans="1:18" x14ac:dyDescent="0.25">
      <c r="A635" s="2">
        <v>1790</v>
      </c>
      <c r="B635" s="3" t="s">
        <v>2516</v>
      </c>
      <c r="C635" s="2" t="s">
        <v>4218</v>
      </c>
      <c r="D635" s="2" t="s">
        <v>2378</v>
      </c>
      <c r="E635" s="3" t="s">
        <v>1718</v>
      </c>
      <c r="F635" s="3" t="s">
        <v>2374</v>
      </c>
      <c r="G635" s="2" t="s">
        <v>5101</v>
      </c>
      <c r="H635" s="2" t="s">
        <v>5135</v>
      </c>
      <c r="I635" s="3" t="s">
        <v>2375</v>
      </c>
      <c r="J635" s="3" t="s">
        <v>2517</v>
      </c>
      <c r="K635" s="3" t="s">
        <v>2518</v>
      </c>
      <c r="L635" s="3" t="s">
        <v>2378</v>
      </c>
      <c r="M635" s="3" t="s">
        <v>20</v>
      </c>
      <c r="N635" s="2">
        <v>417</v>
      </c>
      <c r="O635" s="3" t="s">
        <v>244</v>
      </c>
      <c r="P635" s="3" t="s">
        <v>22</v>
      </c>
      <c r="Q635" s="2" t="s">
        <v>6030</v>
      </c>
      <c r="R635" s="3" t="s">
        <v>2519</v>
      </c>
    </row>
    <row r="636" spans="1:18" x14ac:dyDescent="0.25">
      <c r="A636" s="2">
        <v>21171</v>
      </c>
      <c r="B636" s="3" t="s">
        <v>2520</v>
      </c>
      <c r="C636" s="2" t="s">
        <v>4219</v>
      </c>
      <c r="D636" s="2" t="s">
        <v>19</v>
      </c>
      <c r="E636" s="3" t="s">
        <v>1718</v>
      </c>
      <c r="F636" s="3" t="s">
        <v>2374</v>
      </c>
      <c r="G636" s="2" t="s">
        <v>4919</v>
      </c>
      <c r="H636" s="2" t="s">
        <v>5136</v>
      </c>
      <c r="I636" s="3" t="s">
        <v>2521</v>
      </c>
      <c r="J636" s="3" t="s">
        <v>138</v>
      </c>
      <c r="K636" s="3" t="s">
        <v>2522</v>
      </c>
      <c r="L636" s="3" t="s">
        <v>19</v>
      </c>
      <c r="M636" s="3" t="s">
        <v>1985</v>
      </c>
      <c r="N636" s="2">
        <v>417</v>
      </c>
      <c r="O636" s="3" t="s">
        <v>244</v>
      </c>
      <c r="P636" s="3" t="s">
        <v>1986</v>
      </c>
      <c r="Q636" s="2" t="s">
        <v>6031</v>
      </c>
      <c r="R636" s="3" t="s">
        <v>2523</v>
      </c>
    </row>
    <row r="637" spans="1:18" x14ac:dyDescent="0.25">
      <c r="A637" s="2">
        <v>40952</v>
      </c>
      <c r="B637" s="3" t="s">
        <v>2524</v>
      </c>
      <c r="C637" s="2" t="s">
        <v>4220</v>
      </c>
      <c r="D637" s="2" t="s">
        <v>19</v>
      </c>
      <c r="E637" s="3" t="s">
        <v>1718</v>
      </c>
      <c r="F637" s="3" t="s">
        <v>2374</v>
      </c>
      <c r="G637" s="2" t="s">
        <v>4919</v>
      </c>
      <c r="H637" s="2" t="s">
        <v>5137</v>
      </c>
      <c r="I637" s="3" t="s">
        <v>2525</v>
      </c>
      <c r="J637" s="3" t="s">
        <v>2526</v>
      </c>
      <c r="K637" s="3" t="s">
        <v>2527</v>
      </c>
      <c r="L637" s="3" t="s">
        <v>19</v>
      </c>
      <c r="M637" s="3" t="s">
        <v>1969</v>
      </c>
      <c r="N637" s="2">
        <v>417</v>
      </c>
      <c r="O637" s="3" t="s">
        <v>96</v>
      </c>
      <c r="P637" s="3" t="s">
        <v>97</v>
      </c>
      <c r="Q637" s="2" t="s">
        <v>6032</v>
      </c>
      <c r="R637" s="3" t="s">
        <v>2528</v>
      </c>
    </row>
    <row r="638" spans="1:18" x14ac:dyDescent="0.25">
      <c r="A638" s="2">
        <v>16601</v>
      </c>
      <c r="B638" s="3" t="s">
        <v>2529</v>
      </c>
      <c r="C638" s="2" t="s">
        <v>4221</v>
      </c>
      <c r="D638" s="2" t="s">
        <v>19</v>
      </c>
      <c r="E638" s="3" t="s">
        <v>1718</v>
      </c>
      <c r="F638" s="3" t="s">
        <v>2374</v>
      </c>
      <c r="G638" s="2" t="s">
        <v>4919</v>
      </c>
      <c r="H638" s="2" t="s">
        <v>5138</v>
      </c>
      <c r="I638" s="3" t="s">
        <v>2530</v>
      </c>
      <c r="J638" s="3" t="s">
        <v>138</v>
      </c>
      <c r="K638" s="3" t="s">
        <v>2531</v>
      </c>
      <c r="L638" s="3" t="s">
        <v>19</v>
      </c>
      <c r="M638" s="3" t="s">
        <v>1969</v>
      </c>
      <c r="N638" s="2">
        <v>417</v>
      </c>
      <c r="O638" s="3" t="s">
        <v>96</v>
      </c>
      <c r="P638" s="3" t="s">
        <v>97</v>
      </c>
      <c r="Q638" s="2" t="s">
        <v>6033</v>
      </c>
      <c r="R638" s="3" t="s">
        <v>2532</v>
      </c>
    </row>
    <row r="639" spans="1:18" x14ac:dyDescent="0.25">
      <c r="A639" s="2">
        <v>17618</v>
      </c>
      <c r="B639" s="3" t="s">
        <v>2533</v>
      </c>
      <c r="C639" s="2" t="s">
        <v>4222</v>
      </c>
      <c r="D639" s="2" t="s">
        <v>2378</v>
      </c>
      <c r="E639" s="3" t="s">
        <v>1718</v>
      </c>
      <c r="F639" s="3" t="s">
        <v>2374</v>
      </c>
      <c r="G639" s="2" t="s">
        <v>5098</v>
      </c>
      <c r="H639" s="2" t="s">
        <v>5139</v>
      </c>
      <c r="I639" s="3" t="s">
        <v>2375</v>
      </c>
      <c r="J639" s="3" t="s">
        <v>2534</v>
      </c>
      <c r="K639" s="3" t="s">
        <v>2535</v>
      </c>
      <c r="L639" s="3" t="s">
        <v>2378</v>
      </c>
      <c r="M639" s="3" t="s">
        <v>20</v>
      </c>
      <c r="N639" s="2">
        <v>417</v>
      </c>
      <c r="O639" s="3" t="s">
        <v>244</v>
      </c>
      <c r="P639" s="3" t="s">
        <v>22</v>
      </c>
      <c r="Q639" s="2" t="s">
        <v>6034</v>
      </c>
      <c r="R639" s="3" t="s">
        <v>2536</v>
      </c>
    </row>
    <row r="640" spans="1:18" x14ac:dyDescent="0.25">
      <c r="A640" s="2">
        <v>40655</v>
      </c>
      <c r="B640" s="3" t="s">
        <v>2537</v>
      </c>
      <c r="C640" s="2" t="s">
        <v>4223</v>
      </c>
      <c r="D640" s="2" t="s">
        <v>19</v>
      </c>
      <c r="E640" s="3" t="s">
        <v>1718</v>
      </c>
      <c r="F640" s="3" t="s">
        <v>2374</v>
      </c>
      <c r="G640" s="2" t="s">
        <v>4919</v>
      </c>
      <c r="H640" s="2" t="s">
        <v>5140</v>
      </c>
      <c r="I640" s="3" t="s">
        <v>2538</v>
      </c>
      <c r="J640" s="3" t="s">
        <v>82</v>
      </c>
      <c r="K640" s="3" t="s">
        <v>2539</v>
      </c>
      <c r="L640" s="3" t="s">
        <v>19</v>
      </c>
      <c r="M640" s="3" t="s">
        <v>1969</v>
      </c>
      <c r="N640" s="2">
        <v>417</v>
      </c>
      <c r="O640" s="3" t="s">
        <v>96</v>
      </c>
      <c r="P640" s="3" t="s">
        <v>97</v>
      </c>
      <c r="Q640" s="2" t="s">
        <v>6035</v>
      </c>
      <c r="R640" s="3" t="s">
        <v>2540</v>
      </c>
    </row>
    <row r="641" spans="1:18" x14ac:dyDescent="0.25">
      <c r="A641" s="2">
        <v>38271</v>
      </c>
      <c r="B641" s="3" t="s">
        <v>2541</v>
      </c>
      <c r="C641" s="2" t="s">
        <v>4224</v>
      </c>
      <c r="D641" s="2" t="s">
        <v>19</v>
      </c>
      <c r="E641" s="3" t="s">
        <v>1718</v>
      </c>
      <c r="F641" s="3" t="s">
        <v>2374</v>
      </c>
      <c r="G641" s="2" t="s">
        <v>4919</v>
      </c>
      <c r="H641" s="2" t="s">
        <v>5141</v>
      </c>
      <c r="I641" s="3" t="s">
        <v>2393</v>
      </c>
      <c r="J641" s="3" t="s">
        <v>2542</v>
      </c>
      <c r="K641" s="3" t="s">
        <v>2543</v>
      </c>
      <c r="L641" s="3" t="s">
        <v>19</v>
      </c>
      <c r="M641" s="3" t="s">
        <v>1985</v>
      </c>
      <c r="N641" s="2">
        <v>417</v>
      </c>
      <c r="O641" s="3" t="s">
        <v>244</v>
      </c>
      <c r="P641" s="3" t="s">
        <v>1986</v>
      </c>
      <c r="Q641" s="2" t="s">
        <v>6036</v>
      </c>
      <c r="R641" s="3" t="s">
        <v>2544</v>
      </c>
    </row>
    <row r="642" spans="1:18" x14ac:dyDescent="0.25">
      <c r="A642" s="2">
        <v>26309</v>
      </c>
      <c r="B642" s="3" t="s">
        <v>2545</v>
      </c>
      <c r="C642" s="2" t="s">
        <v>4225</v>
      </c>
      <c r="D642" s="2" t="s">
        <v>2378</v>
      </c>
      <c r="E642" s="3" t="s">
        <v>1718</v>
      </c>
      <c r="F642" s="3" t="s">
        <v>2374</v>
      </c>
      <c r="G642" s="2" t="s">
        <v>5101</v>
      </c>
      <c r="H642" s="2" t="s">
        <v>5142</v>
      </c>
      <c r="I642" s="3" t="s">
        <v>2375</v>
      </c>
      <c r="J642" s="3" t="s">
        <v>138</v>
      </c>
      <c r="K642" s="3" t="s">
        <v>2546</v>
      </c>
      <c r="L642" s="3" t="s">
        <v>2378</v>
      </c>
      <c r="M642" s="3" t="s">
        <v>20</v>
      </c>
      <c r="N642" s="2">
        <v>417</v>
      </c>
      <c r="O642" s="3" t="s">
        <v>244</v>
      </c>
      <c r="P642" s="3" t="s">
        <v>22</v>
      </c>
      <c r="Q642" s="2" t="s">
        <v>6037</v>
      </c>
      <c r="R642" s="3" t="s">
        <v>2547</v>
      </c>
    </row>
    <row r="643" spans="1:18" x14ac:dyDescent="0.25">
      <c r="A643" s="2">
        <v>38318</v>
      </c>
      <c r="B643" s="3" t="s">
        <v>2548</v>
      </c>
      <c r="C643" s="2" t="s">
        <v>4226</v>
      </c>
      <c r="D643" s="2" t="s">
        <v>2378</v>
      </c>
      <c r="E643" s="3" t="s">
        <v>1718</v>
      </c>
      <c r="F643" s="3" t="s">
        <v>2374</v>
      </c>
      <c r="G643" s="2" t="s">
        <v>4936</v>
      </c>
      <c r="H643" s="2" t="s">
        <v>5143</v>
      </c>
      <c r="I643" s="3" t="s">
        <v>2549</v>
      </c>
      <c r="J643" s="3" t="s">
        <v>2550</v>
      </c>
      <c r="K643" s="3" t="s">
        <v>2551</v>
      </c>
      <c r="L643" s="3" t="s">
        <v>2378</v>
      </c>
      <c r="M643" s="3" t="s">
        <v>1969</v>
      </c>
      <c r="N643" s="2">
        <v>417</v>
      </c>
      <c r="O643" s="3" t="s">
        <v>96</v>
      </c>
      <c r="P643" s="3" t="s">
        <v>97</v>
      </c>
      <c r="Q643" s="2" t="s">
        <v>6038</v>
      </c>
      <c r="R643" s="3" t="s">
        <v>2552</v>
      </c>
    </row>
    <row r="644" spans="1:18" x14ac:dyDescent="0.25">
      <c r="A644" s="2">
        <v>31469</v>
      </c>
      <c r="B644" s="3" t="s">
        <v>2553</v>
      </c>
      <c r="C644" s="2" t="s">
        <v>4227</v>
      </c>
      <c r="D644" s="2" t="s">
        <v>19</v>
      </c>
      <c r="E644" s="3" t="s">
        <v>1718</v>
      </c>
      <c r="F644" s="3" t="s">
        <v>2374</v>
      </c>
      <c r="G644" s="2" t="s">
        <v>4919</v>
      </c>
      <c r="H644" s="2" t="s">
        <v>5144</v>
      </c>
      <c r="I644" s="3" t="s">
        <v>2393</v>
      </c>
      <c r="J644" s="3" t="s">
        <v>138</v>
      </c>
      <c r="K644" s="3" t="s">
        <v>2554</v>
      </c>
      <c r="L644" s="3" t="s">
        <v>19</v>
      </c>
      <c r="M644" s="3" t="s">
        <v>1985</v>
      </c>
      <c r="N644" s="2">
        <v>417</v>
      </c>
      <c r="O644" s="3" t="s">
        <v>244</v>
      </c>
      <c r="P644" s="3" t="s">
        <v>1986</v>
      </c>
      <c r="Q644" s="2" t="s">
        <v>6039</v>
      </c>
      <c r="R644" s="3" t="s">
        <v>2555</v>
      </c>
    </row>
    <row r="645" spans="1:18" x14ac:dyDescent="0.25">
      <c r="A645" s="2">
        <v>9936</v>
      </c>
      <c r="B645" s="3" t="s">
        <v>2556</v>
      </c>
      <c r="C645" s="2" t="s">
        <v>4228</v>
      </c>
      <c r="D645" s="2" t="s">
        <v>19</v>
      </c>
      <c r="E645" s="3" t="s">
        <v>1718</v>
      </c>
      <c r="F645" s="3" t="s">
        <v>2374</v>
      </c>
      <c r="G645" s="2" t="s">
        <v>4919</v>
      </c>
      <c r="H645" s="2" t="s">
        <v>5145</v>
      </c>
      <c r="I645" s="3" t="s">
        <v>2557</v>
      </c>
      <c r="J645" s="3" t="s">
        <v>138</v>
      </c>
      <c r="K645" s="3" t="s">
        <v>2558</v>
      </c>
      <c r="L645" s="3" t="s">
        <v>19</v>
      </c>
      <c r="M645" s="3" t="s">
        <v>1969</v>
      </c>
      <c r="N645" s="2">
        <v>417</v>
      </c>
      <c r="O645" s="3" t="s">
        <v>96</v>
      </c>
      <c r="P645" s="3" t="s">
        <v>97</v>
      </c>
      <c r="Q645" s="2" t="s">
        <v>6040</v>
      </c>
      <c r="R645" s="3" t="s">
        <v>2559</v>
      </c>
    </row>
    <row r="646" spans="1:18" x14ac:dyDescent="0.25">
      <c r="A646" s="2">
        <v>26286</v>
      </c>
      <c r="B646" s="3" t="s">
        <v>2560</v>
      </c>
      <c r="C646" s="2" t="s">
        <v>4229</v>
      </c>
      <c r="D646" s="2" t="s">
        <v>2378</v>
      </c>
      <c r="E646" s="3" t="s">
        <v>1718</v>
      </c>
      <c r="F646" s="3" t="s">
        <v>2374</v>
      </c>
      <c r="G646" s="2" t="s">
        <v>5067</v>
      </c>
      <c r="H646" s="2" t="s">
        <v>5146</v>
      </c>
      <c r="I646" s="3" t="s">
        <v>2375</v>
      </c>
      <c r="J646" s="3" t="s">
        <v>2561</v>
      </c>
      <c r="K646" s="3" t="s">
        <v>2562</v>
      </c>
      <c r="L646" s="3" t="s">
        <v>2378</v>
      </c>
      <c r="M646" s="3" t="s">
        <v>20</v>
      </c>
      <c r="N646" s="2">
        <v>417</v>
      </c>
      <c r="O646" s="3" t="s">
        <v>244</v>
      </c>
      <c r="P646" s="3" t="s">
        <v>22</v>
      </c>
      <c r="Q646" s="2" t="s">
        <v>6041</v>
      </c>
      <c r="R646" s="3" t="s">
        <v>2563</v>
      </c>
    </row>
    <row r="647" spans="1:18" x14ac:dyDescent="0.25">
      <c r="A647" s="2">
        <v>35736</v>
      </c>
      <c r="B647" s="3" t="s">
        <v>2564</v>
      </c>
      <c r="C647" s="2" t="s">
        <v>4230</v>
      </c>
      <c r="D647" s="2" t="s">
        <v>2378</v>
      </c>
      <c r="E647" s="3" t="s">
        <v>1718</v>
      </c>
      <c r="F647" s="3" t="s">
        <v>2374</v>
      </c>
      <c r="G647" s="2" t="s">
        <v>4936</v>
      </c>
      <c r="H647" s="2" t="s">
        <v>5147</v>
      </c>
      <c r="I647" s="3" t="s">
        <v>2565</v>
      </c>
      <c r="J647" s="3" t="s">
        <v>2566</v>
      </c>
      <c r="K647" s="3" t="s">
        <v>2567</v>
      </c>
      <c r="L647" s="3" t="s">
        <v>2378</v>
      </c>
      <c r="M647" s="3" t="s">
        <v>20</v>
      </c>
      <c r="N647" s="2">
        <v>417</v>
      </c>
      <c r="O647" s="3" t="s">
        <v>271</v>
      </c>
      <c r="P647" s="3" t="s">
        <v>22</v>
      </c>
      <c r="Q647" s="2" t="s">
        <v>6042</v>
      </c>
      <c r="R647" s="3" t="s">
        <v>2568</v>
      </c>
    </row>
    <row r="648" spans="1:18" x14ac:dyDescent="0.25">
      <c r="A648" s="2">
        <v>23713</v>
      </c>
      <c r="B648" s="3" t="s">
        <v>2569</v>
      </c>
      <c r="C648" s="2" t="s">
        <v>4231</v>
      </c>
      <c r="D648" s="2" t="s">
        <v>2378</v>
      </c>
      <c r="E648" s="3" t="s">
        <v>1718</v>
      </c>
      <c r="F648" s="3" t="s">
        <v>2374</v>
      </c>
      <c r="G648" s="2" t="s">
        <v>4936</v>
      </c>
      <c r="H648" s="2" t="s">
        <v>5148</v>
      </c>
      <c r="I648" s="3" t="s">
        <v>2565</v>
      </c>
      <c r="J648" s="3" t="s">
        <v>2412</v>
      </c>
      <c r="K648" s="3" t="s">
        <v>2570</v>
      </c>
      <c r="L648" s="3" t="s">
        <v>2378</v>
      </c>
      <c r="M648" s="3" t="s">
        <v>20</v>
      </c>
      <c r="N648" s="2">
        <v>417</v>
      </c>
      <c r="O648" s="3" t="s">
        <v>271</v>
      </c>
      <c r="P648" s="3" t="s">
        <v>22</v>
      </c>
      <c r="Q648" s="2" t="s">
        <v>6043</v>
      </c>
      <c r="R648" s="3" t="s">
        <v>2571</v>
      </c>
    </row>
    <row r="649" spans="1:18" x14ac:dyDescent="0.25">
      <c r="A649" s="2">
        <v>26065</v>
      </c>
      <c r="B649" s="3" t="s">
        <v>2572</v>
      </c>
      <c r="C649" s="2" t="s">
        <v>4232</v>
      </c>
      <c r="D649" s="2" t="s">
        <v>19</v>
      </c>
      <c r="E649" s="3" t="s">
        <v>1718</v>
      </c>
      <c r="F649" s="3" t="s">
        <v>2374</v>
      </c>
      <c r="G649" s="2" t="s">
        <v>4919</v>
      </c>
      <c r="H649" s="2" t="s">
        <v>5149</v>
      </c>
      <c r="I649" s="3" t="s">
        <v>2521</v>
      </c>
      <c r="J649" s="3" t="s">
        <v>2573</v>
      </c>
      <c r="K649" s="3" t="s">
        <v>2574</v>
      </c>
      <c r="L649" s="3" t="s">
        <v>19</v>
      </c>
      <c r="M649" s="3" t="s">
        <v>1985</v>
      </c>
      <c r="N649" s="2">
        <v>417</v>
      </c>
      <c r="O649" s="3" t="s">
        <v>244</v>
      </c>
      <c r="P649" s="3" t="s">
        <v>1986</v>
      </c>
      <c r="Q649" s="2" t="s">
        <v>6044</v>
      </c>
      <c r="R649" s="3" t="s">
        <v>2575</v>
      </c>
    </row>
    <row r="650" spans="1:18" x14ac:dyDescent="0.25">
      <c r="A650" s="2">
        <v>17818</v>
      </c>
      <c r="B650" s="3" t="s">
        <v>2576</v>
      </c>
      <c r="C650" s="2" t="s">
        <v>4233</v>
      </c>
      <c r="D650" s="2" t="s">
        <v>19</v>
      </c>
      <c r="E650" s="3" t="s">
        <v>1718</v>
      </c>
      <c r="F650" s="3" t="s">
        <v>2374</v>
      </c>
      <c r="G650" s="2" t="s">
        <v>4919</v>
      </c>
      <c r="H650" s="2" t="s">
        <v>5150</v>
      </c>
      <c r="I650" s="3" t="s">
        <v>2577</v>
      </c>
      <c r="J650" s="3" t="s">
        <v>138</v>
      </c>
      <c r="K650" s="3" t="s">
        <v>2578</v>
      </c>
      <c r="L650" s="3" t="s">
        <v>19</v>
      </c>
      <c r="M650" s="3" t="s">
        <v>1985</v>
      </c>
      <c r="N650" s="2">
        <v>417</v>
      </c>
      <c r="O650" s="3" t="s">
        <v>244</v>
      </c>
      <c r="P650" s="3" t="s">
        <v>1986</v>
      </c>
      <c r="Q650" s="2" t="s">
        <v>6045</v>
      </c>
      <c r="R650" s="3" t="s">
        <v>2579</v>
      </c>
    </row>
    <row r="651" spans="1:18" x14ac:dyDescent="0.25">
      <c r="A651" s="2">
        <v>35899</v>
      </c>
      <c r="B651" s="3" t="s">
        <v>2580</v>
      </c>
      <c r="C651" s="2" t="s">
        <v>4234</v>
      </c>
      <c r="D651" s="2" t="s">
        <v>19</v>
      </c>
      <c r="E651" s="3" t="s">
        <v>1718</v>
      </c>
      <c r="F651" s="3" t="s">
        <v>2374</v>
      </c>
      <c r="G651" s="2" t="s">
        <v>4919</v>
      </c>
      <c r="H651" s="2" t="s">
        <v>5151</v>
      </c>
      <c r="I651" s="3" t="s">
        <v>2581</v>
      </c>
      <c r="J651" s="3" t="s">
        <v>138</v>
      </c>
      <c r="K651" s="3" t="s">
        <v>2582</v>
      </c>
      <c r="L651" s="3" t="s">
        <v>19</v>
      </c>
      <c r="M651" s="3" t="s">
        <v>1985</v>
      </c>
      <c r="N651" s="2">
        <v>417</v>
      </c>
      <c r="O651" s="3" t="s">
        <v>244</v>
      </c>
      <c r="P651" s="3" t="s">
        <v>1986</v>
      </c>
      <c r="Q651" s="2" t="s">
        <v>6046</v>
      </c>
      <c r="R651" s="3" t="s">
        <v>2583</v>
      </c>
    </row>
    <row r="652" spans="1:18" x14ac:dyDescent="0.25">
      <c r="A652" s="2">
        <v>535264</v>
      </c>
      <c r="B652" s="3" t="s">
        <v>2584</v>
      </c>
      <c r="C652" s="2" t="s">
        <v>4235</v>
      </c>
      <c r="D652" s="2" t="s">
        <v>2378</v>
      </c>
      <c r="E652" s="3" t="s">
        <v>1718</v>
      </c>
      <c r="F652" s="3" t="s">
        <v>2374</v>
      </c>
      <c r="G652" s="2" t="s">
        <v>5152</v>
      </c>
      <c r="H652" s="2" t="s">
        <v>5153</v>
      </c>
      <c r="I652" s="3" t="s">
        <v>2375</v>
      </c>
      <c r="J652" s="3" t="s">
        <v>2585</v>
      </c>
      <c r="K652" s="3" t="s">
        <v>2586</v>
      </c>
      <c r="L652" s="3" t="s">
        <v>2378</v>
      </c>
      <c r="M652" s="3" t="s">
        <v>20</v>
      </c>
      <c r="N652" s="2">
        <v>417</v>
      </c>
      <c r="O652" s="3" t="s">
        <v>244</v>
      </c>
      <c r="P652" s="3" t="s">
        <v>22</v>
      </c>
      <c r="Q652" s="2" t="s">
        <v>6047</v>
      </c>
      <c r="R652" s="3" t="s">
        <v>2587</v>
      </c>
    </row>
    <row r="653" spans="1:18" x14ac:dyDescent="0.25">
      <c r="A653" s="2">
        <v>14243</v>
      </c>
      <c r="B653" s="3" t="s">
        <v>2588</v>
      </c>
      <c r="C653" s="2" t="s">
        <v>4236</v>
      </c>
      <c r="D653" s="2" t="s">
        <v>2378</v>
      </c>
      <c r="E653" s="3" t="s">
        <v>1718</v>
      </c>
      <c r="F653" s="3" t="s">
        <v>2374</v>
      </c>
      <c r="G653" s="2" t="s">
        <v>5101</v>
      </c>
      <c r="H653" s="2" t="s">
        <v>5154</v>
      </c>
      <c r="I653" s="3" t="s">
        <v>2375</v>
      </c>
      <c r="J653" s="3" t="s">
        <v>2589</v>
      </c>
      <c r="K653" s="3" t="s">
        <v>2590</v>
      </c>
      <c r="L653" s="3" t="s">
        <v>2378</v>
      </c>
      <c r="M653" s="3" t="s">
        <v>20</v>
      </c>
      <c r="N653" s="2">
        <v>417</v>
      </c>
      <c r="O653" s="3" t="s">
        <v>271</v>
      </c>
      <c r="P653" s="3" t="s">
        <v>22</v>
      </c>
      <c r="Q653" s="2" t="s">
        <v>6048</v>
      </c>
      <c r="R653" s="3" t="s">
        <v>2591</v>
      </c>
    </row>
    <row r="654" spans="1:18" x14ac:dyDescent="0.25">
      <c r="A654" s="2">
        <v>557</v>
      </c>
      <c r="B654" s="3" t="s">
        <v>2592</v>
      </c>
      <c r="C654" s="2" t="s">
        <v>4237</v>
      </c>
      <c r="D654" s="2" t="s">
        <v>19</v>
      </c>
      <c r="E654" s="3" t="s">
        <v>1718</v>
      </c>
      <c r="F654" s="3" t="s">
        <v>2374</v>
      </c>
      <c r="G654" s="2" t="s">
        <v>5105</v>
      </c>
      <c r="H654" s="2" t="s">
        <v>5155</v>
      </c>
      <c r="I654" s="3" t="s">
        <v>2398</v>
      </c>
      <c r="J654" s="3" t="s">
        <v>2593</v>
      </c>
      <c r="K654" s="3" t="s">
        <v>2594</v>
      </c>
      <c r="L654" s="3" t="s">
        <v>19</v>
      </c>
      <c r="M654" s="3" t="s">
        <v>1969</v>
      </c>
      <c r="N654" s="2">
        <v>417</v>
      </c>
      <c r="O654" s="3" t="s">
        <v>96</v>
      </c>
      <c r="P654" s="3" t="s">
        <v>97</v>
      </c>
      <c r="Q654" s="2" t="s">
        <v>6049</v>
      </c>
      <c r="R654" s="3" t="s">
        <v>2595</v>
      </c>
    </row>
    <row r="655" spans="1:18" x14ac:dyDescent="0.25">
      <c r="A655" s="2">
        <v>28893</v>
      </c>
      <c r="B655" s="3" t="s">
        <v>2596</v>
      </c>
      <c r="C655" s="2" t="s">
        <v>4238</v>
      </c>
      <c r="D655" s="2" t="s">
        <v>19</v>
      </c>
      <c r="E655" s="3" t="s">
        <v>1718</v>
      </c>
      <c r="F655" s="3" t="s">
        <v>2374</v>
      </c>
      <c r="G655" s="2" t="s">
        <v>4919</v>
      </c>
      <c r="H655" s="2" t="s">
        <v>5156</v>
      </c>
      <c r="I655" s="3" t="s">
        <v>2434</v>
      </c>
      <c r="J655" s="3" t="s">
        <v>138</v>
      </c>
      <c r="K655" s="3" t="s">
        <v>2597</v>
      </c>
      <c r="L655" s="3" t="s">
        <v>19</v>
      </c>
      <c r="M655" s="3" t="s">
        <v>1985</v>
      </c>
      <c r="N655" s="2">
        <v>417</v>
      </c>
      <c r="O655" s="3" t="s">
        <v>244</v>
      </c>
      <c r="P655" s="3" t="s">
        <v>1986</v>
      </c>
      <c r="Q655" s="2" t="s">
        <v>6050</v>
      </c>
      <c r="R655" s="3" t="s">
        <v>2598</v>
      </c>
    </row>
    <row r="656" spans="1:18" x14ac:dyDescent="0.25">
      <c r="A656" s="2">
        <v>31074</v>
      </c>
      <c r="B656" s="3" t="s">
        <v>2599</v>
      </c>
      <c r="C656" s="2" t="s">
        <v>4239</v>
      </c>
      <c r="D656" s="2" t="s">
        <v>19</v>
      </c>
      <c r="E656" s="3" t="s">
        <v>1718</v>
      </c>
      <c r="F656" s="3" t="s">
        <v>2374</v>
      </c>
      <c r="G656" s="2" t="s">
        <v>4919</v>
      </c>
      <c r="H656" s="2" t="s">
        <v>5157</v>
      </c>
      <c r="I656" s="3" t="s">
        <v>2600</v>
      </c>
      <c r="J656" s="3" t="s">
        <v>2601</v>
      </c>
      <c r="K656" s="3" t="s">
        <v>2602</v>
      </c>
      <c r="L656" s="3" t="s">
        <v>19</v>
      </c>
      <c r="M656" s="3" t="s">
        <v>1969</v>
      </c>
      <c r="N656" s="2">
        <v>417</v>
      </c>
      <c r="O656" s="3" t="s">
        <v>96</v>
      </c>
      <c r="P656" s="3" t="s">
        <v>97</v>
      </c>
      <c r="Q656" s="2" t="s">
        <v>6051</v>
      </c>
      <c r="R656" s="3" t="s">
        <v>2603</v>
      </c>
    </row>
    <row r="657" spans="1:18" x14ac:dyDescent="0.25">
      <c r="A657" s="2">
        <v>5578</v>
      </c>
      <c r="B657" s="3" t="s">
        <v>2604</v>
      </c>
      <c r="C657" s="2" t="s">
        <v>4240</v>
      </c>
      <c r="D657" s="2" t="s">
        <v>19</v>
      </c>
      <c r="E657" s="3" t="s">
        <v>1718</v>
      </c>
      <c r="F657" s="3" t="s">
        <v>2374</v>
      </c>
      <c r="G657" s="2" t="s">
        <v>4919</v>
      </c>
      <c r="H657" s="2" t="s">
        <v>5158</v>
      </c>
      <c r="I657" s="3" t="s">
        <v>2557</v>
      </c>
      <c r="J657" s="3" t="s">
        <v>138</v>
      </c>
      <c r="K657" s="3" t="s">
        <v>2558</v>
      </c>
      <c r="L657" s="3" t="s">
        <v>19</v>
      </c>
      <c r="M657" s="3" t="s">
        <v>1969</v>
      </c>
      <c r="N657" s="2">
        <v>417</v>
      </c>
      <c r="O657" s="3" t="s">
        <v>96</v>
      </c>
      <c r="P657" s="3" t="s">
        <v>97</v>
      </c>
      <c r="Q657" s="2" t="s">
        <v>6052</v>
      </c>
      <c r="R657" s="3" t="s">
        <v>2605</v>
      </c>
    </row>
    <row r="658" spans="1:18" x14ac:dyDescent="0.25">
      <c r="A658" s="2">
        <v>40703</v>
      </c>
      <c r="B658" s="3" t="s">
        <v>2606</v>
      </c>
      <c r="C658" s="2" t="s">
        <v>4241</v>
      </c>
      <c r="D658" s="2" t="s">
        <v>2378</v>
      </c>
      <c r="E658" s="3" t="s">
        <v>1718</v>
      </c>
      <c r="F658" s="3" t="s">
        <v>2374</v>
      </c>
      <c r="G658" s="2" t="s">
        <v>5101</v>
      </c>
      <c r="H658" s="2" t="s">
        <v>5159</v>
      </c>
      <c r="I658" s="3" t="s">
        <v>2509</v>
      </c>
      <c r="J658" s="3" t="s">
        <v>410</v>
      </c>
      <c r="K658" s="3" t="s">
        <v>2607</v>
      </c>
      <c r="L658" s="3" t="s">
        <v>2378</v>
      </c>
      <c r="M658" s="3" t="s">
        <v>20</v>
      </c>
      <c r="N658" s="2">
        <v>417</v>
      </c>
      <c r="O658" s="3" t="s">
        <v>96</v>
      </c>
      <c r="P658" s="3" t="s">
        <v>22</v>
      </c>
      <c r="Q658" s="2" t="s">
        <v>6053</v>
      </c>
      <c r="R658" s="3" t="s">
        <v>2608</v>
      </c>
    </row>
    <row r="659" spans="1:18" x14ac:dyDescent="0.25">
      <c r="A659" s="2">
        <v>19356</v>
      </c>
      <c r="B659" s="3" t="s">
        <v>2609</v>
      </c>
      <c r="C659" s="2" t="s">
        <v>4242</v>
      </c>
      <c r="D659" s="2" t="s">
        <v>19</v>
      </c>
      <c r="E659" s="3" t="s">
        <v>1718</v>
      </c>
      <c r="F659" s="3" t="s">
        <v>2374</v>
      </c>
      <c r="G659" s="2" t="s">
        <v>4919</v>
      </c>
      <c r="H659" s="2" t="s">
        <v>5160</v>
      </c>
      <c r="I659" s="3" t="s">
        <v>2393</v>
      </c>
      <c r="J659" s="3" t="s">
        <v>2610</v>
      </c>
      <c r="K659" s="3" t="s">
        <v>2611</v>
      </c>
      <c r="L659" s="3" t="s">
        <v>19</v>
      </c>
      <c r="M659" s="3" t="s">
        <v>1985</v>
      </c>
      <c r="N659" s="2">
        <v>417</v>
      </c>
      <c r="O659" s="3" t="s">
        <v>244</v>
      </c>
      <c r="P659" s="3" t="s">
        <v>1986</v>
      </c>
      <c r="Q659" s="2" t="s">
        <v>6054</v>
      </c>
      <c r="R659" s="3" t="s">
        <v>2612</v>
      </c>
    </row>
    <row r="660" spans="1:18" x14ac:dyDescent="0.25">
      <c r="A660" s="2">
        <v>38929</v>
      </c>
      <c r="B660" s="3" t="s">
        <v>2613</v>
      </c>
      <c r="C660" s="2" t="s">
        <v>4243</v>
      </c>
      <c r="D660" s="2" t="s">
        <v>19</v>
      </c>
      <c r="E660" s="3" t="s">
        <v>1718</v>
      </c>
      <c r="F660" s="3" t="s">
        <v>2374</v>
      </c>
      <c r="G660" s="2" t="s">
        <v>4919</v>
      </c>
      <c r="H660" s="2" t="s">
        <v>5161</v>
      </c>
      <c r="I660" s="3" t="s">
        <v>2577</v>
      </c>
      <c r="J660" s="3" t="s">
        <v>138</v>
      </c>
      <c r="K660" s="3" t="s">
        <v>2614</v>
      </c>
      <c r="L660" s="3" t="s">
        <v>19</v>
      </c>
      <c r="M660" s="3" t="s">
        <v>1985</v>
      </c>
      <c r="N660" s="2">
        <v>417</v>
      </c>
      <c r="O660" s="3" t="s">
        <v>244</v>
      </c>
      <c r="P660" s="3" t="s">
        <v>1986</v>
      </c>
      <c r="Q660" s="2" t="s">
        <v>6055</v>
      </c>
      <c r="R660" s="3" t="s">
        <v>2615</v>
      </c>
    </row>
    <row r="661" spans="1:18" x14ac:dyDescent="0.25">
      <c r="A661" s="2">
        <v>41198</v>
      </c>
      <c r="B661" s="3" t="s">
        <v>2616</v>
      </c>
      <c r="C661" s="2" t="s">
        <v>4244</v>
      </c>
      <c r="D661" s="2" t="s">
        <v>2378</v>
      </c>
      <c r="E661" s="3" t="s">
        <v>1718</v>
      </c>
      <c r="F661" s="3" t="s">
        <v>2374</v>
      </c>
      <c r="G661" s="2" t="s">
        <v>5098</v>
      </c>
      <c r="H661" s="2" t="s">
        <v>5162</v>
      </c>
      <c r="I661" s="3" t="s">
        <v>2504</v>
      </c>
      <c r="J661" s="3" t="s">
        <v>2617</v>
      </c>
      <c r="K661" s="3" t="s">
        <v>2618</v>
      </c>
      <c r="L661" s="3" t="s">
        <v>2378</v>
      </c>
      <c r="M661" s="3" t="s">
        <v>20</v>
      </c>
      <c r="N661" s="2">
        <v>417</v>
      </c>
      <c r="O661" s="3" t="s">
        <v>21</v>
      </c>
      <c r="P661" s="3" t="s">
        <v>22</v>
      </c>
      <c r="Q661" s="2" t="s">
        <v>6056</v>
      </c>
      <c r="R661" s="3" t="s">
        <v>2619</v>
      </c>
    </row>
    <row r="662" spans="1:18" x14ac:dyDescent="0.25">
      <c r="A662" s="2">
        <v>19418</v>
      </c>
      <c r="B662" s="3" t="s">
        <v>2620</v>
      </c>
      <c r="C662" s="2" t="s">
        <v>4245</v>
      </c>
      <c r="D662" s="2" t="s">
        <v>2378</v>
      </c>
      <c r="E662" s="3" t="s">
        <v>1718</v>
      </c>
      <c r="F662" s="3" t="s">
        <v>2374</v>
      </c>
      <c r="G662" s="2" t="s">
        <v>4936</v>
      </c>
      <c r="H662" s="2" t="s">
        <v>5163</v>
      </c>
      <c r="I662" s="3" t="s">
        <v>2375</v>
      </c>
      <c r="J662" s="3" t="s">
        <v>2621</v>
      </c>
      <c r="K662" s="3" t="s">
        <v>2622</v>
      </c>
      <c r="L662" s="3" t="s">
        <v>2378</v>
      </c>
      <c r="M662" s="3" t="s">
        <v>20</v>
      </c>
      <c r="N662" s="2">
        <v>417</v>
      </c>
      <c r="O662" s="3" t="s">
        <v>271</v>
      </c>
      <c r="P662" s="3" t="s">
        <v>22</v>
      </c>
      <c r="Q662" s="2" t="s">
        <v>6057</v>
      </c>
      <c r="R662" s="3" t="s">
        <v>2623</v>
      </c>
    </row>
    <row r="663" spans="1:18" x14ac:dyDescent="0.25">
      <c r="A663" s="2">
        <v>9916</v>
      </c>
      <c r="B663" s="3" t="s">
        <v>2624</v>
      </c>
      <c r="C663" s="2" t="s">
        <v>4246</v>
      </c>
      <c r="D663" s="2" t="s">
        <v>19</v>
      </c>
      <c r="E663" s="3" t="s">
        <v>1718</v>
      </c>
      <c r="F663" s="3" t="s">
        <v>2374</v>
      </c>
      <c r="G663" s="2" t="s">
        <v>5105</v>
      </c>
      <c r="H663" s="2" t="s">
        <v>5164</v>
      </c>
      <c r="I663" s="3" t="s">
        <v>2424</v>
      </c>
      <c r="J663" s="3" t="s">
        <v>138</v>
      </c>
      <c r="K663" s="3" t="s">
        <v>2426</v>
      </c>
      <c r="L663" s="3" t="s">
        <v>19</v>
      </c>
      <c r="M663" s="3" t="s">
        <v>1969</v>
      </c>
      <c r="N663" s="2">
        <v>417</v>
      </c>
      <c r="O663" s="3" t="s">
        <v>96</v>
      </c>
      <c r="P663" s="3" t="s">
        <v>97</v>
      </c>
      <c r="Q663" s="2" t="s">
        <v>6058</v>
      </c>
      <c r="R663" s="3" t="s">
        <v>2625</v>
      </c>
    </row>
    <row r="664" spans="1:18" x14ac:dyDescent="0.25">
      <c r="A664" s="2">
        <v>39754</v>
      </c>
      <c r="B664" s="3" t="s">
        <v>2626</v>
      </c>
      <c r="C664" s="2" t="s">
        <v>4247</v>
      </c>
      <c r="D664" s="2" t="s">
        <v>19</v>
      </c>
      <c r="E664" s="3" t="s">
        <v>1718</v>
      </c>
      <c r="F664" s="3" t="s">
        <v>2374</v>
      </c>
      <c r="G664" s="2" t="s">
        <v>4919</v>
      </c>
      <c r="H664" s="2" t="s">
        <v>5165</v>
      </c>
      <c r="I664" s="3" t="s">
        <v>2525</v>
      </c>
      <c r="J664" s="3" t="s">
        <v>2627</v>
      </c>
      <c r="K664" s="3" t="s">
        <v>2628</v>
      </c>
      <c r="L664" s="3" t="s">
        <v>19</v>
      </c>
      <c r="M664" s="3" t="s">
        <v>1969</v>
      </c>
      <c r="N664" s="2">
        <v>417</v>
      </c>
      <c r="O664" s="3" t="s">
        <v>96</v>
      </c>
      <c r="P664" s="3" t="s">
        <v>97</v>
      </c>
      <c r="Q664" s="2" t="s">
        <v>6059</v>
      </c>
      <c r="R664" s="3" t="s">
        <v>2629</v>
      </c>
    </row>
    <row r="665" spans="1:18" x14ac:dyDescent="0.25">
      <c r="A665" s="2">
        <v>34759</v>
      </c>
      <c r="B665" s="3" t="s">
        <v>2630</v>
      </c>
      <c r="C665" s="2" t="s">
        <v>4248</v>
      </c>
      <c r="D665" s="2" t="s">
        <v>19</v>
      </c>
      <c r="E665" s="3" t="s">
        <v>1718</v>
      </c>
      <c r="F665" s="3" t="s">
        <v>2374</v>
      </c>
      <c r="G665" s="2" t="s">
        <v>5105</v>
      </c>
      <c r="H665" s="2" t="s">
        <v>5166</v>
      </c>
      <c r="I665" s="3" t="s">
        <v>2631</v>
      </c>
      <c r="J665" s="3" t="s">
        <v>1862</v>
      </c>
      <c r="K665" s="3" t="s">
        <v>2632</v>
      </c>
      <c r="L665" s="3" t="s">
        <v>19</v>
      </c>
      <c r="M665" s="3" t="s">
        <v>1969</v>
      </c>
      <c r="N665" s="2">
        <v>417</v>
      </c>
      <c r="O665" s="3" t="s">
        <v>96</v>
      </c>
      <c r="P665" s="3" t="s">
        <v>97</v>
      </c>
      <c r="Q665" s="2" t="s">
        <v>6060</v>
      </c>
      <c r="R665" s="3" t="s">
        <v>2633</v>
      </c>
    </row>
    <row r="666" spans="1:18" x14ac:dyDescent="0.25">
      <c r="A666" s="2">
        <v>22995</v>
      </c>
      <c r="B666" s="3" t="s">
        <v>2634</v>
      </c>
      <c r="C666" s="2" t="s">
        <v>4249</v>
      </c>
      <c r="D666" s="2" t="s">
        <v>2378</v>
      </c>
      <c r="E666" s="3" t="s">
        <v>1718</v>
      </c>
      <c r="F666" s="3" t="s">
        <v>2374</v>
      </c>
      <c r="G666" s="2" t="s">
        <v>4936</v>
      </c>
      <c r="H666" s="2" t="s">
        <v>5167</v>
      </c>
      <c r="I666" s="3" t="s">
        <v>2504</v>
      </c>
      <c r="J666" s="3" t="s">
        <v>2635</v>
      </c>
      <c r="K666" s="3" t="s">
        <v>2636</v>
      </c>
      <c r="L666" s="3" t="s">
        <v>2378</v>
      </c>
      <c r="M666" s="3" t="s">
        <v>20</v>
      </c>
      <c r="N666" s="2">
        <v>417</v>
      </c>
      <c r="O666" s="3" t="s">
        <v>21</v>
      </c>
      <c r="P666" s="3" t="s">
        <v>22</v>
      </c>
      <c r="Q666" s="2" t="s">
        <v>6061</v>
      </c>
      <c r="R666" s="3" t="s">
        <v>2637</v>
      </c>
    </row>
    <row r="667" spans="1:18" x14ac:dyDescent="0.25">
      <c r="A667" s="2">
        <v>24099</v>
      </c>
      <c r="B667" s="3" t="s">
        <v>2638</v>
      </c>
      <c r="C667" s="2" t="s">
        <v>4250</v>
      </c>
      <c r="D667" s="2" t="s">
        <v>19</v>
      </c>
      <c r="E667" s="3" t="s">
        <v>1718</v>
      </c>
      <c r="F667" s="3" t="s">
        <v>2374</v>
      </c>
      <c r="G667" s="2" t="s">
        <v>5105</v>
      </c>
      <c r="H667" s="2" t="s">
        <v>5168</v>
      </c>
      <c r="I667" s="3" t="s">
        <v>2639</v>
      </c>
      <c r="J667" s="3" t="s">
        <v>138</v>
      </c>
      <c r="K667" s="3" t="s">
        <v>2640</v>
      </c>
      <c r="L667" s="3" t="s">
        <v>19</v>
      </c>
      <c r="M667" s="3" t="s">
        <v>1969</v>
      </c>
      <c r="N667" s="2">
        <v>417</v>
      </c>
      <c r="O667" s="3" t="s">
        <v>96</v>
      </c>
      <c r="P667" s="3" t="s">
        <v>97</v>
      </c>
      <c r="Q667" s="2" t="s">
        <v>6062</v>
      </c>
      <c r="R667" s="3" t="s">
        <v>2641</v>
      </c>
    </row>
    <row r="668" spans="1:18" x14ac:dyDescent="0.25">
      <c r="A668" s="2">
        <v>14057</v>
      </c>
      <c r="B668" s="3" t="s">
        <v>2642</v>
      </c>
      <c r="C668" s="2" t="s">
        <v>4251</v>
      </c>
      <c r="D668" s="2" t="s">
        <v>2378</v>
      </c>
      <c r="E668" s="3" t="s">
        <v>1718</v>
      </c>
      <c r="F668" s="3" t="s">
        <v>2374</v>
      </c>
      <c r="G668" s="2" t="s">
        <v>4936</v>
      </c>
      <c r="H668" s="2" t="s">
        <v>5169</v>
      </c>
      <c r="I668" s="3" t="s">
        <v>2549</v>
      </c>
      <c r="J668" s="3" t="s">
        <v>138</v>
      </c>
      <c r="K668" s="3" t="s">
        <v>2643</v>
      </c>
      <c r="L668" s="3" t="s">
        <v>2378</v>
      </c>
      <c r="M668" s="3" t="s">
        <v>1969</v>
      </c>
      <c r="N668" s="2">
        <v>417</v>
      </c>
      <c r="O668" s="3" t="s">
        <v>96</v>
      </c>
      <c r="P668" s="3" t="s">
        <v>97</v>
      </c>
      <c r="Q668" s="2" t="s">
        <v>6063</v>
      </c>
      <c r="R668" s="3" t="s">
        <v>2644</v>
      </c>
    </row>
    <row r="669" spans="1:18" x14ac:dyDescent="0.25">
      <c r="A669" s="2">
        <v>38911</v>
      </c>
      <c r="B669" s="3" t="s">
        <v>2645</v>
      </c>
      <c r="C669" s="2" t="s">
        <v>4252</v>
      </c>
      <c r="D669" s="2" t="s">
        <v>19</v>
      </c>
      <c r="E669" s="3" t="s">
        <v>1718</v>
      </c>
      <c r="F669" s="3" t="s">
        <v>2374</v>
      </c>
      <c r="G669" s="2" t="s">
        <v>5101</v>
      </c>
      <c r="H669" s="2" t="s">
        <v>5170</v>
      </c>
      <c r="I669" s="3" t="s">
        <v>2646</v>
      </c>
      <c r="J669" s="3" t="s">
        <v>2647</v>
      </c>
      <c r="K669" s="3" t="s">
        <v>2648</v>
      </c>
      <c r="L669" s="3" t="s">
        <v>19</v>
      </c>
      <c r="M669" s="3" t="s">
        <v>1969</v>
      </c>
      <c r="N669" s="2">
        <v>417</v>
      </c>
      <c r="O669" s="3" t="s">
        <v>96</v>
      </c>
      <c r="P669" s="3" t="s">
        <v>97</v>
      </c>
      <c r="Q669" s="2" t="s">
        <v>6064</v>
      </c>
      <c r="R669" s="3" t="s">
        <v>2649</v>
      </c>
    </row>
    <row r="670" spans="1:18" x14ac:dyDescent="0.25">
      <c r="A670" s="2">
        <v>38669</v>
      </c>
      <c r="B670" s="3" t="s">
        <v>2650</v>
      </c>
      <c r="C670" s="2" t="s">
        <v>4253</v>
      </c>
      <c r="D670" s="2" t="s">
        <v>2378</v>
      </c>
      <c r="E670" s="3" t="s">
        <v>1718</v>
      </c>
      <c r="F670" s="3" t="s">
        <v>2374</v>
      </c>
      <c r="G670" s="2" t="s">
        <v>5098</v>
      </c>
      <c r="H670" s="2" t="s">
        <v>5171</v>
      </c>
      <c r="I670" s="3" t="s">
        <v>2375</v>
      </c>
      <c r="J670" s="3" t="s">
        <v>2412</v>
      </c>
      <c r="K670" s="3" t="s">
        <v>2651</v>
      </c>
      <c r="L670" s="3" t="s">
        <v>2378</v>
      </c>
      <c r="M670" s="3" t="s">
        <v>20</v>
      </c>
      <c r="N670" s="2">
        <v>417</v>
      </c>
      <c r="O670" s="3" t="s">
        <v>271</v>
      </c>
      <c r="P670" s="3" t="s">
        <v>22</v>
      </c>
      <c r="Q670" s="2" t="s">
        <v>6065</v>
      </c>
      <c r="R670" s="3" t="s">
        <v>2652</v>
      </c>
    </row>
    <row r="671" spans="1:18" x14ac:dyDescent="0.25">
      <c r="A671" s="2">
        <v>38247</v>
      </c>
      <c r="B671" s="3" t="s">
        <v>2653</v>
      </c>
      <c r="C671" s="2" t="s">
        <v>4254</v>
      </c>
      <c r="D671" s="2" t="s">
        <v>2378</v>
      </c>
      <c r="E671" s="3" t="s">
        <v>1718</v>
      </c>
      <c r="F671" s="3" t="s">
        <v>2374</v>
      </c>
      <c r="G671" s="2" t="s">
        <v>5101</v>
      </c>
      <c r="H671" s="2" t="s">
        <v>5172</v>
      </c>
      <c r="I671" s="3" t="s">
        <v>2375</v>
      </c>
      <c r="J671" s="3" t="s">
        <v>138</v>
      </c>
      <c r="K671" s="3" t="s">
        <v>2654</v>
      </c>
      <c r="L671" s="3" t="s">
        <v>2378</v>
      </c>
      <c r="M671" s="3" t="s">
        <v>20</v>
      </c>
      <c r="N671" s="2">
        <v>417</v>
      </c>
      <c r="O671" s="3" t="s">
        <v>271</v>
      </c>
      <c r="P671" s="3" t="s">
        <v>22</v>
      </c>
      <c r="Q671" s="2" t="s">
        <v>6066</v>
      </c>
      <c r="R671" s="3" t="s">
        <v>2655</v>
      </c>
    </row>
    <row r="672" spans="1:18" x14ac:dyDescent="0.25">
      <c r="A672" s="2">
        <v>334982</v>
      </c>
      <c r="B672" s="3" t="s">
        <v>2656</v>
      </c>
      <c r="C672" s="2" t="s">
        <v>4255</v>
      </c>
      <c r="D672" s="2" t="s">
        <v>2378</v>
      </c>
      <c r="E672" s="3" t="s">
        <v>1718</v>
      </c>
      <c r="F672" s="3" t="s">
        <v>2374</v>
      </c>
      <c r="G672" s="2" t="s">
        <v>5101</v>
      </c>
      <c r="H672" s="2" t="s">
        <v>5173</v>
      </c>
      <c r="I672" s="3" t="s">
        <v>2657</v>
      </c>
      <c r="J672" s="3" t="s">
        <v>2658</v>
      </c>
      <c r="K672" s="3" t="s">
        <v>2659</v>
      </c>
      <c r="L672" s="3" t="s">
        <v>2378</v>
      </c>
      <c r="M672" s="3" t="s">
        <v>20</v>
      </c>
      <c r="N672" s="2">
        <v>417</v>
      </c>
      <c r="O672" s="3" t="s">
        <v>96</v>
      </c>
      <c r="P672" s="3" t="s">
        <v>22</v>
      </c>
      <c r="Q672" s="2" t="s">
        <v>6067</v>
      </c>
      <c r="R672" s="3" t="s">
        <v>2660</v>
      </c>
    </row>
    <row r="673" spans="1:18" x14ac:dyDescent="0.25">
      <c r="A673" s="2">
        <v>2861</v>
      </c>
      <c r="B673" s="3" t="s">
        <v>2661</v>
      </c>
      <c r="C673" s="2" t="s">
        <v>4256</v>
      </c>
      <c r="D673" s="2" t="s">
        <v>2378</v>
      </c>
      <c r="E673" s="3" t="s">
        <v>1718</v>
      </c>
      <c r="F673" s="3" t="s">
        <v>2374</v>
      </c>
      <c r="G673" s="2" t="s">
        <v>5098</v>
      </c>
      <c r="H673" s="2" t="s">
        <v>5174</v>
      </c>
      <c r="I673" s="3" t="s">
        <v>2375</v>
      </c>
      <c r="J673" s="3" t="s">
        <v>2662</v>
      </c>
      <c r="K673" s="3" t="s">
        <v>2663</v>
      </c>
      <c r="L673" s="3" t="s">
        <v>2378</v>
      </c>
      <c r="M673" s="3" t="s">
        <v>20</v>
      </c>
      <c r="N673" s="2">
        <v>417</v>
      </c>
      <c r="O673" s="3" t="s">
        <v>271</v>
      </c>
      <c r="P673" s="3" t="s">
        <v>22</v>
      </c>
      <c r="Q673" s="2" t="s">
        <v>6068</v>
      </c>
      <c r="R673" s="3" t="s">
        <v>2664</v>
      </c>
    </row>
    <row r="674" spans="1:18" x14ac:dyDescent="0.25">
      <c r="A674" s="2">
        <v>50783</v>
      </c>
      <c r="B674" s="3" t="s">
        <v>2665</v>
      </c>
      <c r="C674" s="2" t="s">
        <v>4257</v>
      </c>
      <c r="D674" s="2" t="s">
        <v>2378</v>
      </c>
      <c r="E674" s="3" t="s">
        <v>1718</v>
      </c>
      <c r="F674" s="3" t="s">
        <v>2374</v>
      </c>
      <c r="G674" s="2" t="s">
        <v>5067</v>
      </c>
      <c r="H674" s="2" t="s">
        <v>5175</v>
      </c>
      <c r="I674" s="3" t="s">
        <v>2375</v>
      </c>
      <c r="J674" s="3" t="s">
        <v>2662</v>
      </c>
      <c r="K674" s="3" t="s">
        <v>2666</v>
      </c>
      <c r="L674" s="3" t="s">
        <v>2378</v>
      </c>
      <c r="M674" s="3" t="s">
        <v>20</v>
      </c>
      <c r="N674" s="2">
        <v>417</v>
      </c>
      <c r="O674" s="3" t="s">
        <v>271</v>
      </c>
      <c r="P674" s="3" t="s">
        <v>22</v>
      </c>
      <c r="Q674" s="2" t="s">
        <v>6069</v>
      </c>
      <c r="R674" s="3" t="s">
        <v>2667</v>
      </c>
    </row>
    <row r="675" spans="1:18" x14ac:dyDescent="0.25">
      <c r="A675" s="2">
        <v>22327</v>
      </c>
      <c r="B675" s="3" t="s">
        <v>2668</v>
      </c>
      <c r="C675" s="2" t="s">
        <v>4258</v>
      </c>
      <c r="D675" s="2" t="s">
        <v>19</v>
      </c>
      <c r="E675" s="3" t="s">
        <v>1718</v>
      </c>
      <c r="F675" s="3" t="s">
        <v>2374</v>
      </c>
      <c r="G675" s="2" t="s">
        <v>4919</v>
      </c>
      <c r="H675" s="2" t="s">
        <v>5176</v>
      </c>
      <c r="I675" s="3" t="s">
        <v>2469</v>
      </c>
      <c r="J675" s="3" t="s">
        <v>2669</v>
      </c>
      <c r="K675" s="3" t="s">
        <v>2670</v>
      </c>
      <c r="L675" s="3" t="s">
        <v>19</v>
      </c>
      <c r="M675" s="3" t="s">
        <v>1985</v>
      </c>
      <c r="N675" s="2">
        <v>417</v>
      </c>
      <c r="O675" s="3" t="s">
        <v>244</v>
      </c>
      <c r="P675" s="3" t="s">
        <v>1986</v>
      </c>
      <c r="Q675" s="2" t="s">
        <v>6070</v>
      </c>
      <c r="R675" s="3" t="s">
        <v>2671</v>
      </c>
    </row>
    <row r="676" spans="1:18" x14ac:dyDescent="0.25">
      <c r="A676" s="2">
        <v>22206</v>
      </c>
      <c r="B676" s="3" t="s">
        <v>2672</v>
      </c>
      <c r="C676" s="2" t="s">
        <v>4259</v>
      </c>
      <c r="D676" s="2" t="s">
        <v>19</v>
      </c>
      <c r="E676" s="3" t="s">
        <v>1718</v>
      </c>
      <c r="F676" s="3" t="s">
        <v>2374</v>
      </c>
      <c r="G676" s="2" t="s">
        <v>4919</v>
      </c>
      <c r="H676" s="2" t="s">
        <v>5177</v>
      </c>
      <c r="I676" s="3" t="s">
        <v>2577</v>
      </c>
      <c r="J676" s="3" t="s">
        <v>2673</v>
      </c>
      <c r="K676" s="3" t="s">
        <v>2674</v>
      </c>
      <c r="L676" s="3" t="s">
        <v>19</v>
      </c>
      <c r="M676" s="3" t="s">
        <v>1985</v>
      </c>
      <c r="N676" s="2">
        <v>417</v>
      </c>
      <c r="O676" s="3" t="s">
        <v>244</v>
      </c>
      <c r="P676" s="3" t="s">
        <v>1986</v>
      </c>
      <c r="Q676" s="2" t="s">
        <v>6071</v>
      </c>
      <c r="R676" s="3" t="s">
        <v>2675</v>
      </c>
    </row>
    <row r="677" spans="1:18" x14ac:dyDescent="0.25">
      <c r="A677" s="2">
        <v>36523</v>
      </c>
      <c r="B677" s="3" t="s">
        <v>2676</v>
      </c>
      <c r="C677" s="2" t="s">
        <v>4260</v>
      </c>
      <c r="D677" s="2" t="s">
        <v>19</v>
      </c>
      <c r="E677" s="3" t="s">
        <v>1718</v>
      </c>
      <c r="F677" s="3" t="s">
        <v>2374</v>
      </c>
      <c r="G677" s="2" t="s">
        <v>4919</v>
      </c>
      <c r="H677" s="2" t="s">
        <v>5178</v>
      </c>
      <c r="I677" s="3" t="s">
        <v>2416</v>
      </c>
      <c r="J677" s="3" t="s">
        <v>138</v>
      </c>
      <c r="K677" s="3" t="s">
        <v>2677</v>
      </c>
      <c r="L677" s="3" t="s">
        <v>19</v>
      </c>
      <c r="M677" s="3" t="s">
        <v>1969</v>
      </c>
      <c r="N677" s="2">
        <v>417</v>
      </c>
      <c r="O677" s="3" t="s">
        <v>96</v>
      </c>
      <c r="P677" s="3" t="s">
        <v>97</v>
      </c>
      <c r="Q677" s="2" t="s">
        <v>6072</v>
      </c>
      <c r="R677" s="3" t="s">
        <v>2678</v>
      </c>
    </row>
    <row r="678" spans="1:18" x14ac:dyDescent="0.25">
      <c r="A678" s="2">
        <v>8934</v>
      </c>
      <c r="B678" s="3" t="s">
        <v>2679</v>
      </c>
      <c r="C678" s="2" t="s">
        <v>4261</v>
      </c>
      <c r="D678" s="2" t="s">
        <v>2684</v>
      </c>
      <c r="E678" s="3" t="s">
        <v>1718</v>
      </c>
      <c r="F678" s="3" t="s">
        <v>2680</v>
      </c>
      <c r="G678" s="2" t="s">
        <v>5179</v>
      </c>
      <c r="H678" s="2" t="s">
        <v>5180</v>
      </c>
      <c r="I678" s="3" t="s">
        <v>2681</v>
      </c>
      <c r="J678" s="3" t="s">
        <v>2682</v>
      </c>
      <c r="K678" s="3" t="s">
        <v>2683</v>
      </c>
      <c r="L678" s="3" t="s">
        <v>2684</v>
      </c>
      <c r="M678" s="3" t="s">
        <v>20</v>
      </c>
      <c r="N678" s="2">
        <v>0</v>
      </c>
      <c r="O678" s="3" t="s">
        <v>21</v>
      </c>
      <c r="P678" s="3" t="s">
        <v>22</v>
      </c>
      <c r="Q678" s="2" t="s">
        <v>6073</v>
      </c>
      <c r="R678" s="3" t="s">
        <v>2685</v>
      </c>
    </row>
    <row r="679" spans="1:18" x14ac:dyDescent="0.25">
      <c r="A679" s="2">
        <v>39430</v>
      </c>
      <c r="B679" s="3" t="s">
        <v>2686</v>
      </c>
      <c r="C679" s="2" t="s">
        <v>4262</v>
      </c>
      <c r="D679" s="2" t="s">
        <v>2690</v>
      </c>
      <c r="E679" s="3" t="s">
        <v>1718</v>
      </c>
      <c r="F679" s="3" t="s">
        <v>2680</v>
      </c>
      <c r="G679" s="2" t="s">
        <v>5179</v>
      </c>
      <c r="H679" s="2" t="s">
        <v>5181</v>
      </c>
      <c r="I679" s="3" t="s">
        <v>2687</v>
      </c>
      <c r="J679" s="3" t="s">
        <v>2688</v>
      </c>
      <c r="K679" s="3" t="s">
        <v>2689</v>
      </c>
      <c r="L679" s="3" t="s">
        <v>2690</v>
      </c>
      <c r="M679" s="3" t="s">
        <v>20</v>
      </c>
      <c r="N679" s="2">
        <v>748</v>
      </c>
      <c r="O679" s="3" t="s">
        <v>21</v>
      </c>
      <c r="P679" s="3" t="s">
        <v>22</v>
      </c>
      <c r="Q679" s="2" t="s">
        <v>6074</v>
      </c>
      <c r="R679" s="3" t="s">
        <v>2691</v>
      </c>
    </row>
    <row r="680" spans="1:18" x14ac:dyDescent="0.25">
      <c r="A680" s="2">
        <v>13181</v>
      </c>
      <c r="B680" s="3" t="s">
        <v>2692</v>
      </c>
      <c r="C680" s="2" t="s">
        <v>4263</v>
      </c>
      <c r="D680" s="2" t="s">
        <v>2684</v>
      </c>
      <c r="E680" s="3" t="s">
        <v>1718</v>
      </c>
      <c r="F680" s="3" t="s">
        <v>2680</v>
      </c>
      <c r="G680" s="2" t="s">
        <v>5152</v>
      </c>
      <c r="H680" s="2" t="s">
        <v>5182</v>
      </c>
      <c r="I680" s="3" t="s">
        <v>2693</v>
      </c>
      <c r="J680" s="3" t="s">
        <v>2694</v>
      </c>
      <c r="K680" s="3" t="s">
        <v>2695</v>
      </c>
      <c r="L680" s="3" t="s">
        <v>2684</v>
      </c>
      <c r="M680" s="3" t="s">
        <v>1969</v>
      </c>
      <c r="N680" s="2">
        <v>0</v>
      </c>
      <c r="O680" s="3" t="s">
        <v>271</v>
      </c>
      <c r="P680" s="3" t="s">
        <v>97</v>
      </c>
      <c r="Q680" s="2" t="s">
        <v>6075</v>
      </c>
      <c r="R680" s="3" t="s">
        <v>2696</v>
      </c>
    </row>
    <row r="681" spans="1:18" x14ac:dyDescent="0.25">
      <c r="A681" s="2">
        <v>32698</v>
      </c>
      <c r="B681" s="3" t="s">
        <v>2697</v>
      </c>
      <c r="C681" s="2" t="s">
        <v>4264</v>
      </c>
      <c r="D681" s="2" t="s">
        <v>2684</v>
      </c>
      <c r="E681" s="3" t="s">
        <v>1718</v>
      </c>
      <c r="F681" s="3" t="s">
        <v>2680</v>
      </c>
      <c r="G681" s="2" t="s">
        <v>5183</v>
      </c>
      <c r="H681" s="2" t="s">
        <v>5184</v>
      </c>
      <c r="I681" s="3" t="s">
        <v>2681</v>
      </c>
      <c r="J681" s="3" t="s">
        <v>138</v>
      </c>
      <c r="K681" s="3" t="s">
        <v>2698</v>
      </c>
      <c r="L681" s="3" t="s">
        <v>2684</v>
      </c>
      <c r="M681" s="3" t="s">
        <v>20</v>
      </c>
      <c r="N681" s="2">
        <v>0</v>
      </c>
      <c r="O681" s="3" t="s">
        <v>244</v>
      </c>
      <c r="P681" s="3" t="s">
        <v>22</v>
      </c>
      <c r="Q681" s="2" t="s">
        <v>6076</v>
      </c>
      <c r="R681" s="3" t="s">
        <v>2699</v>
      </c>
    </row>
    <row r="682" spans="1:18" x14ac:dyDescent="0.25">
      <c r="A682" s="2">
        <v>37153</v>
      </c>
      <c r="B682" s="3" t="s">
        <v>2700</v>
      </c>
      <c r="C682" s="2" t="s">
        <v>4265</v>
      </c>
      <c r="D682" s="2" t="s">
        <v>2684</v>
      </c>
      <c r="E682" s="3" t="s">
        <v>1718</v>
      </c>
      <c r="F682" s="3" t="s">
        <v>2680</v>
      </c>
      <c r="G682" s="2" t="s">
        <v>5179</v>
      </c>
      <c r="H682" s="2" t="s">
        <v>5185</v>
      </c>
      <c r="I682" s="3" t="s">
        <v>2681</v>
      </c>
      <c r="J682" s="3" t="s">
        <v>2701</v>
      </c>
      <c r="K682" s="3" t="s">
        <v>2702</v>
      </c>
      <c r="L682" s="3" t="s">
        <v>2684</v>
      </c>
      <c r="M682" s="3" t="s">
        <v>20</v>
      </c>
      <c r="N682" s="2">
        <v>0</v>
      </c>
      <c r="O682" s="3" t="s">
        <v>244</v>
      </c>
      <c r="P682" s="3" t="s">
        <v>22</v>
      </c>
      <c r="Q682" s="2" t="s">
        <v>6077</v>
      </c>
      <c r="R682" s="3" t="s">
        <v>2703</v>
      </c>
    </row>
    <row r="683" spans="1:18" x14ac:dyDescent="0.25">
      <c r="A683" s="2">
        <v>30446</v>
      </c>
      <c r="B683" s="3" t="s">
        <v>2704</v>
      </c>
      <c r="C683" s="2" t="s">
        <v>4266</v>
      </c>
      <c r="D683" s="2" t="s">
        <v>2684</v>
      </c>
      <c r="E683" s="3" t="s">
        <v>1718</v>
      </c>
      <c r="F683" s="3" t="s">
        <v>2680</v>
      </c>
      <c r="G683" s="2" t="s">
        <v>5186</v>
      </c>
      <c r="H683" s="2" t="s">
        <v>5187</v>
      </c>
      <c r="I683" s="3" t="s">
        <v>2681</v>
      </c>
      <c r="J683" s="3" t="s">
        <v>2705</v>
      </c>
      <c r="K683" s="3" t="s">
        <v>2706</v>
      </c>
      <c r="L683" s="3" t="s">
        <v>2684</v>
      </c>
      <c r="M683" s="3" t="s">
        <v>20</v>
      </c>
      <c r="N683" s="2">
        <v>0</v>
      </c>
      <c r="O683" s="3" t="s">
        <v>244</v>
      </c>
      <c r="P683" s="3" t="s">
        <v>22</v>
      </c>
      <c r="Q683" s="2" t="s">
        <v>6078</v>
      </c>
      <c r="R683" s="3" t="s">
        <v>2707</v>
      </c>
    </row>
    <row r="684" spans="1:18" x14ac:dyDescent="0.25">
      <c r="A684" s="2">
        <v>37662</v>
      </c>
      <c r="B684" s="3" t="s">
        <v>2708</v>
      </c>
      <c r="C684" s="2" t="s">
        <v>4267</v>
      </c>
      <c r="D684" s="2" t="s">
        <v>2684</v>
      </c>
      <c r="E684" s="3" t="s">
        <v>1718</v>
      </c>
      <c r="F684" s="3" t="s">
        <v>2680</v>
      </c>
      <c r="G684" s="2" t="s">
        <v>5183</v>
      </c>
      <c r="H684" s="2" t="s">
        <v>5188</v>
      </c>
      <c r="I684" s="3" t="s">
        <v>2709</v>
      </c>
      <c r="J684" s="3" t="s">
        <v>2710</v>
      </c>
      <c r="K684" s="3" t="s">
        <v>2711</v>
      </c>
      <c r="L684" s="3" t="s">
        <v>2684</v>
      </c>
      <c r="M684" s="3" t="s">
        <v>20</v>
      </c>
      <c r="N684" s="2">
        <v>0</v>
      </c>
      <c r="O684" s="3" t="s">
        <v>21</v>
      </c>
      <c r="P684" s="3" t="s">
        <v>22</v>
      </c>
      <c r="Q684" s="2" t="s">
        <v>6079</v>
      </c>
      <c r="R684" s="3" t="s">
        <v>2712</v>
      </c>
    </row>
    <row r="685" spans="1:18" x14ac:dyDescent="0.25">
      <c r="A685" s="2">
        <v>5887</v>
      </c>
      <c r="B685" s="3" t="s">
        <v>2713</v>
      </c>
      <c r="C685" s="2" t="s">
        <v>4268</v>
      </c>
      <c r="D685" s="2" t="s">
        <v>2684</v>
      </c>
      <c r="E685" s="3" t="s">
        <v>1718</v>
      </c>
      <c r="F685" s="3" t="s">
        <v>2680</v>
      </c>
      <c r="G685" s="2" t="s">
        <v>5179</v>
      </c>
      <c r="H685" s="2" t="s">
        <v>5189</v>
      </c>
      <c r="I685" s="3" t="s">
        <v>2709</v>
      </c>
      <c r="J685" s="3" t="s">
        <v>2710</v>
      </c>
      <c r="K685" s="3" t="s">
        <v>2711</v>
      </c>
      <c r="L685" s="3" t="s">
        <v>2684</v>
      </c>
      <c r="M685" s="3" t="s">
        <v>20</v>
      </c>
      <c r="N685" s="2">
        <v>0</v>
      </c>
      <c r="O685" s="3" t="s">
        <v>21</v>
      </c>
      <c r="P685" s="3" t="s">
        <v>22</v>
      </c>
      <c r="Q685" s="2" t="s">
        <v>6080</v>
      </c>
      <c r="R685" s="3" t="s">
        <v>2714</v>
      </c>
    </row>
    <row r="686" spans="1:18" x14ac:dyDescent="0.25">
      <c r="A686" s="2">
        <v>40925</v>
      </c>
      <c r="B686" s="3" t="s">
        <v>2715</v>
      </c>
      <c r="C686" s="2" t="s">
        <v>4269</v>
      </c>
      <c r="D686" s="2" t="s">
        <v>2690</v>
      </c>
      <c r="E686" s="3" t="s">
        <v>1718</v>
      </c>
      <c r="F686" s="3" t="s">
        <v>2680</v>
      </c>
      <c r="G686" s="2" t="s">
        <v>5152</v>
      </c>
      <c r="H686" s="2" t="s">
        <v>5190</v>
      </c>
      <c r="I686" s="3" t="s">
        <v>2716</v>
      </c>
      <c r="J686" s="3" t="s">
        <v>2717</v>
      </c>
      <c r="K686" s="3" t="s">
        <v>2718</v>
      </c>
      <c r="L686" s="3" t="s">
        <v>2690</v>
      </c>
      <c r="M686" s="3" t="s">
        <v>20</v>
      </c>
      <c r="N686" s="2">
        <v>748</v>
      </c>
      <c r="O686" s="3" t="s">
        <v>21</v>
      </c>
      <c r="P686" s="3" t="s">
        <v>22</v>
      </c>
      <c r="Q686" s="2" t="s">
        <v>6081</v>
      </c>
      <c r="R686" s="3" t="s">
        <v>2719</v>
      </c>
    </row>
    <row r="687" spans="1:18" x14ac:dyDescent="0.25">
      <c r="A687" s="2">
        <v>24357</v>
      </c>
      <c r="B687" s="3" t="s">
        <v>2720</v>
      </c>
      <c r="C687" s="2" t="s">
        <v>4270</v>
      </c>
      <c r="D687" s="2" t="s">
        <v>2684</v>
      </c>
      <c r="E687" s="3" t="s">
        <v>1718</v>
      </c>
      <c r="F687" s="3" t="s">
        <v>2680</v>
      </c>
      <c r="G687" s="2" t="s">
        <v>5179</v>
      </c>
      <c r="H687" s="2" t="s">
        <v>5191</v>
      </c>
      <c r="I687" s="3" t="s">
        <v>2681</v>
      </c>
      <c r="J687" s="3" t="s">
        <v>2721</v>
      </c>
      <c r="K687" s="3" t="s">
        <v>2722</v>
      </c>
      <c r="L687" s="3" t="s">
        <v>2684</v>
      </c>
      <c r="M687" s="3" t="s">
        <v>20</v>
      </c>
      <c r="N687" s="2">
        <v>0</v>
      </c>
      <c r="O687" s="3" t="s">
        <v>244</v>
      </c>
      <c r="P687" s="3" t="s">
        <v>22</v>
      </c>
      <c r="Q687" s="2" t="s">
        <v>6082</v>
      </c>
      <c r="R687" s="3" t="s">
        <v>2723</v>
      </c>
    </row>
    <row r="688" spans="1:18" x14ac:dyDescent="0.25">
      <c r="A688" s="2">
        <v>1334</v>
      </c>
      <c r="B688" s="3" t="s">
        <v>2724</v>
      </c>
      <c r="C688" s="2" t="s">
        <v>4271</v>
      </c>
      <c r="D688" s="2" t="s">
        <v>2684</v>
      </c>
      <c r="E688" s="3" t="s">
        <v>1718</v>
      </c>
      <c r="F688" s="3" t="s">
        <v>2680</v>
      </c>
      <c r="G688" s="2" t="s">
        <v>5186</v>
      </c>
      <c r="H688" s="2" t="s">
        <v>5192</v>
      </c>
      <c r="I688" s="3" t="s">
        <v>2725</v>
      </c>
      <c r="J688" s="3" t="s">
        <v>2726</v>
      </c>
      <c r="K688" s="3" t="s">
        <v>2727</v>
      </c>
      <c r="L688" s="3" t="s">
        <v>2684</v>
      </c>
      <c r="M688" s="3" t="s">
        <v>1969</v>
      </c>
      <c r="N688" s="2">
        <v>0</v>
      </c>
      <c r="O688" s="3" t="s">
        <v>96</v>
      </c>
      <c r="P688" s="3" t="s">
        <v>97</v>
      </c>
      <c r="Q688" s="2" t="s">
        <v>6083</v>
      </c>
      <c r="R688" s="3" t="s">
        <v>2728</v>
      </c>
    </row>
    <row r="689" spans="1:18" x14ac:dyDescent="0.25">
      <c r="A689" s="2">
        <v>639</v>
      </c>
      <c r="B689" s="3" t="s">
        <v>2729</v>
      </c>
      <c r="C689" s="2" t="s">
        <v>4272</v>
      </c>
      <c r="D689" s="2" t="s">
        <v>2690</v>
      </c>
      <c r="E689" s="3" t="s">
        <v>1718</v>
      </c>
      <c r="F689" s="3" t="s">
        <v>2680</v>
      </c>
      <c r="G689" s="2" t="s">
        <v>5105</v>
      </c>
      <c r="H689" s="2" t="s">
        <v>5193</v>
      </c>
      <c r="I689" s="3" t="s">
        <v>2730</v>
      </c>
      <c r="J689" s="3" t="s">
        <v>2731</v>
      </c>
      <c r="K689" s="3" t="s">
        <v>2732</v>
      </c>
      <c r="L689" s="3" t="s">
        <v>2690</v>
      </c>
      <c r="M689" s="3" t="s">
        <v>1985</v>
      </c>
      <c r="N689" s="2">
        <v>748</v>
      </c>
      <c r="O689" s="3" t="s">
        <v>244</v>
      </c>
      <c r="P689" s="3" t="s">
        <v>1986</v>
      </c>
      <c r="Q689" s="2" t="s">
        <v>6084</v>
      </c>
      <c r="R689" s="3" t="s">
        <v>2733</v>
      </c>
    </row>
    <row r="690" spans="1:18" x14ac:dyDescent="0.25">
      <c r="A690" s="2">
        <v>35620</v>
      </c>
      <c r="B690" s="3" t="s">
        <v>2734</v>
      </c>
      <c r="C690" s="2" t="s">
        <v>4273</v>
      </c>
      <c r="D690" s="2" t="s">
        <v>2684</v>
      </c>
      <c r="E690" s="3" t="s">
        <v>1718</v>
      </c>
      <c r="F690" s="3" t="s">
        <v>2680</v>
      </c>
      <c r="G690" s="2" t="s">
        <v>5152</v>
      </c>
      <c r="H690" s="2" t="s">
        <v>5194</v>
      </c>
      <c r="I690" s="3" t="s">
        <v>2735</v>
      </c>
      <c r="J690" s="3" t="s">
        <v>138</v>
      </c>
      <c r="K690" s="3" t="s">
        <v>2736</v>
      </c>
      <c r="L690" s="3" t="s">
        <v>2684</v>
      </c>
      <c r="M690" s="3" t="s">
        <v>1969</v>
      </c>
      <c r="N690" s="2">
        <v>0</v>
      </c>
      <c r="O690" s="3" t="s">
        <v>96</v>
      </c>
      <c r="P690" s="3" t="s">
        <v>97</v>
      </c>
      <c r="Q690" s="2" t="s">
        <v>6085</v>
      </c>
      <c r="R690" s="3" t="s">
        <v>2737</v>
      </c>
    </row>
    <row r="691" spans="1:18" x14ac:dyDescent="0.25">
      <c r="A691" s="2">
        <v>5585</v>
      </c>
      <c r="B691" s="3" t="s">
        <v>2738</v>
      </c>
      <c r="C691" s="2" t="s">
        <v>4274</v>
      </c>
      <c r="D691" s="2" t="s">
        <v>2684</v>
      </c>
      <c r="E691" s="3" t="s">
        <v>1718</v>
      </c>
      <c r="F691" s="3" t="s">
        <v>2680</v>
      </c>
      <c r="G691" s="2" t="s">
        <v>5179</v>
      </c>
      <c r="H691" s="2" t="s">
        <v>5195</v>
      </c>
      <c r="I691" s="3" t="s">
        <v>2681</v>
      </c>
      <c r="J691" s="3" t="s">
        <v>2739</v>
      </c>
      <c r="K691" s="3" t="s">
        <v>2740</v>
      </c>
      <c r="L691" s="3" t="s">
        <v>2684</v>
      </c>
      <c r="M691" s="3" t="s">
        <v>20</v>
      </c>
      <c r="N691" s="2">
        <v>0</v>
      </c>
      <c r="O691" s="3" t="s">
        <v>244</v>
      </c>
      <c r="P691" s="3" t="s">
        <v>22</v>
      </c>
      <c r="Q691" s="2" t="s">
        <v>6086</v>
      </c>
      <c r="R691" s="3" t="s">
        <v>2741</v>
      </c>
    </row>
    <row r="692" spans="1:18" x14ac:dyDescent="0.25">
      <c r="A692" s="2">
        <v>39912</v>
      </c>
      <c r="B692" s="3" t="s">
        <v>2742</v>
      </c>
      <c r="C692" s="2" t="s">
        <v>4275</v>
      </c>
      <c r="D692" s="2" t="s">
        <v>2690</v>
      </c>
      <c r="E692" s="3" t="s">
        <v>1718</v>
      </c>
      <c r="F692" s="3" t="s">
        <v>2680</v>
      </c>
      <c r="G692" s="2" t="s">
        <v>5105</v>
      </c>
      <c r="H692" s="2" t="s">
        <v>5196</v>
      </c>
      <c r="I692" s="3" t="s">
        <v>2743</v>
      </c>
      <c r="J692" s="3" t="s">
        <v>2744</v>
      </c>
      <c r="K692" s="3" t="s">
        <v>2745</v>
      </c>
      <c r="L692" s="3" t="s">
        <v>2690</v>
      </c>
      <c r="M692" s="3" t="s">
        <v>1985</v>
      </c>
      <c r="N692" s="2">
        <v>748</v>
      </c>
      <c r="O692" s="3" t="s">
        <v>244</v>
      </c>
      <c r="P692" s="3" t="s">
        <v>1986</v>
      </c>
      <c r="Q692" s="2" t="s">
        <v>6087</v>
      </c>
      <c r="R692" s="3" t="s">
        <v>2746</v>
      </c>
    </row>
    <row r="693" spans="1:18" x14ac:dyDescent="0.25">
      <c r="A693" s="2">
        <v>24657</v>
      </c>
      <c r="B693" s="3" t="s">
        <v>2747</v>
      </c>
      <c r="C693" s="2" t="s">
        <v>4276</v>
      </c>
      <c r="D693" s="2" t="s">
        <v>2690</v>
      </c>
      <c r="E693" s="3" t="s">
        <v>1718</v>
      </c>
      <c r="F693" s="3" t="s">
        <v>2680</v>
      </c>
      <c r="G693" s="2" t="s">
        <v>5067</v>
      </c>
      <c r="H693" s="2" t="s">
        <v>5197</v>
      </c>
      <c r="I693" s="3" t="s">
        <v>2748</v>
      </c>
      <c r="J693" s="3" t="s">
        <v>2749</v>
      </c>
      <c r="K693" s="3" t="s">
        <v>2750</v>
      </c>
      <c r="L693" s="3" t="s">
        <v>2690</v>
      </c>
      <c r="M693" s="3" t="s">
        <v>1969</v>
      </c>
      <c r="N693" s="2">
        <v>748</v>
      </c>
      <c r="O693" s="3" t="s">
        <v>271</v>
      </c>
      <c r="P693" s="3" t="s">
        <v>97</v>
      </c>
      <c r="Q693" s="2" t="s">
        <v>6088</v>
      </c>
      <c r="R693" s="3" t="s">
        <v>2751</v>
      </c>
    </row>
    <row r="694" spans="1:18" x14ac:dyDescent="0.25">
      <c r="A694" s="2">
        <v>40772</v>
      </c>
      <c r="B694" s="3" t="s">
        <v>2752</v>
      </c>
      <c r="C694" s="2" t="s">
        <v>4277</v>
      </c>
      <c r="D694" s="2" t="s">
        <v>2684</v>
      </c>
      <c r="E694" s="3" t="s">
        <v>1718</v>
      </c>
      <c r="F694" s="3" t="s">
        <v>2680</v>
      </c>
      <c r="G694" s="2" t="s">
        <v>5105</v>
      </c>
      <c r="H694" s="2" t="s">
        <v>5198</v>
      </c>
      <c r="I694" s="3" t="s">
        <v>2753</v>
      </c>
      <c r="J694" s="3" t="s">
        <v>2754</v>
      </c>
      <c r="K694" s="3" t="s">
        <v>2755</v>
      </c>
      <c r="L694" s="3" t="s">
        <v>2684</v>
      </c>
      <c r="M694" s="3" t="s">
        <v>1969</v>
      </c>
      <c r="N694" s="2">
        <v>0</v>
      </c>
      <c r="O694" s="3" t="s">
        <v>96</v>
      </c>
      <c r="P694" s="3" t="s">
        <v>97</v>
      </c>
      <c r="Q694" s="2" t="s">
        <v>6089</v>
      </c>
      <c r="R694" s="3" t="s">
        <v>2756</v>
      </c>
    </row>
    <row r="695" spans="1:18" x14ac:dyDescent="0.25">
      <c r="A695" s="2">
        <v>37251</v>
      </c>
      <c r="B695" s="3" t="s">
        <v>2757</v>
      </c>
      <c r="C695" s="2" t="s">
        <v>4278</v>
      </c>
      <c r="D695" s="2" t="s">
        <v>2684</v>
      </c>
      <c r="E695" s="3" t="s">
        <v>1718</v>
      </c>
      <c r="F695" s="3" t="s">
        <v>2680</v>
      </c>
      <c r="G695" s="2" t="s">
        <v>5186</v>
      </c>
      <c r="H695" s="2" t="s">
        <v>5199</v>
      </c>
      <c r="I695" s="3" t="s">
        <v>2709</v>
      </c>
      <c r="J695" s="3" t="s">
        <v>2758</v>
      </c>
      <c r="K695" s="3" t="s">
        <v>2759</v>
      </c>
      <c r="L695" s="3" t="s">
        <v>2684</v>
      </c>
      <c r="M695" s="3" t="s">
        <v>20</v>
      </c>
      <c r="N695" s="2">
        <v>0</v>
      </c>
      <c r="O695" s="3" t="s">
        <v>21</v>
      </c>
      <c r="P695" s="3" t="s">
        <v>22</v>
      </c>
      <c r="Q695" s="2" t="s">
        <v>6090</v>
      </c>
      <c r="R695" s="3" t="s">
        <v>2760</v>
      </c>
    </row>
    <row r="696" spans="1:18" x14ac:dyDescent="0.25">
      <c r="A696" s="2">
        <v>37487</v>
      </c>
      <c r="B696" s="3" t="s">
        <v>2761</v>
      </c>
      <c r="C696" s="2" t="s">
        <v>4279</v>
      </c>
      <c r="D696" s="2" t="s">
        <v>2684</v>
      </c>
      <c r="E696" s="3" t="s">
        <v>1718</v>
      </c>
      <c r="F696" s="3" t="s">
        <v>2680</v>
      </c>
      <c r="G696" s="2" t="s">
        <v>5179</v>
      </c>
      <c r="H696" s="2" t="s">
        <v>5200</v>
      </c>
      <c r="I696" s="3" t="s">
        <v>2762</v>
      </c>
      <c r="J696" s="3" t="s">
        <v>138</v>
      </c>
      <c r="K696" s="3" t="s">
        <v>2763</v>
      </c>
      <c r="L696" s="3" t="s">
        <v>2684</v>
      </c>
      <c r="M696" s="3" t="s">
        <v>1969</v>
      </c>
      <c r="N696" s="2">
        <v>0</v>
      </c>
      <c r="O696" s="3" t="s">
        <v>96</v>
      </c>
      <c r="P696" s="3" t="s">
        <v>97</v>
      </c>
      <c r="Q696" s="2" t="s">
        <v>6091</v>
      </c>
      <c r="R696" s="3" t="s">
        <v>2764</v>
      </c>
    </row>
    <row r="697" spans="1:18" x14ac:dyDescent="0.25">
      <c r="A697" s="2">
        <v>4303</v>
      </c>
      <c r="B697" s="3" t="s">
        <v>2765</v>
      </c>
      <c r="C697" s="2" t="s">
        <v>4280</v>
      </c>
      <c r="D697" s="2" t="s">
        <v>2684</v>
      </c>
      <c r="E697" s="3" t="s">
        <v>1718</v>
      </c>
      <c r="F697" s="3" t="s">
        <v>2680</v>
      </c>
      <c r="G697" s="2" t="s">
        <v>5179</v>
      </c>
      <c r="H697" s="2" t="s">
        <v>5201</v>
      </c>
      <c r="I697" s="3" t="s">
        <v>2681</v>
      </c>
      <c r="J697" s="3" t="s">
        <v>2766</v>
      </c>
      <c r="K697" s="3" t="s">
        <v>2767</v>
      </c>
      <c r="L697" s="3" t="s">
        <v>2684</v>
      </c>
      <c r="M697" s="3" t="s">
        <v>20</v>
      </c>
      <c r="N697" s="2">
        <v>0</v>
      </c>
      <c r="O697" s="3" t="s">
        <v>244</v>
      </c>
      <c r="P697" s="3" t="s">
        <v>22</v>
      </c>
      <c r="Q697" s="2" t="s">
        <v>6092</v>
      </c>
      <c r="R697" s="3" t="s">
        <v>2768</v>
      </c>
    </row>
    <row r="698" spans="1:18" x14ac:dyDescent="0.25">
      <c r="A698" s="2">
        <v>26134</v>
      </c>
      <c r="B698" s="3" t="s">
        <v>2769</v>
      </c>
      <c r="C698" s="2" t="s">
        <v>4281</v>
      </c>
      <c r="D698" s="2" t="s">
        <v>2684</v>
      </c>
      <c r="E698" s="3" t="s">
        <v>1718</v>
      </c>
      <c r="F698" s="3" t="s">
        <v>2680</v>
      </c>
      <c r="G698" s="2" t="s">
        <v>5067</v>
      </c>
      <c r="H698" s="2" t="s">
        <v>5202</v>
      </c>
      <c r="I698" s="3" t="s">
        <v>2681</v>
      </c>
      <c r="J698" s="3" t="s">
        <v>2770</v>
      </c>
      <c r="K698" s="3" t="s">
        <v>2771</v>
      </c>
      <c r="L698" s="3" t="s">
        <v>2684</v>
      </c>
      <c r="M698" s="3" t="s">
        <v>20</v>
      </c>
      <c r="N698" s="2">
        <v>0</v>
      </c>
      <c r="O698" s="3" t="s">
        <v>244</v>
      </c>
      <c r="P698" s="3" t="s">
        <v>22</v>
      </c>
      <c r="Q698" s="2" t="s">
        <v>6093</v>
      </c>
      <c r="R698" s="3" t="s">
        <v>2772</v>
      </c>
    </row>
    <row r="699" spans="1:18" x14ac:dyDescent="0.25">
      <c r="A699" s="2">
        <v>38430</v>
      </c>
      <c r="B699" s="3" t="s">
        <v>2773</v>
      </c>
      <c r="C699" s="2" t="s">
        <v>4282</v>
      </c>
      <c r="D699" s="2" t="s">
        <v>2684</v>
      </c>
      <c r="E699" s="3" t="s">
        <v>1718</v>
      </c>
      <c r="F699" s="3" t="s">
        <v>2680</v>
      </c>
      <c r="G699" s="2" t="s">
        <v>5186</v>
      </c>
      <c r="H699" s="2" t="s">
        <v>5203</v>
      </c>
      <c r="I699" s="3" t="s">
        <v>2709</v>
      </c>
      <c r="J699" s="3" t="s">
        <v>2774</v>
      </c>
      <c r="K699" s="3" t="s">
        <v>2775</v>
      </c>
      <c r="L699" s="3" t="s">
        <v>2684</v>
      </c>
      <c r="M699" s="3" t="s">
        <v>20</v>
      </c>
      <c r="N699" s="2">
        <v>0</v>
      </c>
      <c r="O699" s="3" t="s">
        <v>21</v>
      </c>
      <c r="P699" s="3" t="s">
        <v>22</v>
      </c>
      <c r="Q699" s="2" t="s">
        <v>6094</v>
      </c>
      <c r="R699" s="3" t="s">
        <v>2776</v>
      </c>
    </row>
    <row r="700" spans="1:18" x14ac:dyDescent="0.25">
      <c r="A700" s="2">
        <v>16669</v>
      </c>
      <c r="B700" s="3" t="s">
        <v>2777</v>
      </c>
      <c r="C700" s="2" t="s">
        <v>4283</v>
      </c>
      <c r="D700" s="2" t="s">
        <v>2690</v>
      </c>
      <c r="E700" s="3" t="s">
        <v>1718</v>
      </c>
      <c r="F700" s="3" t="s">
        <v>2680</v>
      </c>
      <c r="G700" s="2" t="s">
        <v>5179</v>
      </c>
      <c r="H700" s="2" t="s">
        <v>5204</v>
      </c>
      <c r="I700" s="3" t="s">
        <v>2778</v>
      </c>
      <c r="J700" s="3" t="s">
        <v>1638</v>
      </c>
      <c r="K700" s="3" t="s">
        <v>2779</v>
      </c>
      <c r="L700" s="3" t="s">
        <v>2690</v>
      </c>
      <c r="M700" s="3" t="s">
        <v>1969</v>
      </c>
      <c r="N700" s="2">
        <v>748</v>
      </c>
      <c r="O700" s="3" t="s">
        <v>271</v>
      </c>
      <c r="P700" s="3" t="s">
        <v>97</v>
      </c>
      <c r="Q700" s="2" t="s">
        <v>6095</v>
      </c>
      <c r="R700" s="3" t="s">
        <v>2780</v>
      </c>
    </row>
    <row r="701" spans="1:18" x14ac:dyDescent="0.25">
      <c r="A701" s="2">
        <v>35921</v>
      </c>
      <c r="B701" s="3" t="s">
        <v>2781</v>
      </c>
      <c r="C701" s="2" t="s">
        <v>4284</v>
      </c>
      <c r="D701" s="2" t="s">
        <v>2684</v>
      </c>
      <c r="E701" s="3" t="s">
        <v>1718</v>
      </c>
      <c r="F701" s="3" t="s">
        <v>2680</v>
      </c>
      <c r="G701" s="2" t="s">
        <v>5186</v>
      </c>
      <c r="H701" s="2" t="s">
        <v>5205</v>
      </c>
      <c r="I701" s="3" t="s">
        <v>2681</v>
      </c>
      <c r="J701" s="3" t="s">
        <v>2782</v>
      </c>
      <c r="K701" s="3" t="s">
        <v>2783</v>
      </c>
      <c r="L701" s="3" t="s">
        <v>2684</v>
      </c>
      <c r="M701" s="3" t="s">
        <v>20</v>
      </c>
      <c r="N701" s="2">
        <v>0</v>
      </c>
      <c r="O701" s="3" t="s">
        <v>244</v>
      </c>
      <c r="P701" s="3" t="s">
        <v>22</v>
      </c>
      <c r="Q701" s="2" t="s">
        <v>6096</v>
      </c>
      <c r="R701" s="3" t="s">
        <v>2784</v>
      </c>
    </row>
    <row r="702" spans="1:18" x14ac:dyDescent="0.25">
      <c r="A702" s="2">
        <v>23039</v>
      </c>
      <c r="B702" s="3" t="s">
        <v>2785</v>
      </c>
      <c r="C702" s="2" t="s">
        <v>4285</v>
      </c>
      <c r="D702" s="2" t="s">
        <v>2690</v>
      </c>
      <c r="E702" s="3" t="s">
        <v>1718</v>
      </c>
      <c r="F702" s="3" t="s">
        <v>2680</v>
      </c>
      <c r="G702" s="2" t="s">
        <v>4497</v>
      </c>
      <c r="H702" s="2" t="s">
        <v>5206</v>
      </c>
      <c r="I702" s="3" t="s">
        <v>2786</v>
      </c>
      <c r="J702" s="3" t="s">
        <v>2787</v>
      </c>
      <c r="K702" s="3" t="s">
        <v>2788</v>
      </c>
      <c r="L702" s="3" t="s">
        <v>2690</v>
      </c>
      <c r="M702" s="3" t="s">
        <v>1985</v>
      </c>
      <c r="N702" s="2">
        <v>748</v>
      </c>
      <c r="O702" s="3" t="s">
        <v>21</v>
      </c>
      <c r="P702" s="3" t="s">
        <v>1986</v>
      </c>
      <c r="Q702" s="2" t="s">
        <v>6097</v>
      </c>
      <c r="R702" s="3" t="s">
        <v>2789</v>
      </c>
    </row>
    <row r="703" spans="1:18" x14ac:dyDescent="0.25">
      <c r="A703" s="2">
        <v>26845</v>
      </c>
      <c r="B703" s="3" t="s">
        <v>2790</v>
      </c>
      <c r="C703" s="2" t="s">
        <v>4286</v>
      </c>
      <c r="D703" s="2" t="s">
        <v>2684</v>
      </c>
      <c r="E703" s="3" t="s">
        <v>1718</v>
      </c>
      <c r="F703" s="3" t="s">
        <v>2680</v>
      </c>
      <c r="G703" s="2" t="s">
        <v>5186</v>
      </c>
      <c r="H703" s="2" t="s">
        <v>5207</v>
      </c>
      <c r="I703" s="3" t="s">
        <v>2791</v>
      </c>
      <c r="J703" s="3" t="s">
        <v>2792</v>
      </c>
      <c r="K703" s="3" t="s">
        <v>2793</v>
      </c>
      <c r="L703" s="3" t="s">
        <v>2684</v>
      </c>
      <c r="M703" s="3" t="s">
        <v>1969</v>
      </c>
      <c r="N703" s="2">
        <v>0</v>
      </c>
      <c r="O703" s="3" t="s">
        <v>96</v>
      </c>
      <c r="P703" s="3" t="s">
        <v>97</v>
      </c>
      <c r="Q703" s="2" t="s">
        <v>6098</v>
      </c>
      <c r="R703" s="3" t="s">
        <v>2794</v>
      </c>
    </row>
    <row r="704" spans="1:18" x14ac:dyDescent="0.25">
      <c r="A704" s="2">
        <v>19939</v>
      </c>
      <c r="B704" s="3" t="s">
        <v>2795</v>
      </c>
      <c r="C704" s="2" t="s">
        <v>4287</v>
      </c>
      <c r="D704" s="2" t="s">
        <v>2684</v>
      </c>
      <c r="E704" s="3" t="s">
        <v>1718</v>
      </c>
      <c r="F704" s="3" t="s">
        <v>2680</v>
      </c>
      <c r="G704" s="2" t="s">
        <v>5208</v>
      </c>
      <c r="H704" s="2" t="s">
        <v>5209</v>
      </c>
      <c r="I704" s="3" t="s">
        <v>2796</v>
      </c>
      <c r="J704" s="3" t="s">
        <v>2797</v>
      </c>
      <c r="K704" s="3" t="s">
        <v>2798</v>
      </c>
      <c r="L704" s="3" t="s">
        <v>2684</v>
      </c>
      <c r="M704" s="3" t="s">
        <v>1969</v>
      </c>
      <c r="N704" s="2">
        <v>0</v>
      </c>
      <c r="O704" s="3" t="s">
        <v>96</v>
      </c>
      <c r="P704" s="3" t="s">
        <v>97</v>
      </c>
      <c r="Q704" s="2" t="s">
        <v>6099</v>
      </c>
      <c r="R704" s="3" t="s">
        <v>2799</v>
      </c>
    </row>
    <row r="705" spans="1:18" x14ac:dyDescent="0.25">
      <c r="A705" s="2">
        <v>12871</v>
      </c>
      <c r="B705" s="3" t="s">
        <v>2800</v>
      </c>
      <c r="C705" s="2" t="s">
        <v>4288</v>
      </c>
      <c r="D705" s="2" t="s">
        <v>2684</v>
      </c>
      <c r="E705" s="3" t="s">
        <v>1718</v>
      </c>
      <c r="F705" s="3" t="s">
        <v>2680</v>
      </c>
      <c r="G705" s="2" t="s">
        <v>5179</v>
      </c>
      <c r="H705" s="2" t="s">
        <v>5210</v>
      </c>
      <c r="I705" s="3" t="s">
        <v>2681</v>
      </c>
      <c r="J705" s="3" t="s">
        <v>2801</v>
      </c>
      <c r="K705" s="3" t="s">
        <v>2802</v>
      </c>
      <c r="L705" s="3" t="s">
        <v>2684</v>
      </c>
      <c r="M705" s="3" t="s">
        <v>20</v>
      </c>
      <c r="N705" s="2">
        <v>0</v>
      </c>
      <c r="O705" s="3" t="s">
        <v>244</v>
      </c>
      <c r="P705" s="3" t="s">
        <v>22</v>
      </c>
      <c r="Q705" s="2" t="s">
        <v>6100</v>
      </c>
      <c r="R705" s="3" t="s">
        <v>2803</v>
      </c>
    </row>
    <row r="706" spans="1:18" x14ac:dyDescent="0.25">
      <c r="A706" s="2">
        <v>36584</v>
      </c>
      <c r="B706" s="3" t="s">
        <v>2804</v>
      </c>
      <c r="C706" s="2" t="s">
        <v>4289</v>
      </c>
      <c r="D706" s="2" t="s">
        <v>2690</v>
      </c>
      <c r="E706" s="3" t="s">
        <v>1718</v>
      </c>
      <c r="F706" s="3" t="s">
        <v>2680</v>
      </c>
      <c r="G706" s="2" t="s">
        <v>5179</v>
      </c>
      <c r="H706" s="2" t="s">
        <v>5211</v>
      </c>
      <c r="I706" s="3" t="s">
        <v>2805</v>
      </c>
      <c r="J706" s="3" t="s">
        <v>2806</v>
      </c>
      <c r="K706" s="3" t="s">
        <v>2807</v>
      </c>
      <c r="L706" s="3" t="s">
        <v>2690</v>
      </c>
      <c r="M706" s="3" t="s">
        <v>1969</v>
      </c>
      <c r="N706" s="2">
        <v>748</v>
      </c>
      <c r="O706" s="3" t="s">
        <v>96</v>
      </c>
      <c r="P706" s="3" t="s">
        <v>97</v>
      </c>
      <c r="Q706" s="2" t="s">
        <v>6101</v>
      </c>
      <c r="R706" s="3" t="s">
        <v>2808</v>
      </c>
    </row>
    <row r="707" spans="1:18" x14ac:dyDescent="0.25">
      <c r="A707" s="2">
        <v>40688</v>
      </c>
      <c r="B707" s="3" t="s">
        <v>2809</v>
      </c>
      <c r="C707" s="2" t="s">
        <v>4290</v>
      </c>
      <c r="D707" s="2" t="s">
        <v>2690</v>
      </c>
      <c r="E707" s="3" t="s">
        <v>1718</v>
      </c>
      <c r="F707" s="3" t="s">
        <v>2680</v>
      </c>
      <c r="G707" s="2" t="s">
        <v>5208</v>
      </c>
      <c r="H707" s="2" t="s">
        <v>5212</v>
      </c>
      <c r="I707" s="3" t="s">
        <v>2810</v>
      </c>
      <c r="J707" s="3" t="s">
        <v>2811</v>
      </c>
      <c r="K707" s="3" t="s">
        <v>2812</v>
      </c>
      <c r="L707" s="3" t="s">
        <v>2690</v>
      </c>
      <c r="M707" s="3" t="s">
        <v>1985</v>
      </c>
      <c r="N707" s="2">
        <v>748</v>
      </c>
      <c r="O707" s="3" t="s">
        <v>21</v>
      </c>
      <c r="P707" s="3" t="s">
        <v>1986</v>
      </c>
      <c r="Q707" s="2" t="s">
        <v>6102</v>
      </c>
      <c r="R707" s="3" t="s">
        <v>2813</v>
      </c>
    </row>
    <row r="708" spans="1:18" x14ac:dyDescent="0.25">
      <c r="A708" s="2">
        <v>35802</v>
      </c>
      <c r="B708" s="3" t="s">
        <v>2814</v>
      </c>
      <c r="C708" s="2" t="s">
        <v>4291</v>
      </c>
      <c r="D708" s="2" t="s">
        <v>2690</v>
      </c>
      <c r="E708" s="3" t="s">
        <v>1718</v>
      </c>
      <c r="F708" s="3" t="s">
        <v>2680</v>
      </c>
      <c r="G708" s="2" t="s">
        <v>5208</v>
      </c>
      <c r="H708" s="2" t="s">
        <v>5213</v>
      </c>
      <c r="I708" s="3" t="s">
        <v>2815</v>
      </c>
      <c r="J708" s="3" t="s">
        <v>2816</v>
      </c>
      <c r="K708" s="3" t="s">
        <v>2817</v>
      </c>
      <c r="L708" s="3" t="s">
        <v>2690</v>
      </c>
      <c r="M708" s="3" t="s">
        <v>1985</v>
      </c>
      <c r="N708" s="2">
        <v>748</v>
      </c>
      <c r="O708" s="3" t="s">
        <v>244</v>
      </c>
      <c r="P708" s="3" t="s">
        <v>1986</v>
      </c>
      <c r="Q708" s="2" t="s">
        <v>6103</v>
      </c>
      <c r="R708" s="3" t="s">
        <v>2818</v>
      </c>
    </row>
    <row r="709" spans="1:18" x14ac:dyDescent="0.25">
      <c r="A709" s="2">
        <v>13497</v>
      </c>
      <c r="B709" s="3" t="s">
        <v>2819</v>
      </c>
      <c r="C709" s="2" t="s">
        <v>4292</v>
      </c>
      <c r="D709" s="2" t="s">
        <v>2684</v>
      </c>
      <c r="E709" s="3" t="s">
        <v>1718</v>
      </c>
      <c r="F709" s="3" t="s">
        <v>2680</v>
      </c>
      <c r="G709" s="2" t="s">
        <v>5183</v>
      </c>
      <c r="H709" s="2" t="s">
        <v>5214</v>
      </c>
      <c r="I709" s="3" t="s">
        <v>2681</v>
      </c>
      <c r="J709" s="3" t="s">
        <v>138</v>
      </c>
      <c r="K709" s="3" t="s">
        <v>2820</v>
      </c>
      <c r="L709" s="3" t="s">
        <v>2684</v>
      </c>
      <c r="M709" s="3" t="s">
        <v>20</v>
      </c>
      <c r="N709" s="2">
        <v>0</v>
      </c>
      <c r="O709" s="3" t="s">
        <v>244</v>
      </c>
      <c r="P709" s="3" t="s">
        <v>22</v>
      </c>
      <c r="Q709" s="2" t="s">
        <v>6104</v>
      </c>
      <c r="R709" s="3" t="s">
        <v>2821</v>
      </c>
    </row>
    <row r="710" spans="1:18" x14ac:dyDescent="0.25">
      <c r="A710" s="2">
        <v>202</v>
      </c>
      <c r="B710" s="3" t="s">
        <v>2822</v>
      </c>
      <c r="C710" s="2" t="s">
        <v>4293</v>
      </c>
      <c r="D710" s="2" t="s">
        <v>2684</v>
      </c>
      <c r="E710" s="3" t="s">
        <v>1718</v>
      </c>
      <c r="F710" s="3" t="s">
        <v>2680</v>
      </c>
      <c r="G710" s="2" t="s">
        <v>5186</v>
      </c>
      <c r="H710" s="2" t="s">
        <v>5215</v>
      </c>
      <c r="I710" s="3" t="s">
        <v>2681</v>
      </c>
      <c r="J710" s="3" t="s">
        <v>1926</v>
      </c>
      <c r="K710" s="3" t="s">
        <v>2823</v>
      </c>
      <c r="L710" s="3" t="s">
        <v>2684</v>
      </c>
      <c r="M710" s="3" t="s">
        <v>20</v>
      </c>
      <c r="N710" s="2">
        <v>0</v>
      </c>
      <c r="O710" s="3" t="s">
        <v>244</v>
      </c>
      <c r="P710" s="3" t="s">
        <v>22</v>
      </c>
      <c r="Q710" s="2" t="s">
        <v>6105</v>
      </c>
      <c r="R710" s="3" t="s">
        <v>2824</v>
      </c>
    </row>
    <row r="711" spans="1:18" x14ac:dyDescent="0.25">
      <c r="A711" s="2">
        <v>35007</v>
      </c>
      <c r="B711" s="3" t="s">
        <v>2825</v>
      </c>
      <c r="C711" s="2" t="s">
        <v>4294</v>
      </c>
      <c r="D711" s="2" t="s">
        <v>2690</v>
      </c>
      <c r="E711" s="3" t="s">
        <v>1718</v>
      </c>
      <c r="F711" s="3" t="s">
        <v>2680</v>
      </c>
      <c r="G711" s="2" t="s">
        <v>5179</v>
      </c>
      <c r="H711" s="2" t="s">
        <v>5216</v>
      </c>
      <c r="I711" s="3" t="s">
        <v>2826</v>
      </c>
      <c r="J711" s="3" t="s">
        <v>2688</v>
      </c>
      <c r="K711" s="3" t="s">
        <v>2827</v>
      </c>
      <c r="L711" s="3" t="s">
        <v>2690</v>
      </c>
      <c r="M711" s="3" t="s">
        <v>20</v>
      </c>
      <c r="N711" s="2">
        <v>748</v>
      </c>
      <c r="O711" s="3" t="s">
        <v>21</v>
      </c>
      <c r="P711" s="3" t="s">
        <v>22</v>
      </c>
      <c r="Q711" s="2" t="s">
        <v>6106</v>
      </c>
      <c r="R711" s="3" t="s">
        <v>2828</v>
      </c>
    </row>
    <row r="712" spans="1:18" x14ac:dyDescent="0.25">
      <c r="A712" s="2">
        <v>31184</v>
      </c>
      <c r="B712" s="3" t="s">
        <v>2829</v>
      </c>
      <c r="C712" s="2" t="s">
        <v>4295</v>
      </c>
      <c r="D712" s="2" t="s">
        <v>2690</v>
      </c>
      <c r="E712" s="3" t="s">
        <v>1718</v>
      </c>
      <c r="F712" s="3" t="s">
        <v>2680</v>
      </c>
      <c r="G712" s="2" t="s">
        <v>5217</v>
      </c>
      <c r="H712" s="2" t="s">
        <v>5218</v>
      </c>
      <c r="I712" s="3" t="s">
        <v>2830</v>
      </c>
      <c r="J712" s="3" t="s">
        <v>138</v>
      </c>
      <c r="K712" s="3" t="s">
        <v>2831</v>
      </c>
      <c r="L712" s="3" t="s">
        <v>2690</v>
      </c>
      <c r="M712" s="3" t="s">
        <v>1969</v>
      </c>
      <c r="N712" s="2">
        <v>748</v>
      </c>
      <c r="O712" s="3" t="s">
        <v>96</v>
      </c>
      <c r="P712" s="3" t="s">
        <v>97</v>
      </c>
      <c r="Q712" s="2" t="s">
        <v>6107</v>
      </c>
      <c r="R712" s="3" t="s">
        <v>2832</v>
      </c>
    </row>
    <row r="713" spans="1:18" x14ac:dyDescent="0.25">
      <c r="A713" s="2">
        <v>26319</v>
      </c>
      <c r="B713" s="3" t="s">
        <v>2833</v>
      </c>
      <c r="C713" s="2" t="s">
        <v>4296</v>
      </c>
      <c r="D713" s="2" t="s">
        <v>2684</v>
      </c>
      <c r="E713" s="3" t="s">
        <v>1718</v>
      </c>
      <c r="F713" s="3" t="s">
        <v>2680</v>
      </c>
      <c r="G713" s="2" t="s">
        <v>5179</v>
      </c>
      <c r="H713" s="2" t="s">
        <v>5219</v>
      </c>
      <c r="I713" s="3" t="s">
        <v>2834</v>
      </c>
      <c r="J713" s="3" t="s">
        <v>2835</v>
      </c>
      <c r="K713" s="3" t="s">
        <v>2836</v>
      </c>
      <c r="L713" s="3" t="s">
        <v>2684</v>
      </c>
      <c r="M713" s="3" t="s">
        <v>1969</v>
      </c>
      <c r="N713" s="2">
        <v>0</v>
      </c>
      <c r="O713" s="3" t="s">
        <v>96</v>
      </c>
      <c r="P713" s="3" t="s">
        <v>97</v>
      </c>
      <c r="Q713" s="2" t="s">
        <v>6108</v>
      </c>
      <c r="R713" s="3" t="s">
        <v>2837</v>
      </c>
    </row>
    <row r="714" spans="1:18" x14ac:dyDescent="0.25">
      <c r="A714" s="2">
        <v>35325</v>
      </c>
      <c r="B714" s="3" t="s">
        <v>2838</v>
      </c>
      <c r="C714" s="2" t="s">
        <v>4297</v>
      </c>
      <c r="D714" s="2" t="s">
        <v>2684</v>
      </c>
      <c r="E714" s="3" t="s">
        <v>1718</v>
      </c>
      <c r="F714" s="3" t="s">
        <v>2680</v>
      </c>
      <c r="G714" s="2" t="s">
        <v>5186</v>
      </c>
      <c r="H714" s="2" t="s">
        <v>5220</v>
      </c>
      <c r="I714" s="3" t="s">
        <v>2681</v>
      </c>
      <c r="J714" s="3" t="s">
        <v>2839</v>
      </c>
      <c r="K714" s="3" t="s">
        <v>2840</v>
      </c>
      <c r="L714" s="3" t="s">
        <v>2684</v>
      </c>
      <c r="M714" s="3" t="s">
        <v>20</v>
      </c>
      <c r="N714" s="2">
        <v>0</v>
      </c>
      <c r="O714" s="3" t="s">
        <v>244</v>
      </c>
      <c r="P714" s="3" t="s">
        <v>22</v>
      </c>
      <c r="Q714" s="2" t="s">
        <v>6109</v>
      </c>
      <c r="R714" s="3" t="s">
        <v>2841</v>
      </c>
    </row>
    <row r="715" spans="1:18" x14ac:dyDescent="0.25">
      <c r="A715" s="2">
        <v>36447</v>
      </c>
      <c r="B715" s="3" t="s">
        <v>2842</v>
      </c>
      <c r="C715" s="2" t="s">
        <v>4298</v>
      </c>
      <c r="D715" s="2" t="s">
        <v>2690</v>
      </c>
      <c r="E715" s="3" t="s">
        <v>1718</v>
      </c>
      <c r="F715" s="3" t="s">
        <v>2680</v>
      </c>
      <c r="G715" s="2" t="s">
        <v>5208</v>
      </c>
      <c r="H715" s="2" t="s">
        <v>5221</v>
      </c>
      <c r="I715" s="3" t="s">
        <v>2843</v>
      </c>
      <c r="J715" s="3" t="s">
        <v>2844</v>
      </c>
      <c r="K715" s="3" t="s">
        <v>2845</v>
      </c>
      <c r="L715" s="3" t="s">
        <v>2690</v>
      </c>
      <c r="M715" s="3" t="s">
        <v>1969</v>
      </c>
      <c r="N715" s="2">
        <v>748</v>
      </c>
      <c r="O715" s="3" t="s">
        <v>271</v>
      </c>
      <c r="P715" s="3" t="s">
        <v>97</v>
      </c>
      <c r="Q715" s="2" t="s">
        <v>6110</v>
      </c>
      <c r="R715" s="3" t="s">
        <v>2846</v>
      </c>
    </row>
    <row r="716" spans="1:18" x14ac:dyDescent="0.25">
      <c r="A716" s="2">
        <v>7268</v>
      </c>
      <c r="B716" s="3" t="s">
        <v>2847</v>
      </c>
      <c r="C716" s="2" t="s">
        <v>4299</v>
      </c>
      <c r="D716" s="2" t="s">
        <v>2684</v>
      </c>
      <c r="E716" s="3" t="s">
        <v>1718</v>
      </c>
      <c r="F716" s="3" t="s">
        <v>2680</v>
      </c>
      <c r="G716" s="2" t="s">
        <v>5183</v>
      </c>
      <c r="H716" s="2" t="s">
        <v>5222</v>
      </c>
      <c r="I716" s="3" t="s">
        <v>2681</v>
      </c>
      <c r="J716" s="3" t="s">
        <v>138</v>
      </c>
      <c r="K716" s="3" t="s">
        <v>2848</v>
      </c>
      <c r="L716" s="3" t="s">
        <v>2684</v>
      </c>
      <c r="M716" s="3" t="s">
        <v>20</v>
      </c>
      <c r="N716" s="2">
        <v>0</v>
      </c>
      <c r="O716" s="3" t="s">
        <v>244</v>
      </c>
      <c r="P716" s="3" t="s">
        <v>22</v>
      </c>
      <c r="Q716" s="2" t="s">
        <v>6111</v>
      </c>
      <c r="R716" s="3" t="s">
        <v>2849</v>
      </c>
    </row>
    <row r="717" spans="1:18" x14ac:dyDescent="0.25">
      <c r="A717" s="2">
        <v>40732</v>
      </c>
      <c r="B717" s="3" t="s">
        <v>2850</v>
      </c>
      <c r="C717" s="2" t="s">
        <v>4300</v>
      </c>
      <c r="D717" s="2" t="s">
        <v>2684</v>
      </c>
      <c r="E717" s="3" t="s">
        <v>1718</v>
      </c>
      <c r="F717" s="3" t="s">
        <v>2680</v>
      </c>
      <c r="G717" s="2" t="s">
        <v>4518</v>
      </c>
      <c r="H717" s="2" t="s">
        <v>5223</v>
      </c>
      <c r="I717" s="3" t="s">
        <v>2709</v>
      </c>
      <c r="J717" s="3" t="s">
        <v>2851</v>
      </c>
      <c r="K717" s="3" t="s">
        <v>2852</v>
      </c>
      <c r="L717" s="3" t="s">
        <v>2684</v>
      </c>
      <c r="M717" s="3" t="s">
        <v>20</v>
      </c>
      <c r="N717" s="2">
        <v>0</v>
      </c>
      <c r="O717" s="3" t="s">
        <v>21</v>
      </c>
      <c r="P717" s="3" t="s">
        <v>22</v>
      </c>
      <c r="Q717" s="2" t="s">
        <v>6112</v>
      </c>
      <c r="R717" s="3" t="s">
        <v>2853</v>
      </c>
    </row>
    <row r="718" spans="1:18" x14ac:dyDescent="0.25">
      <c r="A718" s="2">
        <v>1613</v>
      </c>
      <c r="B718" s="3" t="s">
        <v>2854</v>
      </c>
      <c r="C718" s="2" t="s">
        <v>4301</v>
      </c>
      <c r="D718" s="2" t="s">
        <v>2684</v>
      </c>
      <c r="E718" s="3" t="s">
        <v>1718</v>
      </c>
      <c r="F718" s="3" t="s">
        <v>2680</v>
      </c>
      <c r="G718" s="2" t="s">
        <v>5186</v>
      </c>
      <c r="H718" s="2" t="s">
        <v>5224</v>
      </c>
      <c r="I718" s="3" t="s">
        <v>2681</v>
      </c>
      <c r="J718" s="3" t="s">
        <v>2855</v>
      </c>
      <c r="K718" s="3" t="s">
        <v>2856</v>
      </c>
      <c r="L718" s="3" t="s">
        <v>2684</v>
      </c>
      <c r="M718" s="3" t="s">
        <v>20</v>
      </c>
      <c r="N718" s="2">
        <v>0</v>
      </c>
      <c r="O718" s="3" t="s">
        <v>244</v>
      </c>
      <c r="P718" s="3" t="s">
        <v>22</v>
      </c>
      <c r="Q718" s="2" t="s">
        <v>6113</v>
      </c>
      <c r="R718" s="3" t="s">
        <v>2857</v>
      </c>
    </row>
    <row r="719" spans="1:18" x14ac:dyDescent="0.25">
      <c r="A719" s="2">
        <v>40032</v>
      </c>
      <c r="B719" s="3" t="s">
        <v>2858</v>
      </c>
      <c r="C719" s="2" t="s">
        <v>4302</v>
      </c>
      <c r="D719" s="2" t="s">
        <v>2684</v>
      </c>
      <c r="E719" s="3" t="s">
        <v>1718</v>
      </c>
      <c r="F719" s="3" t="s">
        <v>2680</v>
      </c>
      <c r="G719" s="2" t="s">
        <v>5186</v>
      </c>
      <c r="H719" s="2" t="s">
        <v>5225</v>
      </c>
      <c r="I719" s="3" t="s">
        <v>2709</v>
      </c>
      <c r="J719" s="3" t="s">
        <v>2859</v>
      </c>
      <c r="K719" s="3" t="s">
        <v>2860</v>
      </c>
      <c r="L719" s="3" t="s">
        <v>2684</v>
      </c>
      <c r="M719" s="3" t="s">
        <v>20</v>
      </c>
      <c r="N719" s="2">
        <v>0</v>
      </c>
      <c r="O719" s="3" t="s">
        <v>21</v>
      </c>
      <c r="P719" s="3" t="s">
        <v>22</v>
      </c>
      <c r="Q719" s="2" t="s">
        <v>6114</v>
      </c>
      <c r="R719" s="3" t="s">
        <v>2861</v>
      </c>
    </row>
    <row r="720" spans="1:18" x14ac:dyDescent="0.25">
      <c r="A720" s="2">
        <v>36235</v>
      </c>
      <c r="B720" s="3" t="s">
        <v>2747</v>
      </c>
      <c r="C720" s="2" t="s">
        <v>4303</v>
      </c>
      <c r="D720" s="2" t="s">
        <v>2690</v>
      </c>
      <c r="E720" s="3" t="s">
        <v>1718</v>
      </c>
      <c r="F720" s="3" t="s">
        <v>2680</v>
      </c>
      <c r="G720" s="2" t="s">
        <v>5067</v>
      </c>
      <c r="H720" s="2" t="s">
        <v>5226</v>
      </c>
      <c r="I720" s="3" t="s">
        <v>2862</v>
      </c>
      <c r="J720" s="3" t="s">
        <v>2863</v>
      </c>
      <c r="K720" s="3" t="s">
        <v>2864</v>
      </c>
      <c r="L720" s="3" t="s">
        <v>2690</v>
      </c>
      <c r="M720" s="3" t="s">
        <v>1969</v>
      </c>
      <c r="N720" s="2">
        <v>748</v>
      </c>
      <c r="O720" s="3" t="s">
        <v>271</v>
      </c>
      <c r="P720" s="3" t="s">
        <v>97</v>
      </c>
      <c r="Q720" s="2" t="s">
        <v>6115</v>
      </c>
      <c r="R720" s="3" t="s">
        <v>2865</v>
      </c>
    </row>
    <row r="721" spans="1:18" x14ac:dyDescent="0.25">
      <c r="A721" s="2">
        <v>40777</v>
      </c>
      <c r="B721" s="3" t="s">
        <v>2866</v>
      </c>
      <c r="C721" s="2" t="s">
        <v>4304</v>
      </c>
      <c r="D721" s="2" t="s">
        <v>2690</v>
      </c>
      <c r="E721" s="3" t="s">
        <v>1718</v>
      </c>
      <c r="F721" s="3" t="s">
        <v>2680</v>
      </c>
      <c r="G721" s="2" t="s">
        <v>5217</v>
      </c>
      <c r="H721" s="2" t="s">
        <v>5227</v>
      </c>
      <c r="I721" s="3" t="s">
        <v>2867</v>
      </c>
      <c r="J721" s="3" t="s">
        <v>2868</v>
      </c>
      <c r="K721" s="3" t="s">
        <v>2869</v>
      </c>
      <c r="L721" s="3" t="s">
        <v>2690</v>
      </c>
      <c r="M721" s="3" t="s">
        <v>1969</v>
      </c>
      <c r="N721" s="2">
        <v>748</v>
      </c>
      <c r="O721" s="3" t="s">
        <v>271</v>
      </c>
      <c r="P721" s="3" t="s">
        <v>97</v>
      </c>
      <c r="Q721" s="2" t="s">
        <v>6116</v>
      </c>
      <c r="R721" s="3" t="s">
        <v>2870</v>
      </c>
    </row>
    <row r="722" spans="1:18" x14ac:dyDescent="0.25">
      <c r="A722" s="2">
        <v>41586</v>
      </c>
      <c r="B722" s="3" t="s">
        <v>2871</v>
      </c>
      <c r="C722" s="2" t="s">
        <v>4305</v>
      </c>
      <c r="D722" s="2" t="s">
        <v>2684</v>
      </c>
      <c r="E722" s="3" t="s">
        <v>1718</v>
      </c>
      <c r="F722" s="3" t="s">
        <v>2680</v>
      </c>
      <c r="G722" s="2" t="s">
        <v>5228</v>
      </c>
      <c r="H722" s="2" t="s">
        <v>5229</v>
      </c>
      <c r="I722" s="3" t="s">
        <v>2709</v>
      </c>
      <c r="J722" s="3" t="s">
        <v>2872</v>
      </c>
      <c r="K722" s="3" t="s">
        <v>2873</v>
      </c>
      <c r="L722" s="3" t="s">
        <v>2684</v>
      </c>
      <c r="M722" s="3" t="s">
        <v>20</v>
      </c>
      <c r="N722" s="2">
        <v>0</v>
      </c>
      <c r="O722" s="3" t="s">
        <v>21</v>
      </c>
      <c r="P722" s="3" t="s">
        <v>22</v>
      </c>
      <c r="Q722" s="2" t="s">
        <v>6117</v>
      </c>
      <c r="R722" s="3" t="s">
        <v>2874</v>
      </c>
    </row>
    <row r="723" spans="1:18" x14ac:dyDescent="0.25">
      <c r="A723" s="2">
        <v>5665</v>
      </c>
      <c r="B723" s="3" t="s">
        <v>2875</v>
      </c>
      <c r="C723" s="2" t="s">
        <v>4306</v>
      </c>
      <c r="D723" s="2" t="s">
        <v>2684</v>
      </c>
      <c r="E723" s="3" t="s">
        <v>1718</v>
      </c>
      <c r="F723" s="3" t="s">
        <v>2680</v>
      </c>
      <c r="G723" s="2" t="s">
        <v>5186</v>
      </c>
      <c r="H723" s="2" t="s">
        <v>5230</v>
      </c>
      <c r="I723" s="3" t="s">
        <v>2681</v>
      </c>
      <c r="J723" s="3" t="s">
        <v>2855</v>
      </c>
      <c r="K723" s="3" t="s">
        <v>2876</v>
      </c>
      <c r="L723" s="3" t="s">
        <v>2684</v>
      </c>
      <c r="M723" s="3" t="s">
        <v>20</v>
      </c>
      <c r="N723" s="2">
        <v>0</v>
      </c>
      <c r="O723" s="3" t="s">
        <v>244</v>
      </c>
      <c r="P723" s="3" t="s">
        <v>22</v>
      </c>
      <c r="Q723" s="2" t="s">
        <v>6118</v>
      </c>
      <c r="R723" s="3" t="s">
        <v>2877</v>
      </c>
    </row>
    <row r="724" spans="1:18" x14ac:dyDescent="0.25">
      <c r="A724" s="2">
        <v>24311</v>
      </c>
      <c r="B724" s="3" t="s">
        <v>2878</v>
      </c>
      <c r="C724" s="2" t="s">
        <v>4307</v>
      </c>
      <c r="D724" s="2" t="s">
        <v>2684</v>
      </c>
      <c r="E724" s="3" t="s">
        <v>1718</v>
      </c>
      <c r="F724" s="3" t="s">
        <v>2680</v>
      </c>
      <c r="G724" s="2" t="s">
        <v>5186</v>
      </c>
      <c r="H724" s="2" t="s">
        <v>5231</v>
      </c>
      <c r="I724" s="3" t="s">
        <v>2681</v>
      </c>
      <c r="J724" s="3" t="s">
        <v>2879</v>
      </c>
      <c r="K724" s="3" t="s">
        <v>2880</v>
      </c>
      <c r="L724" s="3" t="s">
        <v>2684</v>
      </c>
      <c r="M724" s="3" t="s">
        <v>20</v>
      </c>
      <c r="N724" s="2">
        <v>0</v>
      </c>
      <c r="O724" s="3" t="s">
        <v>271</v>
      </c>
      <c r="P724" s="3" t="s">
        <v>22</v>
      </c>
      <c r="Q724" s="2" t="s">
        <v>6119</v>
      </c>
      <c r="R724" s="3" t="s">
        <v>2881</v>
      </c>
    </row>
    <row r="725" spans="1:18" x14ac:dyDescent="0.25">
      <c r="A725" s="2">
        <v>36155</v>
      </c>
      <c r="B725" s="3" t="s">
        <v>2882</v>
      </c>
      <c r="C725" s="2" t="s">
        <v>4308</v>
      </c>
      <c r="D725" s="2" t="s">
        <v>2684</v>
      </c>
      <c r="E725" s="3" t="s">
        <v>1718</v>
      </c>
      <c r="F725" s="3" t="s">
        <v>2680</v>
      </c>
      <c r="G725" s="2" t="s">
        <v>5186</v>
      </c>
      <c r="H725" s="2" t="s">
        <v>5232</v>
      </c>
      <c r="I725" s="3" t="s">
        <v>2681</v>
      </c>
      <c r="J725" s="3" t="s">
        <v>2883</v>
      </c>
      <c r="K725" s="3" t="s">
        <v>2884</v>
      </c>
      <c r="L725" s="3" t="s">
        <v>2684</v>
      </c>
      <c r="M725" s="3" t="s">
        <v>20</v>
      </c>
      <c r="N725" s="2">
        <v>0</v>
      </c>
      <c r="O725" s="3" t="s">
        <v>271</v>
      </c>
      <c r="P725" s="3" t="s">
        <v>22</v>
      </c>
      <c r="Q725" s="2" t="s">
        <v>6120</v>
      </c>
      <c r="R725" s="3" t="s">
        <v>2885</v>
      </c>
    </row>
    <row r="726" spans="1:18" x14ac:dyDescent="0.25">
      <c r="A726" s="2">
        <v>40835</v>
      </c>
      <c r="B726" s="3" t="s">
        <v>2886</v>
      </c>
      <c r="C726" s="2" t="s">
        <v>4309</v>
      </c>
      <c r="D726" s="2" t="s">
        <v>2690</v>
      </c>
      <c r="E726" s="3" t="s">
        <v>1718</v>
      </c>
      <c r="F726" s="3" t="s">
        <v>2680</v>
      </c>
      <c r="G726" s="2" t="s">
        <v>5208</v>
      </c>
      <c r="H726" s="2" t="s">
        <v>5233</v>
      </c>
      <c r="I726" s="3" t="s">
        <v>2887</v>
      </c>
      <c r="J726" s="3" t="s">
        <v>2888</v>
      </c>
      <c r="K726" s="3" t="s">
        <v>2889</v>
      </c>
      <c r="L726" s="3" t="s">
        <v>2690</v>
      </c>
      <c r="M726" s="3" t="s">
        <v>1969</v>
      </c>
      <c r="N726" s="2">
        <v>748</v>
      </c>
      <c r="O726" s="3" t="s">
        <v>271</v>
      </c>
      <c r="P726" s="3" t="s">
        <v>97</v>
      </c>
      <c r="Q726" s="2" t="s">
        <v>6121</v>
      </c>
      <c r="R726" s="3" t="s">
        <v>2890</v>
      </c>
    </row>
    <row r="727" spans="1:18" x14ac:dyDescent="0.25">
      <c r="A727" s="2">
        <v>19030</v>
      </c>
      <c r="B727" s="3" t="s">
        <v>2891</v>
      </c>
      <c r="C727" s="2" t="s">
        <v>4310</v>
      </c>
      <c r="D727" s="2" t="s">
        <v>2690</v>
      </c>
      <c r="E727" s="3" t="s">
        <v>1718</v>
      </c>
      <c r="F727" s="3" t="s">
        <v>2680</v>
      </c>
      <c r="G727" s="2" t="s">
        <v>5179</v>
      </c>
      <c r="H727" s="2" t="s">
        <v>5234</v>
      </c>
      <c r="I727" s="3" t="s">
        <v>2892</v>
      </c>
      <c r="J727" s="3" t="s">
        <v>138</v>
      </c>
      <c r="K727" s="3" t="s">
        <v>2893</v>
      </c>
      <c r="L727" s="3" t="s">
        <v>2690</v>
      </c>
      <c r="M727" s="3" t="s">
        <v>20</v>
      </c>
      <c r="N727" s="2">
        <v>748</v>
      </c>
      <c r="O727" s="3" t="s">
        <v>21</v>
      </c>
      <c r="P727" s="3" t="s">
        <v>22</v>
      </c>
      <c r="Q727" s="2" t="s">
        <v>6122</v>
      </c>
      <c r="R727" s="3" t="s">
        <v>2894</v>
      </c>
    </row>
    <row r="728" spans="1:18" x14ac:dyDescent="0.25">
      <c r="A728" s="2">
        <v>23966</v>
      </c>
      <c r="B728" s="3" t="s">
        <v>2895</v>
      </c>
      <c r="C728" s="2" t="s">
        <v>4311</v>
      </c>
      <c r="D728" s="2" t="s">
        <v>2690</v>
      </c>
      <c r="E728" s="3" t="s">
        <v>1718</v>
      </c>
      <c r="F728" s="3" t="s">
        <v>2680</v>
      </c>
      <c r="G728" s="2" t="s">
        <v>5152</v>
      </c>
      <c r="H728" s="2" t="s">
        <v>5235</v>
      </c>
      <c r="I728" s="3" t="s">
        <v>2896</v>
      </c>
      <c r="J728" s="3" t="s">
        <v>138</v>
      </c>
      <c r="K728" s="3" t="s">
        <v>2897</v>
      </c>
      <c r="L728" s="3" t="s">
        <v>2690</v>
      </c>
      <c r="M728" s="3" t="s">
        <v>1969</v>
      </c>
      <c r="N728" s="2">
        <v>748</v>
      </c>
      <c r="O728" s="3" t="s">
        <v>271</v>
      </c>
      <c r="P728" s="3" t="s">
        <v>97</v>
      </c>
      <c r="Q728" s="2" t="s">
        <v>6123</v>
      </c>
      <c r="R728" s="3" t="s">
        <v>2898</v>
      </c>
    </row>
    <row r="729" spans="1:18" x14ac:dyDescent="0.25">
      <c r="A729" s="2">
        <v>39639</v>
      </c>
      <c r="B729" s="3" t="s">
        <v>2899</v>
      </c>
      <c r="C729" s="2" t="s">
        <v>4312</v>
      </c>
      <c r="D729" s="2" t="s">
        <v>2690</v>
      </c>
      <c r="E729" s="3" t="s">
        <v>1718</v>
      </c>
      <c r="F729" s="3" t="s">
        <v>2680</v>
      </c>
      <c r="G729" s="2" t="s">
        <v>5183</v>
      </c>
      <c r="H729" s="2" t="s">
        <v>5236</v>
      </c>
      <c r="I729" s="3" t="s">
        <v>2900</v>
      </c>
      <c r="J729" s="3" t="s">
        <v>138</v>
      </c>
      <c r="K729" s="3" t="s">
        <v>2901</v>
      </c>
      <c r="L729" s="3" t="s">
        <v>2690</v>
      </c>
      <c r="M729" s="3" t="s">
        <v>1969</v>
      </c>
      <c r="N729" s="2">
        <v>748</v>
      </c>
      <c r="O729" s="3" t="s">
        <v>96</v>
      </c>
      <c r="P729" s="3" t="s">
        <v>97</v>
      </c>
      <c r="Q729" s="2" t="s">
        <v>6124</v>
      </c>
      <c r="R729" s="3" t="s">
        <v>2902</v>
      </c>
    </row>
    <row r="730" spans="1:18" x14ac:dyDescent="0.25">
      <c r="A730" s="2">
        <v>15383</v>
      </c>
      <c r="B730" s="3" t="s">
        <v>2903</v>
      </c>
      <c r="C730" s="2" t="s">
        <v>4313</v>
      </c>
      <c r="D730" s="2" t="s">
        <v>2684</v>
      </c>
      <c r="E730" s="3" t="s">
        <v>1718</v>
      </c>
      <c r="F730" s="3" t="s">
        <v>2680</v>
      </c>
      <c r="G730" s="2" t="s">
        <v>5179</v>
      </c>
      <c r="H730" s="2" t="s">
        <v>5237</v>
      </c>
      <c r="I730" s="3" t="s">
        <v>2681</v>
      </c>
      <c r="J730" s="3" t="s">
        <v>2904</v>
      </c>
      <c r="K730" s="3" t="s">
        <v>2905</v>
      </c>
      <c r="L730" s="3" t="s">
        <v>2684</v>
      </c>
      <c r="M730" s="3" t="s">
        <v>20</v>
      </c>
      <c r="N730" s="2">
        <v>0</v>
      </c>
      <c r="O730" s="3" t="s">
        <v>271</v>
      </c>
      <c r="P730" s="3" t="s">
        <v>22</v>
      </c>
      <c r="Q730" s="2" t="s">
        <v>6125</v>
      </c>
      <c r="R730" s="3" t="s">
        <v>2906</v>
      </c>
    </row>
    <row r="731" spans="1:18" x14ac:dyDescent="0.25">
      <c r="A731" s="2">
        <v>40965</v>
      </c>
      <c r="B731" s="3" t="s">
        <v>2907</v>
      </c>
      <c r="C731" s="2" t="s">
        <v>4314</v>
      </c>
      <c r="D731" s="2" t="s">
        <v>2690</v>
      </c>
      <c r="E731" s="3" t="s">
        <v>1718</v>
      </c>
      <c r="F731" s="3" t="s">
        <v>2680</v>
      </c>
      <c r="G731" s="2" t="s">
        <v>4497</v>
      </c>
      <c r="H731" s="2" t="s">
        <v>5238</v>
      </c>
      <c r="I731" s="3" t="s">
        <v>2786</v>
      </c>
      <c r="J731" s="3" t="s">
        <v>2908</v>
      </c>
      <c r="K731" s="3" t="s">
        <v>2909</v>
      </c>
      <c r="L731" s="3" t="s">
        <v>2690</v>
      </c>
      <c r="M731" s="3" t="s">
        <v>1985</v>
      </c>
      <c r="N731" s="2">
        <v>748</v>
      </c>
      <c r="O731" s="3" t="s">
        <v>21</v>
      </c>
      <c r="P731" s="3" t="s">
        <v>1986</v>
      </c>
      <c r="Q731" s="2" t="s">
        <v>6126</v>
      </c>
      <c r="R731" s="3" t="s">
        <v>2910</v>
      </c>
    </row>
    <row r="732" spans="1:18" x14ac:dyDescent="0.25">
      <c r="A732" s="2">
        <v>157</v>
      </c>
      <c r="B732" s="3" t="s">
        <v>2911</v>
      </c>
      <c r="C732" s="2" t="s">
        <v>4315</v>
      </c>
      <c r="D732" s="2" t="s">
        <v>2684</v>
      </c>
      <c r="E732" s="3" t="s">
        <v>1718</v>
      </c>
      <c r="F732" s="3" t="s">
        <v>2680</v>
      </c>
      <c r="G732" s="2" t="s">
        <v>5179</v>
      </c>
      <c r="H732" s="2" t="s">
        <v>5239</v>
      </c>
      <c r="I732" s="3" t="s">
        <v>2681</v>
      </c>
      <c r="J732" s="3" t="s">
        <v>2912</v>
      </c>
      <c r="K732" s="3" t="s">
        <v>2913</v>
      </c>
      <c r="L732" s="3" t="s">
        <v>2684</v>
      </c>
      <c r="M732" s="3" t="s">
        <v>20</v>
      </c>
      <c r="N732" s="2">
        <v>0</v>
      </c>
      <c r="O732" s="3" t="s">
        <v>271</v>
      </c>
      <c r="P732" s="3" t="s">
        <v>22</v>
      </c>
      <c r="Q732" s="2" t="s">
        <v>6127</v>
      </c>
      <c r="R732" s="3" t="s">
        <v>2914</v>
      </c>
    </row>
    <row r="733" spans="1:18" x14ac:dyDescent="0.25">
      <c r="A733" s="2">
        <v>38670</v>
      </c>
      <c r="B733" s="3" t="s">
        <v>2915</v>
      </c>
      <c r="C733" s="2" t="s">
        <v>4316</v>
      </c>
      <c r="D733" s="2" t="s">
        <v>2690</v>
      </c>
      <c r="E733" s="3" t="s">
        <v>1718</v>
      </c>
      <c r="F733" s="3" t="s">
        <v>2680</v>
      </c>
      <c r="G733" s="2" t="s">
        <v>5179</v>
      </c>
      <c r="H733" s="2" t="s">
        <v>5240</v>
      </c>
      <c r="I733" s="3" t="s">
        <v>2916</v>
      </c>
      <c r="J733" s="3" t="s">
        <v>2917</v>
      </c>
      <c r="K733" s="3" t="s">
        <v>2918</v>
      </c>
      <c r="L733" s="3" t="s">
        <v>2690</v>
      </c>
      <c r="M733" s="3" t="s">
        <v>1969</v>
      </c>
      <c r="N733" s="2">
        <v>748</v>
      </c>
      <c r="O733" s="3" t="s">
        <v>96</v>
      </c>
      <c r="P733" s="3" t="s">
        <v>97</v>
      </c>
      <c r="Q733" s="2" t="s">
        <v>6128</v>
      </c>
      <c r="R733" s="3" t="s">
        <v>2919</v>
      </c>
    </row>
    <row r="734" spans="1:18" x14ac:dyDescent="0.25">
      <c r="A734" s="2">
        <v>15222</v>
      </c>
      <c r="B734" s="3" t="s">
        <v>2920</v>
      </c>
      <c r="C734" s="2" t="s">
        <v>4317</v>
      </c>
      <c r="D734" s="2" t="s">
        <v>2684</v>
      </c>
      <c r="E734" s="3" t="s">
        <v>1718</v>
      </c>
      <c r="F734" s="3" t="s">
        <v>2680</v>
      </c>
      <c r="G734" s="2" t="s">
        <v>4497</v>
      </c>
      <c r="H734" s="2" t="s">
        <v>5241</v>
      </c>
      <c r="I734" s="3" t="s">
        <v>2921</v>
      </c>
      <c r="J734" s="3" t="s">
        <v>138</v>
      </c>
      <c r="K734" s="3" t="s">
        <v>2922</v>
      </c>
      <c r="L734" s="3" t="s">
        <v>2684</v>
      </c>
      <c r="M734" s="3" t="s">
        <v>1969</v>
      </c>
      <c r="N734" s="2">
        <v>0</v>
      </c>
      <c r="O734" s="3" t="s">
        <v>96</v>
      </c>
      <c r="P734" s="3" t="s">
        <v>97</v>
      </c>
      <c r="Q734" s="2" t="s">
        <v>6129</v>
      </c>
      <c r="R734" s="3" t="s">
        <v>2923</v>
      </c>
    </row>
    <row r="735" spans="1:18" x14ac:dyDescent="0.25">
      <c r="A735" s="2">
        <v>37582</v>
      </c>
      <c r="B735" s="3" t="s">
        <v>2924</v>
      </c>
      <c r="C735" s="2" t="s">
        <v>4318</v>
      </c>
      <c r="D735" s="2" t="s">
        <v>2690</v>
      </c>
      <c r="E735" s="3" t="s">
        <v>1718</v>
      </c>
      <c r="F735" s="3" t="s">
        <v>2680</v>
      </c>
      <c r="G735" s="2" t="s">
        <v>5217</v>
      </c>
      <c r="H735" s="2" t="s">
        <v>5242</v>
      </c>
      <c r="I735" s="3" t="s">
        <v>2925</v>
      </c>
      <c r="J735" s="3" t="s">
        <v>2721</v>
      </c>
      <c r="K735" s="3" t="s">
        <v>2926</v>
      </c>
      <c r="L735" s="3" t="s">
        <v>2690</v>
      </c>
      <c r="M735" s="3" t="s">
        <v>1969</v>
      </c>
      <c r="N735" s="2">
        <v>748</v>
      </c>
      <c r="O735" s="3" t="s">
        <v>96</v>
      </c>
      <c r="P735" s="3" t="s">
        <v>97</v>
      </c>
      <c r="Q735" s="2" t="s">
        <v>6130</v>
      </c>
      <c r="R735" s="3" t="s">
        <v>2927</v>
      </c>
    </row>
    <row r="736" spans="1:18" x14ac:dyDescent="0.25">
      <c r="A736" s="2">
        <v>37749</v>
      </c>
      <c r="B736" s="3" t="s">
        <v>2928</v>
      </c>
      <c r="C736" s="2" t="s">
        <v>4319</v>
      </c>
      <c r="D736" s="2" t="s">
        <v>2690</v>
      </c>
      <c r="E736" s="3" t="s">
        <v>1718</v>
      </c>
      <c r="F736" s="3" t="s">
        <v>2680</v>
      </c>
      <c r="G736" s="2" t="s">
        <v>5067</v>
      </c>
      <c r="H736" s="2" t="s">
        <v>5243</v>
      </c>
      <c r="I736" s="3" t="s">
        <v>2929</v>
      </c>
      <c r="J736" s="3" t="s">
        <v>2930</v>
      </c>
      <c r="K736" s="3" t="s">
        <v>2931</v>
      </c>
      <c r="L736" s="3" t="s">
        <v>2690</v>
      </c>
      <c r="M736" s="3" t="s">
        <v>20</v>
      </c>
      <c r="N736" s="2">
        <v>748</v>
      </c>
      <c r="O736" s="3" t="s">
        <v>21</v>
      </c>
      <c r="P736" s="3" t="s">
        <v>22</v>
      </c>
      <c r="Q736" s="2" t="s">
        <v>6131</v>
      </c>
      <c r="R736" s="3" t="s">
        <v>2932</v>
      </c>
    </row>
    <row r="737" spans="1:18" x14ac:dyDescent="0.25">
      <c r="A737" s="2">
        <v>39828</v>
      </c>
      <c r="B737" s="3" t="s">
        <v>2933</v>
      </c>
      <c r="C737" s="2" t="s">
        <v>4320</v>
      </c>
      <c r="D737" s="2" t="s">
        <v>2684</v>
      </c>
      <c r="E737" s="3" t="s">
        <v>1718</v>
      </c>
      <c r="F737" s="3" t="s">
        <v>2680</v>
      </c>
      <c r="G737" s="2" t="s">
        <v>5179</v>
      </c>
      <c r="H737" s="2" t="s">
        <v>5244</v>
      </c>
      <c r="I737" s="3" t="s">
        <v>2709</v>
      </c>
      <c r="J737" s="3" t="s">
        <v>2934</v>
      </c>
      <c r="K737" s="3" t="s">
        <v>2935</v>
      </c>
      <c r="L737" s="3" t="s">
        <v>2684</v>
      </c>
      <c r="M737" s="3" t="s">
        <v>20</v>
      </c>
      <c r="N737" s="2">
        <v>0</v>
      </c>
      <c r="O737" s="3" t="s">
        <v>21</v>
      </c>
      <c r="P737" s="3" t="s">
        <v>22</v>
      </c>
      <c r="Q737" s="2" t="s">
        <v>6132</v>
      </c>
      <c r="R737" s="3" t="s">
        <v>2936</v>
      </c>
    </row>
    <row r="738" spans="1:18" x14ac:dyDescent="0.25">
      <c r="A738" s="2">
        <v>13101</v>
      </c>
      <c r="B738" s="3" t="s">
        <v>2937</v>
      </c>
      <c r="C738" s="2" t="s">
        <v>4321</v>
      </c>
      <c r="D738" s="2" t="s">
        <v>2684</v>
      </c>
      <c r="E738" s="3" t="s">
        <v>1718</v>
      </c>
      <c r="F738" s="3" t="s">
        <v>2680</v>
      </c>
      <c r="G738" s="2" t="s">
        <v>5152</v>
      </c>
      <c r="H738" s="2" t="s">
        <v>5245</v>
      </c>
      <c r="I738" s="3" t="s">
        <v>2938</v>
      </c>
      <c r="J738" s="3" t="s">
        <v>2939</v>
      </c>
      <c r="K738" s="3" t="s">
        <v>2940</v>
      </c>
      <c r="L738" s="3" t="s">
        <v>2684</v>
      </c>
      <c r="M738" s="3" t="s">
        <v>1969</v>
      </c>
      <c r="N738" s="2">
        <v>0</v>
      </c>
      <c r="O738" s="3" t="s">
        <v>96</v>
      </c>
      <c r="P738" s="3" t="s">
        <v>97</v>
      </c>
      <c r="Q738" s="2" t="s">
        <v>6133</v>
      </c>
      <c r="R738" s="3" t="s">
        <v>2941</v>
      </c>
    </row>
    <row r="739" spans="1:18" x14ac:dyDescent="0.25">
      <c r="A739" s="2">
        <v>38907</v>
      </c>
      <c r="B739" s="3" t="s">
        <v>2942</v>
      </c>
      <c r="C739" s="2" t="s">
        <v>4322</v>
      </c>
      <c r="D739" s="2" t="s">
        <v>2684</v>
      </c>
      <c r="E739" s="3" t="s">
        <v>1718</v>
      </c>
      <c r="F739" s="3" t="s">
        <v>2680</v>
      </c>
      <c r="G739" s="2" t="s">
        <v>5217</v>
      </c>
      <c r="H739" s="2" t="s">
        <v>5246</v>
      </c>
      <c r="I739" s="3" t="s">
        <v>2943</v>
      </c>
      <c r="J739" s="3" t="s">
        <v>138</v>
      </c>
      <c r="K739" s="3" t="s">
        <v>2944</v>
      </c>
      <c r="L739" s="3" t="s">
        <v>2684</v>
      </c>
      <c r="M739" s="3" t="s">
        <v>1969</v>
      </c>
      <c r="N739" s="2">
        <v>0</v>
      </c>
      <c r="O739" s="3" t="s">
        <v>96</v>
      </c>
      <c r="P739" s="3" t="s">
        <v>97</v>
      </c>
      <c r="Q739" s="2" t="s">
        <v>6134</v>
      </c>
      <c r="R739" s="3" t="s">
        <v>2945</v>
      </c>
    </row>
    <row r="740" spans="1:18" x14ac:dyDescent="0.25">
      <c r="A740" s="2">
        <v>27126</v>
      </c>
      <c r="B740" s="3" t="s">
        <v>2946</v>
      </c>
      <c r="C740" s="2" t="s">
        <v>4323</v>
      </c>
      <c r="D740" s="2" t="s">
        <v>2690</v>
      </c>
      <c r="E740" s="3" t="s">
        <v>1718</v>
      </c>
      <c r="F740" s="3" t="s">
        <v>2680</v>
      </c>
      <c r="G740" s="2" t="s">
        <v>5217</v>
      </c>
      <c r="H740" s="2" t="s">
        <v>5247</v>
      </c>
      <c r="I740" s="3" t="s">
        <v>2947</v>
      </c>
      <c r="J740" s="3" t="s">
        <v>138</v>
      </c>
      <c r="K740" s="3" t="s">
        <v>2948</v>
      </c>
      <c r="L740" s="3" t="s">
        <v>2690</v>
      </c>
      <c r="M740" s="3" t="s">
        <v>1969</v>
      </c>
      <c r="N740" s="2">
        <v>748</v>
      </c>
      <c r="O740" s="3" t="s">
        <v>96</v>
      </c>
      <c r="P740" s="3" t="s">
        <v>97</v>
      </c>
      <c r="Q740" s="2" t="s">
        <v>6135</v>
      </c>
      <c r="R740" s="3" t="s">
        <v>2949</v>
      </c>
    </row>
    <row r="741" spans="1:18" x14ac:dyDescent="0.25">
      <c r="A741" s="2">
        <v>31380</v>
      </c>
      <c r="B741" s="3" t="s">
        <v>2950</v>
      </c>
      <c r="C741" s="2" t="s">
        <v>4324</v>
      </c>
      <c r="D741" s="2" t="s">
        <v>2684</v>
      </c>
      <c r="E741" s="3" t="s">
        <v>1718</v>
      </c>
      <c r="F741" s="3" t="s">
        <v>2680</v>
      </c>
      <c r="G741" s="2" t="s">
        <v>5217</v>
      </c>
      <c r="H741" s="2" t="s">
        <v>5248</v>
      </c>
      <c r="I741" s="3" t="s">
        <v>2951</v>
      </c>
      <c r="J741" s="3" t="s">
        <v>138</v>
      </c>
      <c r="K741" s="3" t="s">
        <v>2952</v>
      </c>
      <c r="L741" s="3" t="s">
        <v>2684</v>
      </c>
      <c r="M741" s="3" t="s">
        <v>1969</v>
      </c>
      <c r="N741" s="2">
        <v>0</v>
      </c>
      <c r="O741" s="3" t="s">
        <v>271</v>
      </c>
      <c r="P741" s="3" t="s">
        <v>97</v>
      </c>
      <c r="Q741" s="2" t="s">
        <v>6136</v>
      </c>
      <c r="R741" s="3" t="s">
        <v>2953</v>
      </c>
    </row>
    <row r="742" spans="1:18" x14ac:dyDescent="0.25">
      <c r="A742" s="2">
        <v>40097</v>
      </c>
      <c r="B742" s="3" t="s">
        <v>2954</v>
      </c>
      <c r="C742" s="2" t="s">
        <v>4325</v>
      </c>
      <c r="D742" s="2" t="s">
        <v>2684</v>
      </c>
      <c r="E742" s="3" t="s">
        <v>1718</v>
      </c>
      <c r="F742" s="3" t="s">
        <v>2680</v>
      </c>
      <c r="G742" s="2" t="s">
        <v>5217</v>
      </c>
      <c r="H742" s="2" t="s">
        <v>5249</v>
      </c>
      <c r="I742" s="3" t="s">
        <v>2955</v>
      </c>
      <c r="J742" s="3" t="s">
        <v>2956</v>
      </c>
      <c r="K742" s="3" t="s">
        <v>2957</v>
      </c>
      <c r="L742" s="3" t="s">
        <v>2684</v>
      </c>
      <c r="M742" s="3" t="s">
        <v>1969</v>
      </c>
      <c r="N742" s="2">
        <v>0</v>
      </c>
      <c r="O742" s="3" t="s">
        <v>96</v>
      </c>
      <c r="P742" s="3" t="s">
        <v>97</v>
      </c>
      <c r="Q742" s="2" t="s">
        <v>6137</v>
      </c>
      <c r="R742" s="3" t="s">
        <v>2958</v>
      </c>
    </row>
    <row r="743" spans="1:18" x14ac:dyDescent="0.25">
      <c r="A743" s="2">
        <v>37920</v>
      </c>
      <c r="B743" s="3" t="s">
        <v>2959</v>
      </c>
      <c r="C743" s="2" t="s">
        <v>4326</v>
      </c>
      <c r="D743" s="2" t="s">
        <v>2684</v>
      </c>
      <c r="E743" s="3" t="s">
        <v>1718</v>
      </c>
      <c r="F743" s="3" t="s">
        <v>2680</v>
      </c>
      <c r="G743" s="2" t="s">
        <v>5186</v>
      </c>
      <c r="H743" s="2" t="s">
        <v>5250</v>
      </c>
      <c r="I743" s="3" t="s">
        <v>2709</v>
      </c>
      <c r="J743" s="3" t="s">
        <v>2960</v>
      </c>
      <c r="K743" s="3" t="s">
        <v>2961</v>
      </c>
      <c r="L743" s="3" t="s">
        <v>2684</v>
      </c>
      <c r="M743" s="3" t="s">
        <v>20</v>
      </c>
      <c r="N743" s="2">
        <v>0</v>
      </c>
      <c r="O743" s="3" t="s">
        <v>21</v>
      </c>
      <c r="P743" s="3" t="s">
        <v>22</v>
      </c>
      <c r="Q743" s="2" t="s">
        <v>6138</v>
      </c>
      <c r="R743" s="3" t="s">
        <v>2962</v>
      </c>
    </row>
    <row r="744" spans="1:18" x14ac:dyDescent="0.25">
      <c r="A744" s="2">
        <v>31240</v>
      </c>
      <c r="B744" s="3" t="s">
        <v>2963</v>
      </c>
      <c r="C744" s="2" t="s">
        <v>4327</v>
      </c>
      <c r="D744" s="2" t="s">
        <v>2690</v>
      </c>
      <c r="E744" s="3" t="s">
        <v>1718</v>
      </c>
      <c r="F744" s="3" t="s">
        <v>2680</v>
      </c>
      <c r="G744" s="2" t="s">
        <v>5186</v>
      </c>
      <c r="H744" s="2" t="s">
        <v>5251</v>
      </c>
      <c r="I744" s="3" t="s">
        <v>2964</v>
      </c>
      <c r="J744" s="3" t="s">
        <v>2965</v>
      </c>
      <c r="K744" s="3" t="s">
        <v>2966</v>
      </c>
      <c r="L744" s="3" t="s">
        <v>2690</v>
      </c>
      <c r="M744" s="3" t="s">
        <v>1969</v>
      </c>
      <c r="N744" s="2">
        <v>748</v>
      </c>
      <c r="O744" s="3" t="s">
        <v>271</v>
      </c>
      <c r="P744" s="3" t="s">
        <v>97</v>
      </c>
      <c r="Q744" s="2" t="s">
        <v>6139</v>
      </c>
      <c r="R744" s="3" t="s">
        <v>2967</v>
      </c>
    </row>
    <row r="745" spans="1:18" x14ac:dyDescent="0.25">
      <c r="A745" s="2">
        <v>36798</v>
      </c>
      <c r="B745" s="3" t="s">
        <v>2968</v>
      </c>
      <c r="C745" s="2" t="s">
        <v>4328</v>
      </c>
      <c r="D745" s="2" t="s">
        <v>2690</v>
      </c>
      <c r="E745" s="3" t="s">
        <v>1718</v>
      </c>
      <c r="F745" s="3" t="s">
        <v>2680</v>
      </c>
      <c r="G745" s="2" t="s">
        <v>5179</v>
      </c>
      <c r="H745" s="2" t="s">
        <v>5252</v>
      </c>
      <c r="I745" s="3" t="s">
        <v>2969</v>
      </c>
      <c r="J745" s="3" t="s">
        <v>2970</v>
      </c>
      <c r="K745" s="3" t="s">
        <v>2971</v>
      </c>
      <c r="L745" s="3" t="s">
        <v>2690</v>
      </c>
      <c r="M745" s="3" t="s">
        <v>1969</v>
      </c>
      <c r="N745" s="2">
        <v>748</v>
      </c>
      <c r="O745" s="3" t="s">
        <v>96</v>
      </c>
      <c r="P745" s="3" t="s">
        <v>97</v>
      </c>
      <c r="Q745" s="2" t="s">
        <v>6140</v>
      </c>
      <c r="R745" s="3" t="s">
        <v>2972</v>
      </c>
    </row>
    <row r="746" spans="1:18" x14ac:dyDescent="0.25">
      <c r="A746" s="2">
        <v>21841</v>
      </c>
      <c r="B746" s="3" t="s">
        <v>2973</v>
      </c>
      <c r="C746" s="2" t="s">
        <v>4329</v>
      </c>
      <c r="D746" s="2" t="s">
        <v>2684</v>
      </c>
      <c r="E746" s="3" t="s">
        <v>1718</v>
      </c>
      <c r="F746" s="3" t="s">
        <v>2680</v>
      </c>
      <c r="G746" s="2" t="s">
        <v>5208</v>
      </c>
      <c r="H746" s="2" t="s">
        <v>5253</v>
      </c>
      <c r="I746" s="3" t="s">
        <v>2974</v>
      </c>
      <c r="J746" s="3" t="s">
        <v>2975</v>
      </c>
      <c r="K746" s="3" t="s">
        <v>2976</v>
      </c>
      <c r="L746" s="3" t="s">
        <v>2684</v>
      </c>
      <c r="M746" s="3" t="s">
        <v>1985</v>
      </c>
      <c r="N746" s="2">
        <v>0</v>
      </c>
      <c r="O746" s="3" t="s">
        <v>271</v>
      </c>
      <c r="P746" s="3" t="s">
        <v>1986</v>
      </c>
      <c r="Q746" s="2" t="s">
        <v>6141</v>
      </c>
      <c r="R746" s="3" t="s">
        <v>2977</v>
      </c>
    </row>
    <row r="747" spans="1:18" x14ac:dyDescent="0.25">
      <c r="A747" s="2">
        <v>37747</v>
      </c>
      <c r="B747" s="3" t="s">
        <v>2978</v>
      </c>
      <c r="C747" s="2" t="s">
        <v>4330</v>
      </c>
      <c r="D747" s="2" t="s">
        <v>2690</v>
      </c>
      <c r="E747" s="3" t="s">
        <v>1718</v>
      </c>
      <c r="F747" s="3" t="s">
        <v>2680</v>
      </c>
      <c r="G747" s="2" t="s">
        <v>5152</v>
      </c>
      <c r="H747" s="2" t="s">
        <v>5254</v>
      </c>
      <c r="I747" s="3" t="s">
        <v>2743</v>
      </c>
      <c r="J747" s="3" t="s">
        <v>2979</v>
      </c>
      <c r="K747" s="3" t="s">
        <v>2980</v>
      </c>
      <c r="L747" s="3" t="s">
        <v>2690</v>
      </c>
      <c r="M747" s="3" t="s">
        <v>1985</v>
      </c>
      <c r="N747" s="2">
        <v>748</v>
      </c>
      <c r="O747" s="3" t="s">
        <v>244</v>
      </c>
      <c r="P747" s="3" t="s">
        <v>1986</v>
      </c>
      <c r="Q747" s="2" t="s">
        <v>6142</v>
      </c>
      <c r="R747" s="3" t="s">
        <v>2981</v>
      </c>
    </row>
    <row r="748" spans="1:18" x14ac:dyDescent="0.25">
      <c r="A748" s="2">
        <v>513</v>
      </c>
      <c r="B748" s="3" t="s">
        <v>2982</v>
      </c>
      <c r="C748" s="2" t="s">
        <v>4331</v>
      </c>
      <c r="D748" s="2" t="s">
        <v>2690</v>
      </c>
      <c r="E748" s="3" t="s">
        <v>1718</v>
      </c>
      <c r="F748" s="3" t="s">
        <v>2680</v>
      </c>
      <c r="G748" s="2" t="s">
        <v>4497</v>
      </c>
      <c r="H748" s="2" t="s">
        <v>5255</v>
      </c>
      <c r="I748" s="3" t="s">
        <v>2786</v>
      </c>
      <c r="J748" s="3" t="s">
        <v>138</v>
      </c>
      <c r="K748" s="3" t="s">
        <v>2983</v>
      </c>
      <c r="L748" s="3" t="s">
        <v>2690</v>
      </c>
      <c r="M748" s="3" t="s">
        <v>1985</v>
      </c>
      <c r="N748" s="2">
        <v>748</v>
      </c>
      <c r="O748" s="3" t="s">
        <v>21</v>
      </c>
      <c r="P748" s="3" t="s">
        <v>1986</v>
      </c>
      <c r="Q748" s="2" t="s">
        <v>6143</v>
      </c>
      <c r="R748" s="3" t="s">
        <v>2984</v>
      </c>
    </row>
    <row r="749" spans="1:18" x14ac:dyDescent="0.25">
      <c r="A749" s="2">
        <v>1287</v>
      </c>
      <c r="B749" s="3" t="s">
        <v>2985</v>
      </c>
      <c r="C749" s="2" t="s">
        <v>4332</v>
      </c>
      <c r="D749" s="2" t="s">
        <v>2684</v>
      </c>
      <c r="E749" s="3" t="s">
        <v>1718</v>
      </c>
      <c r="F749" s="3" t="s">
        <v>2680</v>
      </c>
      <c r="G749" s="2" t="s">
        <v>5186</v>
      </c>
      <c r="H749" s="2" t="s">
        <v>5256</v>
      </c>
      <c r="I749" s="3" t="s">
        <v>2791</v>
      </c>
      <c r="J749" s="3" t="s">
        <v>138</v>
      </c>
      <c r="K749" s="3" t="s">
        <v>2986</v>
      </c>
      <c r="L749" s="3" t="s">
        <v>2684</v>
      </c>
      <c r="M749" s="3" t="s">
        <v>1969</v>
      </c>
      <c r="N749" s="2">
        <v>0</v>
      </c>
      <c r="O749" s="3" t="s">
        <v>96</v>
      </c>
      <c r="P749" s="3" t="s">
        <v>97</v>
      </c>
      <c r="Q749" s="2" t="s">
        <v>6144</v>
      </c>
      <c r="R749" s="3" t="s">
        <v>2987</v>
      </c>
    </row>
    <row r="750" spans="1:18" x14ac:dyDescent="0.25">
      <c r="A750" s="2">
        <v>13020</v>
      </c>
      <c r="B750" s="3" t="s">
        <v>2988</v>
      </c>
      <c r="C750" s="2" t="s">
        <v>4333</v>
      </c>
      <c r="D750" s="2" t="s">
        <v>2690</v>
      </c>
      <c r="E750" s="3" t="s">
        <v>1718</v>
      </c>
      <c r="F750" s="3" t="s">
        <v>2680</v>
      </c>
      <c r="G750" s="2" t="s">
        <v>5217</v>
      </c>
      <c r="H750" s="2" t="s">
        <v>5257</v>
      </c>
      <c r="I750" s="3" t="s">
        <v>2989</v>
      </c>
      <c r="J750" s="3" t="s">
        <v>138</v>
      </c>
      <c r="K750" s="3" t="s">
        <v>2990</v>
      </c>
      <c r="L750" s="3" t="s">
        <v>2690</v>
      </c>
      <c r="M750" s="3" t="s">
        <v>1969</v>
      </c>
      <c r="N750" s="2">
        <v>748</v>
      </c>
      <c r="O750" s="3" t="s">
        <v>96</v>
      </c>
      <c r="P750" s="3" t="s">
        <v>97</v>
      </c>
      <c r="Q750" s="2" t="s">
        <v>6145</v>
      </c>
      <c r="R750" s="3" t="s">
        <v>2991</v>
      </c>
    </row>
    <row r="751" spans="1:18" x14ac:dyDescent="0.25">
      <c r="A751" s="2">
        <v>22965</v>
      </c>
      <c r="B751" s="3" t="s">
        <v>2992</v>
      </c>
      <c r="C751" s="2" t="s">
        <v>4334</v>
      </c>
      <c r="D751" s="2" t="s">
        <v>2684</v>
      </c>
      <c r="E751" s="3" t="s">
        <v>1718</v>
      </c>
      <c r="F751" s="3" t="s">
        <v>2680</v>
      </c>
      <c r="G751" s="2" t="s">
        <v>5067</v>
      </c>
      <c r="H751" s="2" t="s">
        <v>5258</v>
      </c>
      <c r="I751" s="3" t="s">
        <v>2993</v>
      </c>
      <c r="J751" s="3" t="s">
        <v>2994</v>
      </c>
      <c r="K751" s="3" t="s">
        <v>2995</v>
      </c>
      <c r="L751" s="3" t="s">
        <v>2684</v>
      </c>
      <c r="M751" s="3" t="s">
        <v>1969</v>
      </c>
      <c r="N751" s="2">
        <v>0</v>
      </c>
      <c r="O751" s="3" t="s">
        <v>96</v>
      </c>
      <c r="P751" s="3" t="s">
        <v>97</v>
      </c>
      <c r="Q751" s="2" t="s">
        <v>6146</v>
      </c>
      <c r="R751" s="3" t="s">
        <v>2996</v>
      </c>
    </row>
    <row r="752" spans="1:18" x14ac:dyDescent="0.25">
      <c r="A752" s="2">
        <v>40678</v>
      </c>
      <c r="B752" s="3" t="s">
        <v>2997</v>
      </c>
      <c r="C752" s="2" t="s">
        <v>4335</v>
      </c>
      <c r="D752" s="2" t="s">
        <v>2684</v>
      </c>
      <c r="E752" s="3" t="s">
        <v>1718</v>
      </c>
      <c r="F752" s="3" t="s">
        <v>2680</v>
      </c>
      <c r="G752" s="2" t="s">
        <v>5179</v>
      </c>
      <c r="H752" s="2" t="s">
        <v>5259</v>
      </c>
      <c r="I752" s="3" t="s">
        <v>2709</v>
      </c>
      <c r="J752" s="3" t="s">
        <v>2912</v>
      </c>
      <c r="K752" s="3" t="s">
        <v>2998</v>
      </c>
      <c r="L752" s="3" t="s">
        <v>2684</v>
      </c>
      <c r="M752" s="3" t="s">
        <v>20</v>
      </c>
      <c r="N752" s="2">
        <v>0</v>
      </c>
      <c r="O752" s="3" t="s">
        <v>21</v>
      </c>
      <c r="P752" s="3" t="s">
        <v>22</v>
      </c>
      <c r="Q752" s="2" t="s">
        <v>6147</v>
      </c>
      <c r="R752" s="3" t="s">
        <v>2999</v>
      </c>
    </row>
    <row r="753" spans="1:18" x14ac:dyDescent="0.25">
      <c r="A753" s="2">
        <v>4835</v>
      </c>
      <c r="B753" s="3" t="s">
        <v>3000</v>
      </c>
      <c r="C753" s="2" t="s">
        <v>4336</v>
      </c>
      <c r="D753" s="2" t="s">
        <v>2684</v>
      </c>
      <c r="E753" s="3" t="s">
        <v>1718</v>
      </c>
      <c r="F753" s="3" t="s">
        <v>2680</v>
      </c>
      <c r="G753" s="2" t="s">
        <v>5186</v>
      </c>
      <c r="H753" s="2" t="s">
        <v>5260</v>
      </c>
      <c r="I753" s="3" t="s">
        <v>2681</v>
      </c>
      <c r="J753" s="3" t="s">
        <v>3001</v>
      </c>
      <c r="K753" s="3" t="s">
        <v>3002</v>
      </c>
      <c r="L753" s="3" t="s">
        <v>2684</v>
      </c>
      <c r="M753" s="3" t="s">
        <v>20</v>
      </c>
      <c r="N753" s="2">
        <v>0</v>
      </c>
      <c r="O753" s="3" t="s">
        <v>271</v>
      </c>
      <c r="P753" s="3" t="s">
        <v>22</v>
      </c>
      <c r="Q753" s="2" t="s">
        <v>6148</v>
      </c>
      <c r="R753" s="3" t="s">
        <v>3003</v>
      </c>
    </row>
    <row r="754" spans="1:18" x14ac:dyDescent="0.25">
      <c r="A754" s="2">
        <v>27481</v>
      </c>
      <c r="B754" s="3" t="s">
        <v>3004</v>
      </c>
      <c r="C754" s="2" t="s">
        <v>4337</v>
      </c>
      <c r="D754" s="2" t="s">
        <v>2684</v>
      </c>
      <c r="E754" s="3" t="s">
        <v>1718</v>
      </c>
      <c r="F754" s="3" t="s">
        <v>2680</v>
      </c>
      <c r="G754" s="2" t="s">
        <v>5152</v>
      </c>
      <c r="H754" s="2" t="s">
        <v>5261</v>
      </c>
      <c r="I754" s="3" t="s">
        <v>3005</v>
      </c>
      <c r="J754" s="3" t="s">
        <v>138</v>
      </c>
      <c r="K754" s="3" t="s">
        <v>3006</v>
      </c>
      <c r="L754" s="3" t="s">
        <v>2684</v>
      </c>
      <c r="M754" s="3" t="s">
        <v>1969</v>
      </c>
      <c r="N754" s="2">
        <v>0</v>
      </c>
      <c r="O754" s="3" t="s">
        <v>96</v>
      </c>
      <c r="P754" s="3" t="s">
        <v>97</v>
      </c>
      <c r="Q754" s="2" t="s">
        <v>6149</v>
      </c>
      <c r="R754" s="3" t="s">
        <v>3007</v>
      </c>
    </row>
    <row r="755" spans="1:18" x14ac:dyDescent="0.25">
      <c r="A755" s="2">
        <v>30916</v>
      </c>
      <c r="B755" s="3" t="s">
        <v>3008</v>
      </c>
      <c r="C755" s="2" t="s">
        <v>4338</v>
      </c>
      <c r="D755" s="2" t="s">
        <v>2690</v>
      </c>
      <c r="E755" s="3" t="s">
        <v>1718</v>
      </c>
      <c r="F755" s="3" t="s">
        <v>2680</v>
      </c>
      <c r="G755" s="2" t="s">
        <v>5217</v>
      </c>
      <c r="H755" s="2" t="s">
        <v>5262</v>
      </c>
      <c r="I755" s="3" t="s">
        <v>3009</v>
      </c>
      <c r="J755" s="3" t="s">
        <v>138</v>
      </c>
      <c r="K755" s="3" t="s">
        <v>3010</v>
      </c>
      <c r="L755" s="3" t="s">
        <v>2690</v>
      </c>
      <c r="M755" s="3" t="s">
        <v>1969</v>
      </c>
      <c r="N755" s="2">
        <v>748</v>
      </c>
      <c r="O755" s="3" t="s">
        <v>96</v>
      </c>
      <c r="P755" s="3" t="s">
        <v>97</v>
      </c>
      <c r="Q755" s="2" t="s">
        <v>6150</v>
      </c>
      <c r="R755" s="3" t="s">
        <v>3011</v>
      </c>
    </row>
    <row r="756" spans="1:18" x14ac:dyDescent="0.25">
      <c r="A756" s="2">
        <v>26998</v>
      </c>
      <c r="B756" s="3" t="s">
        <v>3012</v>
      </c>
      <c r="C756" s="2" t="s">
        <v>4339</v>
      </c>
      <c r="D756" s="2" t="s">
        <v>2690</v>
      </c>
      <c r="E756" s="3" t="s">
        <v>1718</v>
      </c>
      <c r="F756" s="3" t="s">
        <v>2680</v>
      </c>
      <c r="G756" s="2" t="s">
        <v>5217</v>
      </c>
      <c r="H756" s="2" t="s">
        <v>5263</v>
      </c>
      <c r="I756" s="3" t="s">
        <v>3013</v>
      </c>
      <c r="J756" s="3" t="s">
        <v>138</v>
      </c>
      <c r="K756" s="3" t="s">
        <v>3014</v>
      </c>
      <c r="L756" s="3" t="s">
        <v>2690</v>
      </c>
      <c r="M756" s="3" t="s">
        <v>1969</v>
      </c>
      <c r="N756" s="2">
        <v>748</v>
      </c>
      <c r="O756" s="3" t="s">
        <v>271</v>
      </c>
      <c r="P756" s="3" t="s">
        <v>97</v>
      </c>
      <c r="Q756" s="2" t="s">
        <v>6151</v>
      </c>
      <c r="R756" s="3" t="s">
        <v>3015</v>
      </c>
    </row>
    <row r="757" spans="1:18" x14ac:dyDescent="0.25">
      <c r="A757" s="2">
        <v>19154</v>
      </c>
      <c r="B757" s="3" t="s">
        <v>3016</v>
      </c>
      <c r="C757" s="2" t="s">
        <v>4340</v>
      </c>
      <c r="D757" s="2" t="s">
        <v>2684</v>
      </c>
      <c r="E757" s="3" t="s">
        <v>1718</v>
      </c>
      <c r="F757" s="3" t="s">
        <v>2680</v>
      </c>
      <c r="G757" s="2" t="s">
        <v>5208</v>
      </c>
      <c r="H757" s="2" t="s">
        <v>5264</v>
      </c>
      <c r="I757" s="3" t="s">
        <v>3017</v>
      </c>
      <c r="J757" s="3" t="s">
        <v>138</v>
      </c>
      <c r="K757" s="3" t="s">
        <v>3018</v>
      </c>
      <c r="L757" s="3" t="s">
        <v>2684</v>
      </c>
      <c r="M757" s="3" t="s">
        <v>1969</v>
      </c>
      <c r="N757" s="2">
        <v>0</v>
      </c>
      <c r="O757" s="3" t="s">
        <v>96</v>
      </c>
      <c r="P757" s="3" t="s">
        <v>97</v>
      </c>
      <c r="Q757" s="2" t="s">
        <v>6152</v>
      </c>
      <c r="R757" s="3" t="s">
        <v>3019</v>
      </c>
    </row>
    <row r="758" spans="1:18" x14ac:dyDescent="0.25">
      <c r="A758" s="2">
        <v>22095</v>
      </c>
      <c r="B758" s="3" t="s">
        <v>3020</v>
      </c>
      <c r="C758" s="2" t="s">
        <v>4341</v>
      </c>
      <c r="D758" s="2" t="s">
        <v>2690</v>
      </c>
      <c r="E758" s="3" t="s">
        <v>1718</v>
      </c>
      <c r="F758" s="3" t="s">
        <v>2680</v>
      </c>
      <c r="G758" s="2" t="s">
        <v>5208</v>
      </c>
      <c r="H758" s="2" t="s">
        <v>5265</v>
      </c>
      <c r="I758" s="3" t="s">
        <v>2929</v>
      </c>
      <c r="J758" s="3" t="s">
        <v>3021</v>
      </c>
      <c r="K758" s="3" t="s">
        <v>3022</v>
      </c>
      <c r="L758" s="3" t="s">
        <v>2690</v>
      </c>
      <c r="M758" s="3" t="s">
        <v>20</v>
      </c>
      <c r="N758" s="2">
        <v>748</v>
      </c>
      <c r="O758" s="3" t="s">
        <v>21</v>
      </c>
      <c r="P758" s="3" t="s">
        <v>22</v>
      </c>
      <c r="Q758" s="2" t="s">
        <v>6153</v>
      </c>
      <c r="R758" s="3" t="s">
        <v>3023</v>
      </c>
    </row>
    <row r="759" spans="1:18" x14ac:dyDescent="0.25">
      <c r="A759" s="2">
        <v>35709</v>
      </c>
      <c r="B759" s="3" t="s">
        <v>3024</v>
      </c>
      <c r="C759" s="2" t="s">
        <v>4342</v>
      </c>
      <c r="D759" s="2" t="s">
        <v>2684</v>
      </c>
      <c r="E759" s="3" t="s">
        <v>1718</v>
      </c>
      <c r="F759" s="3" t="s">
        <v>2680</v>
      </c>
      <c r="G759" s="2" t="s">
        <v>5152</v>
      </c>
      <c r="H759" s="2" t="s">
        <v>5266</v>
      </c>
      <c r="I759" s="3" t="s">
        <v>2681</v>
      </c>
      <c r="J759" s="3" t="s">
        <v>2091</v>
      </c>
      <c r="K759" s="3" t="s">
        <v>3025</v>
      </c>
      <c r="L759" s="3" t="s">
        <v>2684</v>
      </c>
      <c r="M759" s="3" t="s">
        <v>20</v>
      </c>
      <c r="N759" s="2">
        <v>0</v>
      </c>
      <c r="O759" s="3" t="s">
        <v>271</v>
      </c>
      <c r="P759" s="3" t="s">
        <v>22</v>
      </c>
      <c r="Q759" s="2" t="s">
        <v>6154</v>
      </c>
      <c r="R759" s="3" t="s">
        <v>3026</v>
      </c>
    </row>
    <row r="760" spans="1:18" x14ac:dyDescent="0.25">
      <c r="A760" s="2">
        <v>24502</v>
      </c>
      <c r="B760" s="3" t="s">
        <v>3027</v>
      </c>
      <c r="C760" s="2" t="s">
        <v>4343</v>
      </c>
      <c r="D760" s="2" t="s">
        <v>2684</v>
      </c>
      <c r="E760" s="3" t="s">
        <v>1718</v>
      </c>
      <c r="F760" s="3" t="s">
        <v>2680</v>
      </c>
      <c r="G760" s="2" t="s">
        <v>5208</v>
      </c>
      <c r="H760" s="2" t="s">
        <v>5267</v>
      </c>
      <c r="I760" s="3" t="s">
        <v>2974</v>
      </c>
      <c r="J760" s="3" t="s">
        <v>3028</v>
      </c>
      <c r="K760" s="3" t="s">
        <v>3029</v>
      </c>
      <c r="L760" s="3" t="s">
        <v>2684</v>
      </c>
      <c r="M760" s="3" t="s">
        <v>1985</v>
      </c>
      <c r="N760" s="2">
        <v>0</v>
      </c>
      <c r="O760" s="3" t="s">
        <v>271</v>
      </c>
      <c r="P760" s="3" t="s">
        <v>1986</v>
      </c>
      <c r="Q760" s="2" t="s">
        <v>6155</v>
      </c>
      <c r="R760" s="3" t="s">
        <v>3030</v>
      </c>
    </row>
    <row r="761" spans="1:18" x14ac:dyDescent="0.25">
      <c r="A761" s="2">
        <v>23327</v>
      </c>
      <c r="B761" s="3" t="s">
        <v>3031</v>
      </c>
      <c r="C761" s="2" t="s">
        <v>4344</v>
      </c>
      <c r="D761" s="2" t="s">
        <v>2684</v>
      </c>
      <c r="E761" s="3" t="s">
        <v>1718</v>
      </c>
      <c r="F761" s="3" t="s">
        <v>2680</v>
      </c>
      <c r="G761" s="2" t="s">
        <v>5105</v>
      </c>
      <c r="H761" s="2" t="s">
        <v>5268</v>
      </c>
      <c r="I761" s="3" t="s">
        <v>3032</v>
      </c>
      <c r="J761" s="3" t="s">
        <v>3033</v>
      </c>
      <c r="K761" s="3" t="s">
        <v>3034</v>
      </c>
      <c r="L761" s="3" t="s">
        <v>2684</v>
      </c>
      <c r="M761" s="3" t="s">
        <v>1969</v>
      </c>
      <c r="N761" s="2">
        <v>0</v>
      </c>
      <c r="O761" s="3" t="s">
        <v>96</v>
      </c>
      <c r="P761" s="3" t="s">
        <v>97</v>
      </c>
      <c r="Q761" s="2" t="s">
        <v>6156</v>
      </c>
      <c r="R761" s="3" t="s">
        <v>3035</v>
      </c>
    </row>
    <row r="762" spans="1:18" x14ac:dyDescent="0.25">
      <c r="A762" s="2">
        <v>34813</v>
      </c>
      <c r="B762" s="3" t="s">
        <v>3036</v>
      </c>
      <c r="C762" s="2" t="s">
        <v>4345</v>
      </c>
      <c r="D762" s="2" t="s">
        <v>2690</v>
      </c>
      <c r="E762" s="3" t="s">
        <v>1718</v>
      </c>
      <c r="F762" s="3" t="s">
        <v>2680</v>
      </c>
      <c r="G762" s="2" t="s">
        <v>4497</v>
      </c>
      <c r="H762" s="2" t="s">
        <v>5269</v>
      </c>
      <c r="I762" s="3" t="s">
        <v>2786</v>
      </c>
      <c r="J762" s="3" t="s">
        <v>138</v>
      </c>
      <c r="K762" s="3" t="s">
        <v>3037</v>
      </c>
      <c r="L762" s="3" t="s">
        <v>2690</v>
      </c>
      <c r="M762" s="3" t="s">
        <v>1985</v>
      </c>
      <c r="N762" s="2">
        <v>748</v>
      </c>
      <c r="O762" s="3" t="s">
        <v>244</v>
      </c>
      <c r="P762" s="3" t="s">
        <v>1986</v>
      </c>
      <c r="Q762" s="2" t="s">
        <v>6157</v>
      </c>
      <c r="R762" s="3" t="s">
        <v>3038</v>
      </c>
    </row>
    <row r="763" spans="1:18" x14ac:dyDescent="0.25">
      <c r="A763" s="2">
        <v>41075</v>
      </c>
      <c r="B763" s="3" t="s">
        <v>3039</v>
      </c>
      <c r="C763" s="2" t="s">
        <v>4346</v>
      </c>
      <c r="D763" s="2" t="s">
        <v>2684</v>
      </c>
      <c r="E763" s="3" t="s">
        <v>1718</v>
      </c>
      <c r="F763" s="3" t="s">
        <v>2680</v>
      </c>
      <c r="G763" s="2" t="s">
        <v>5186</v>
      </c>
      <c r="H763" s="2" t="s">
        <v>5270</v>
      </c>
      <c r="I763" s="3" t="s">
        <v>2709</v>
      </c>
      <c r="J763" s="3" t="s">
        <v>2782</v>
      </c>
      <c r="K763" s="3" t="s">
        <v>3040</v>
      </c>
      <c r="L763" s="3" t="s">
        <v>2684</v>
      </c>
      <c r="M763" s="3" t="s">
        <v>20</v>
      </c>
      <c r="N763" s="2">
        <v>0</v>
      </c>
      <c r="O763" s="3" t="s">
        <v>21</v>
      </c>
      <c r="P763" s="3" t="s">
        <v>22</v>
      </c>
      <c r="Q763" s="2" t="s">
        <v>6158</v>
      </c>
      <c r="R763" s="3" t="s">
        <v>3041</v>
      </c>
    </row>
    <row r="764" spans="1:18" x14ac:dyDescent="0.25">
      <c r="A764" s="2">
        <v>41201</v>
      </c>
      <c r="B764" s="3" t="s">
        <v>3042</v>
      </c>
      <c r="C764" s="2" t="s">
        <v>4347</v>
      </c>
      <c r="D764" s="2" t="s">
        <v>2690</v>
      </c>
      <c r="E764" s="3" t="s">
        <v>1718</v>
      </c>
      <c r="F764" s="3" t="s">
        <v>2680</v>
      </c>
      <c r="G764" s="2" t="s">
        <v>5186</v>
      </c>
      <c r="H764" s="2" t="s">
        <v>5271</v>
      </c>
      <c r="I764" s="3" t="s">
        <v>3043</v>
      </c>
      <c r="J764" s="3" t="s">
        <v>3044</v>
      </c>
      <c r="K764" s="3" t="s">
        <v>3045</v>
      </c>
      <c r="L764" s="3" t="s">
        <v>2690</v>
      </c>
      <c r="M764" s="3" t="s">
        <v>1969</v>
      </c>
      <c r="N764" s="2">
        <v>748</v>
      </c>
      <c r="O764" s="3" t="s">
        <v>271</v>
      </c>
      <c r="P764" s="3" t="s">
        <v>97</v>
      </c>
      <c r="Q764" s="2" t="s">
        <v>6159</v>
      </c>
      <c r="R764" s="3" t="s">
        <v>3046</v>
      </c>
    </row>
    <row r="765" spans="1:18" x14ac:dyDescent="0.25">
      <c r="A765" s="2">
        <v>40113</v>
      </c>
      <c r="B765" s="3" t="s">
        <v>3047</v>
      </c>
      <c r="C765" s="2" t="s">
        <v>4348</v>
      </c>
      <c r="D765" s="2" t="s">
        <v>2684</v>
      </c>
      <c r="E765" s="3" t="s">
        <v>1718</v>
      </c>
      <c r="F765" s="3" t="s">
        <v>2680</v>
      </c>
      <c r="G765" s="2" t="s">
        <v>5217</v>
      </c>
      <c r="H765" s="2" t="s">
        <v>5272</v>
      </c>
      <c r="I765" s="3" t="s">
        <v>3048</v>
      </c>
      <c r="J765" s="3" t="s">
        <v>138</v>
      </c>
      <c r="K765" s="3" t="s">
        <v>3049</v>
      </c>
      <c r="L765" s="3" t="s">
        <v>2684</v>
      </c>
      <c r="M765" s="3" t="s">
        <v>1969</v>
      </c>
      <c r="N765" s="2">
        <v>0</v>
      </c>
      <c r="O765" s="3" t="s">
        <v>96</v>
      </c>
      <c r="P765" s="3" t="s">
        <v>97</v>
      </c>
      <c r="Q765" s="2" t="s">
        <v>6160</v>
      </c>
      <c r="R765" s="3" t="s">
        <v>3050</v>
      </c>
    </row>
    <row r="766" spans="1:18" x14ac:dyDescent="0.25">
      <c r="A766" s="2">
        <v>37891</v>
      </c>
      <c r="B766" s="3" t="s">
        <v>3051</v>
      </c>
      <c r="C766" s="2" t="s">
        <v>4349</v>
      </c>
      <c r="D766" s="2" t="s">
        <v>2684</v>
      </c>
      <c r="E766" s="3" t="s">
        <v>1718</v>
      </c>
      <c r="F766" s="3" t="s">
        <v>2680</v>
      </c>
      <c r="G766" s="2" t="s">
        <v>5208</v>
      </c>
      <c r="H766" s="2" t="s">
        <v>5273</v>
      </c>
      <c r="I766" s="3" t="s">
        <v>3052</v>
      </c>
      <c r="J766" s="3" t="s">
        <v>2975</v>
      </c>
      <c r="K766" s="3" t="s">
        <v>3053</v>
      </c>
      <c r="L766" s="3" t="s">
        <v>2684</v>
      </c>
      <c r="M766" s="3" t="s">
        <v>1985</v>
      </c>
      <c r="N766" s="2">
        <v>0</v>
      </c>
      <c r="O766" s="3" t="s">
        <v>271</v>
      </c>
      <c r="P766" s="3" t="s">
        <v>1986</v>
      </c>
      <c r="Q766" s="2" t="s">
        <v>6161</v>
      </c>
      <c r="R766" s="3" t="s">
        <v>3054</v>
      </c>
    </row>
    <row r="767" spans="1:18" x14ac:dyDescent="0.25">
      <c r="A767" s="2">
        <v>24887</v>
      </c>
      <c r="B767" s="3" t="s">
        <v>3055</v>
      </c>
      <c r="C767" s="2" t="s">
        <v>4350</v>
      </c>
      <c r="D767" s="2" t="s">
        <v>2690</v>
      </c>
      <c r="E767" s="3" t="s">
        <v>1718</v>
      </c>
      <c r="F767" s="3" t="s">
        <v>2680</v>
      </c>
      <c r="G767" s="2" t="s">
        <v>5105</v>
      </c>
      <c r="H767" s="2" t="s">
        <v>5274</v>
      </c>
      <c r="I767" s="3" t="s">
        <v>2730</v>
      </c>
      <c r="J767" s="3" t="s">
        <v>3056</v>
      </c>
      <c r="K767" s="3" t="s">
        <v>3057</v>
      </c>
      <c r="L767" s="3" t="s">
        <v>2690</v>
      </c>
      <c r="M767" s="3" t="s">
        <v>1985</v>
      </c>
      <c r="N767" s="2">
        <v>748</v>
      </c>
      <c r="O767" s="3" t="s">
        <v>244</v>
      </c>
      <c r="P767" s="3" t="s">
        <v>1986</v>
      </c>
      <c r="Q767" s="2" t="s">
        <v>6162</v>
      </c>
      <c r="R767" s="3" t="s">
        <v>3058</v>
      </c>
    </row>
    <row r="768" spans="1:18" x14ac:dyDescent="0.25">
      <c r="A768" s="2">
        <v>41043</v>
      </c>
      <c r="B768" s="3" t="s">
        <v>3059</v>
      </c>
      <c r="C768" s="2" t="s">
        <v>4351</v>
      </c>
      <c r="D768" s="2" t="s">
        <v>2690</v>
      </c>
      <c r="E768" s="3" t="s">
        <v>1718</v>
      </c>
      <c r="F768" s="3" t="s">
        <v>2680</v>
      </c>
      <c r="G768" s="2" t="s">
        <v>5208</v>
      </c>
      <c r="H768" s="2" t="s">
        <v>5275</v>
      </c>
      <c r="I768" s="3" t="s">
        <v>3060</v>
      </c>
      <c r="J768" s="3" t="s">
        <v>138</v>
      </c>
      <c r="K768" s="3" t="s">
        <v>3061</v>
      </c>
      <c r="L768" s="3" t="s">
        <v>2690</v>
      </c>
      <c r="M768" s="3" t="s">
        <v>1969</v>
      </c>
      <c r="N768" s="2">
        <v>748</v>
      </c>
      <c r="O768" s="3" t="s">
        <v>96</v>
      </c>
      <c r="P768" s="3" t="s">
        <v>97</v>
      </c>
      <c r="Q768" s="2" t="s">
        <v>6163</v>
      </c>
      <c r="R768" s="3" t="s">
        <v>3062</v>
      </c>
    </row>
    <row r="769" spans="1:18" x14ac:dyDescent="0.25">
      <c r="A769" s="2">
        <v>16663</v>
      </c>
      <c r="B769" s="3" t="s">
        <v>3063</v>
      </c>
      <c r="C769" s="2" t="s">
        <v>4352</v>
      </c>
      <c r="D769" s="2" t="s">
        <v>2684</v>
      </c>
      <c r="E769" s="3" t="s">
        <v>1718</v>
      </c>
      <c r="F769" s="3" t="s">
        <v>2680</v>
      </c>
      <c r="G769" s="2" t="s">
        <v>4497</v>
      </c>
      <c r="H769" s="2" t="s">
        <v>5276</v>
      </c>
      <c r="I769" s="3" t="s">
        <v>3064</v>
      </c>
      <c r="J769" s="3" t="s">
        <v>138</v>
      </c>
      <c r="K769" s="3" t="s">
        <v>3065</v>
      </c>
      <c r="L769" s="3" t="s">
        <v>2684</v>
      </c>
      <c r="M769" s="3" t="s">
        <v>1969</v>
      </c>
      <c r="N769" s="2">
        <v>0</v>
      </c>
      <c r="O769" s="3" t="s">
        <v>96</v>
      </c>
      <c r="P769" s="3" t="s">
        <v>97</v>
      </c>
      <c r="Q769" s="2" t="s">
        <v>6164</v>
      </c>
      <c r="R769" s="3" t="s">
        <v>3066</v>
      </c>
    </row>
    <row r="770" spans="1:18" x14ac:dyDescent="0.25">
      <c r="A770" s="2">
        <v>40683</v>
      </c>
      <c r="B770" s="3" t="s">
        <v>3067</v>
      </c>
      <c r="C770" s="2" t="s">
        <v>4353</v>
      </c>
      <c r="D770" s="2" t="s">
        <v>2684</v>
      </c>
      <c r="E770" s="3" t="s">
        <v>1718</v>
      </c>
      <c r="F770" s="3" t="s">
        <v>2680</v>
      </c>
      <c r="G770" s="2" t="s">
        <v>5179</v>
      </c>
      <c r="H770" s="2" t="s">
        <v>5277</v>
      </c>
      <c r="I770" s="3" t="s">
        <v>3068</v>
      </c>
      <c r="J770" s="3" t="s">
        <v>3069</v>
      </c>
      <c r="K770" s="3" t="s">
        <v>3070</v>
      </c>
      <c r="L770" s="3" t="s">
        <v>2684</v>
      </c>
      <c r="M770" s="3" t="s">
        <v>1969</v>
      </c>
      <c r="N770" s="2">
        <v>0</v>
      </c>
      <c r="O770" s="3" t="s">
        <v>271</v>
      </c>
      <c r="P770" s="3" t="s">
        <v>97</v>
      </c>
      <c r="Q770" s="2" t="s">
        <v>6165</v>
      </c>
      <c r="R770" s="3" t="s">
        <v>3071</v>
      </c>
    </row>
    <row r="771" spans="1:18" x14ac:dyDescent="0.25">
      <c r="A771" s="2">
        <v>14986</v>
      </c>
      <c r="B771" s="3" t="s">
        <v>3072</v>
      </c>
      <c r="C771" s="2" t="s">
        <v>4354</v>
      </c>
      <c r="D771" s="2" t="s">
        <v>2684</v>
      </c>
      <c r="E771" s="3" t="s">
        <v>1718</v>
      </c>
      <c r="F771" s="3" t="s">
        <v>2680</v>
      </c>
      <c r="G771" s="2" t="s">
        <v>5152</v>
      </c>
      <c r="H771" s="2" t="s">
        <v>5278</v>
      </c>
      <c r="I771" s="3" t="s">
        <v>3073</v>
      </c>
      <c r="J771" s="3" t="s">
        <v>3074</v>
      </c>
      <c r="K771" s="3" t="s">
        <v>3075</v>
      </c>
      <c r="L771" s="3" t="s">
        <v>2684</v>
      </c>
      <c r="M771" s="3" t="s">
        <v>1969</v>
      </c>
      <c r="N771" s="2">
        <v>0</v>
      </c>
      <c r="O771" s="3" t="s">
        <v>271</v>
      </c>
      <c r="P771" s="3" t="s">
        <v>97</v>
      </c>
      <c r="Q771" s="2" t="s">
        <v>6166</v>
      </c>
      <c r="R771" s="3" t="s">
        <v>3076</v>
      </c>
    </row>
    <row r="772" spans="1:18" x14ac:dyDescent="0.25">
      <c r="A772" s="2">
        <v>22988</v>
      </c>
      <c r="B772" s="3" t="s">
        <v>3077</v>
      </c>
      <c r="C772" s="2" t="s">
        <v>4355</v>
      </c>
      <c r="D772" s="2" t="s">
        <v>2684</v>
      </c>
      <c r="E772" s="3" t="s">
        <v>1718</v>
      </c>
      <c r="F772" s="3" t="s">
        <v>2680</v>
      </c>
      <c r="G772" s="2" t="s">
        <v>5179</v>
      </c>
      <c r="H772" s="2" t="s">
        <v>5279</v>
      </c>
      <c r="I772" s="3" t="s">
        <v>2681</v>
      </c>
      <c r="J772" s="3" t="s">
        <v>3078</v>
      </c>
      <c r="K772" s="3" t="s">
        <v>3079</v>
      </c>
      <c r="L772" s="3" t="s">
        <v>2684</v>
      </c>
      <c r="M772" s="3" t="s">
        <v>20</v>
      </c>
      <c r="N772" s="2">
        <v>0</v>
      </c>
      <c r="O772" s="3" t="s">
        <v>271</v>
      </c>
      <c r="P772" s="3" t="s">
        <v>22</v>
      </c>
      <c r="Q772" s="2" t="s">
        <v>6167</v>
      </c>
      <c r="R772" s="3" t="s">
        <v>3080</v>
      </c>
    </row>
    <row r="773" spans="1:18" x14ac:dyDescent="0.25">
      <c r="A773" s="2">
        <v>37120</v>
      </c>
      <c r="B773" s="3" t="s">
        <v>3081</v>
      </c>
      <c r="C773" s="2" t="s">
        <v>4356</v>
      </c>
      <c r="D773" s="2" t="s">
        <v>2684</v>
      </c>
      <c r="E773" s="3" t="s">
        <v>1718</v>
      </c>
      <c r="F773" s="3" t="s">
        <v>2680</v>
      </c>
      <c r="G773" s="2" t="s">
        <v>5179</v>
      </c>
      <c r="H773" s="2" t="s">
        <v>5280</v>
      </c>
      <c r="I773" s="3" t="s">
        <v>2709</v>
      </c>
      <c r="J773" s="3" t="s">
        <v>3082</v>
      </c>
      <c r="K773" s="3" t="s">
        <v>3083</v>
      </c>
      <c r="L773" s="3" t="s">
        <v>2684</v>
      </c>
      <c r="M773" s="3" t="s">
        <v>20</v>
      </c>
      <c r="N773" s="2">
        <v>0</v>
      </c>
      <c r="O773" s="3" t="s">
        <v>21</v>
      </c>
      <c r="P773" s="3" t="s">
        <v>22</v>
      </c>
      <c r="Q773" s="2" t="s">
        <v>6168</v>
      </c>
      <c r="R773" s="3" t="s">
        <v>3084</v>
      </c>
    </row>
    <row r="774" spans="1:18" x14ac:dyDescent="0.25">
      <c r="A774" s="2">
        <v>35147</v>
      </c>
      <c r="B774" s="3" t="s">
        <v>3085</v>
      </c>
      <c r="C774" s="2" t="s">
        <v>4357</v>
      </c>
      <c r="D774" s="2" t="s">
        <v>2690</v>
      </c>
      <c r="E774" s="3" t="s">
        <v>1718</v>
      </c>
      <c r="F774" s="3" t="s">
        <v>2680</v>
      </c>
      <c r="G774" s="2" t="s">
        <v>5105</v>
      </c>
      <c r="H774" s="2" t="s">
        <v>5281</v>
      </c>
      <c r="I774" s="3" t="s">
        <v>2730</v>
      </c>
      <c r="J774" s="3" t="s">
        <v>3086</v>
      </c>
      <c r="K774" s="3" t="s">
        <v>3087</v>
      </c>
      <c r="L774" s="3" t="s">
        <v>2690</v>
      </c>
      <c r="M774" s="3" t="s">
        <v>1985</v>
      </c>
      <c r="N774" s="2">
        <v>748</v>
      </c>
      <c r="O774" s="3" t="s">
        <v>244</v>
      </c>
      <c r="P774" s="3" t="s">
        <v>1986</v>
      </c>
      <c r="Q774" s="2" t="s">
        <v>6169</v>
      </c>
      <c r="R774" s="3" t="s">
        <v>3088</v>
      </c>
    </row>
    <row r="775" spans="1:18" x14ac:dyDescent="0.25">
      <c r="A775" s="2">
        <v>31236</v>
      </c>
      <c r="B775" s="3" t="s">
        <v>3089</v>
      </c>
      <c r="C775" s="2" t="s">
        <v>4358</v>
      </c>
      <c r="D775" s="2" t="s">
        <v>2684</v>
      </c>
      <c r="E775" s="3" t="s">
        <v>1718</v>
      </c>
      <c r="F775" s="3" t="s">
        <v>2680</v>
      </c>
      <c r="G775" s="2" t="s">
        <v>5217</v>
      </c>
      <c r="H775" s="2" t="s">
        <v>5282</v>
      </c>
      <c r="I775" s="3" t="s">
        <v>3090</v>
      </c>
      <c r="J775" s="3" t="s">
        <v>138</v>
      </c>
      <c r="K775" s="3" t="s">
        <v>3091</v>
      </c>
      <c r="L775" s="3" t="s">
        <v>2684</v>
      </c>
      <c r="M775" s="3" t="s">
        <v>1969</v>
      </c>
      <c r="N775" s="2">
        <v>0</v>
      </c>
      <c r="O775" s="3" t="s">
        <v>271</v>
      </c>
      <c r="P775" s="3" t="s">
        <v>97</v>
      </c>
      <c r="Q775" s="2" t="s">
        <v>6170</v>
      </c>
      <c r="R775" s="3" t="s">
        <v>3092</v>
      </c>
    </row>
    <row r="776" spans="1:18" x14ac:dyDescent="0.25">
      <c r="A776" s="2">
        <v>35146</v>
      </c>
      <c r="B776" s="3" t="s">
        <v>3093</v>
      </c>
      <c r="C776" s="2" t="s">
        <v>4359</v>
      </c>
      <c r="D776" s="2" t="s">
        <v>2690</v>
      </c>
      <c r="E776" s="3" t="s">
        <v>1718</v>
      </c>
      <c r="F776" s="3" t="s">
        <v>2680</v>
      </c>
      <c r="G776" s="2" t="s">
        <v>5105</v>
      </c>
      <c r="H776" s="2" t="s">
        <v>5283</v>
      </c>
      <c r="I776" s="3" t="s">
        <v>2730</v>
      </c>
      <c r="J776" s="3" t="s">
        <v>3094</v>
      </c>
      <c r="K776" s="3" t="s">
        <v>3095</v>
      </c>
      <c r="L776" s="3" t="s">
        <v>2690</v>
      </c>
      <c r="M776" s="3" t="s">
        <v>1985</v>
      </c>
      <c r="N776" s="2">
        <v>748</v>
      </c>
      <c r="O776" s="3" t="s">
        <v>244</v>
      </c>
      <c r="P776" s="3" t="s">
        <v>1986</v>
      </c>
      <c r="Q776" s="2" t="s">
        <v>6171</v>
      </c>
      <c r="R776" s="3" t="s">
        <v>3096</v>
      </c>
    </row>
    <row r="777" spans="1:18" x14ac:dyDescent="0.25">
      <c r="A777" s="2">
        <v>39857</v>
      </c>
      <c r="B777" s="3" t="s">
        <v>3097</v>
      </c>
      <c r="C777" s="2" t="s">
        <v>4360</v>
      </c>
      <c r="D777" s="2" t="s">
        <v>2684</v>
      </c>
      <c r="E777" s="3" t="s">
        <v>1718</v>
      </c>
      <c r="F777" s="3" t="s">
        <v>2680</v>
      </c>
      <c r="G777" s="2" t="s">
        <v>5186</v>
      </c>
      <c r="H777" s="2" t="s">
        <v>5284</v>
      </c>
      <c r="I777" s="3" t="s">
        <v>2709</v>
      </c>
      <c r="J777" s="3" t="s">
        <v>3098</v>
      </c>
      <c r="K777" s="3" t="s">
        <v>3099</v>
      </c>
      <c r="L777" s="3" t="s">
        <v>2684</v>
      </c>
      <c r="M777" s="3" t="s">
        <v>20</v>
      </c>
      <c r="N777" s="2">
        <v>0</v>
      </c>
      <c r="O777" s="3" t="s">
        <v>21</v>
      </c>
      <c r="P777" s="3" t="s">
        <v>22</v>
      </c>
      <c r="Q777" s="2" t="s">
        <v>6172</v>
      </c>
      <c r="R777" s="3" t="s">
        <v>3100</v>
      </c>
    </row>
    <row r="778" spans="1:18" x14ac:dyDescent="0.25">
      <c r="A778" s="2">
        <v>21066</v>
      </c>
      <c r="B778" s="3" t="s">
        <v>3101</v>
      </c>
      <c r="C778" s="2" t="s">
        <v>4361</v>
      </c>
      <c r="D778" s="2" t="s">
        <v>2690</v>
      </c>
      <c r="E778" s="3" t="s">
        <v>1718</v>
      </c>
      <c r="F778" s="3" t="s">
        <v>2680</v>
      </c>
      <c r="G778" s="2" t="s">
        <v>5208</v>
      </c>
      <c r="H778" s="2" t="s">
        <v>5285</v>
      </c>
      <c r="I778" s="3" t="s">
        <v>3060</v>
      </c>
      <c r="J778" s="3" t="s">
        <v>3102</v>
      </c>
      <c r="K778" s="3" t="s">
        <v>3103</v>
      </c>
      <c r="L778" s="3" t="s">
        <v>2690</v>
      </c>
      <c r="M778" s="3" t="s">
        <v>1969</v>
      </c>
      <c r="N778" s="2">
        <v>748</v>
      </c>
      <c r="O778" s="3" t="s">
        <v>96</v>
      </c>
      <c r="P778" s="3" t="s">
        <v>97</v>
      </c>
      <c r="Q778" s="2" t="s">
        <v>6173</v>
      </c>
      <c r="R778" s="3" t="s">
        <v>3104</v>
      </c>
    </row>
    <row r="779" spans="1:18" x14ac:dyDescent="0.25">
      <c r="A779" s="2">
        <v>39015</v>
      </c>
      <c r="B779" s="3" t="s">
        <v>3105</v>
      </c>
      <c r="C779" s="2" t="s">
        <v>4362</v>
      </c>
      <c r="D779" s="2" t="s">
        <v>2690</v>
      </c>
      <c r="E779" s="3" t="s">
        <v>1718</v>
      </c>
      <c r="F779" s="3" t="s">
        <v>2680</v>
      </c>
      <c r="G779" s="2" t="s">
        <v>5208</v>
      </c>
      <c r="H779" s="2" t="s">
        <v>5286</v>
      </c>
      <c r="I779" s="3" t="s">
        <v>3106</v>
      </c>
      <c r="J779" s="3" t="s">
        <v>3107</v>
      </c>
      <c r="K779" s="3" t="s">
        <v>3108</v>
      </c>
      <c r="L779" s="3" t="s">
        <v>2690</v>
      </c>
      <c r="M779" s="3" t="s">
        <v>1985</v>
      </c>
      <c r="N779" s="2">
        <v>748</v>
      </c>
      <c r="O779" s="3" t="s">
        <v>244</v>
      </c>
      <c r="P779" s="3" t="s">
        <v>1986</v>
      </c>
      <c r="Q779" s="2" t="s">
        <v>6174</v>
      </c>
      <c r="R779" s="3" t="s">
        <v>3109</v>
      </c>
    </row>
    <row r="780" spans="1:18" x14ac:dyDescent="0.25">
      <c r="A780" s="2">
        <v>39341</v>
      </c>
      <c r="B780" s="3" t="s">
        <v>3110</v>
      </c>
      <c r="C780" s="2" t="s">
        <v>4363</v>
      </c>
      <c r="D780" s="2" t="s">
        <v>2684</v>
      </c>
      <c r="E780" s="3" t="s">
        <v>1718</v>
      </c>
      <c r="F780" s="3" t="s">
        <v>2680</v>
      </c>
      <c r="G780" s="2" t="s">
        <v>5179</v>
      </c>
      <c r="H780" s="2" t="s">
        <v>5287</v>
      </c>
      <c r="I780" s="3" t="s">
        <v>2709</v>
      </c>
      <c r="J780" s="3" t="s">
        <v>3111</v>
      </c>
      <c r="K780" s="3" t="s">
        <v>3112</v>
      </c>
      <c r="L780" s="3" t="s">
        <v>2684</v>
      </c>
      <c r="M780" s="3" t="s">
        <v>20</v>
      </c>
      <c r="N780" s="2">
        <v>0</v>
      </c>
      <c r="O780" s="3" t="s">
        <v>21</v>
      </c>
      <c r="P780" s="3" t="s">
        <v>22</v>
      </c>
      <c r="Q780" s="2" t="s">
        <v>6175</v>
      </c>
      <c r="R780" s="3" t="s">
        <v>3113</v>
      </c>
    </row>
    <row r="781" spans="1:18" x14ac:dyDescent="0.25">
      <c r="A781" s="2">
        <v>34738</v>
      </c>
      <c r="B781" s="3" t="s">
        <v>3114</v>
      </c>
      <c r="C781" s="2" t="s">
        <v>4364</v>
      </c>
      <c r="D781" s="2" t="s">
        <v>2690</v>
      </c>
      <c r="E781" s="3" t="s">
        <v>1718</v>
      </c>
      <c r="F781" s="3" t="s">
        <v>2680</v>
      </c>
      <c r="G781" s="2" t="s">
        <v>5067</v>
      </c>
      <c r="H781" s="2" t="s">
        <v>5288</v>
      </c>
      <c r="I781" s="3" t="s">
        <v>2730</v>
      </c>
      <c r="J781" s="3" t="s">
        <v>2250</v>
      </c>
      <c r="K781" s="3" t="s">
        <v>3115</v>
      </c>
      <c r="L781" s="3" t="s">
        <v>2690</v>
      </c>
      <c r="M781" s="3" t="s">
        <v>1985</v>
      </c>
      <c r="N781" s="2">
        <v>748</v>
      </c>
      <c r="O781" s="3" t="s">
        <v>244</v>
      </c>
      <c r="P781" s="3" t="s">
        <v>1986</v>
      </c>
      <c r="Q781" s="2" t="s">
        <v>6176</v>
      </c>
      <c r="R781" s="3" t="s">
        <v>3116</v>
      </c>
    </row>
    <row r="782" spans="1:18" x14ac:dyDescent="0.25">
      <c r="A782" s="2">
        <v>40106</v>
      </c>
      <c r="B782" s="3" t="s">
        <v>3117</v>
      </c>
      <c r="C782" s="2" t="s">
        <v>4365</v>
      </c>
      <c r="D782" s="2" t="s">
        <v>3123</v>
      </c>
      <c r="E782" s="3" t="s">
        <v>3118</v>
      </c>
      <c r="F782" s="3" t="s">
        <v>3119</v>
      </c>
      <c r="G782" s="2" t="s">
        <v>5289</v>
      </c>
      <c r="H782" s="2" t="s">
        <v>5290</v>
      </c>
      <c r="I782" s="3" t="s">
        <v>3120</v>
      </c>
      <c r="J782" s="3" t="s">
        <v>3121</v>
      </c>
      <c r="K782" s="3" t="s">
        <v>3122</v>
      </c>
      <c r="L782" s="3" t="s">
        <v>3123</v>
      </c>
      <c r="M782" s="3" t="s">
        <v>20</v>
      </c>
      <c r="N782" s="2">
        <v>1083</v>
      </c>
      <c r="O782" s="3" t="s">
        <v>21</v>
      </c>
      <c r="P782" s="3" t="s">
        <v>22</v>
      </c>
      <c r="Q782" s="2" t="s">
        <v>6177</v>
      </c>
      <c r="R782" s="3" t="s">
        <v>3124</v>
      </c>
    </row>
    <row r="783" spans="1:18" x14ac:dyDescent="0.25">
      <c r="A783" s="2">
        <v>35785</v>
      </c>
      <c r="B783" s="3" t="s">
        <v>3125</v>
      </c>
      <c r="C783" s="2" t="s">
        <v>4366</v>
      </c>
      <c r="D783" s="2" t="s">
        <v>3123</v>
      </c>
      <c r="E783" s="3" t="s">
        <v>3118</v>
      </c>
      <c r="F783" s="3" t="s">
        <v>3119</v>
      </c>
      <c r="G783" s="2" t="s">
        <v>5289</v>
      </c>
      <c r="H783" s="2" t="s">
        <v>5291</v>
      </c>
      <c r="I783" s="3" t="s">
        <v>3126</v>
      </c>
      <c r="J783" s="3" t="s">
        <v>3127</v>
      </c>
      <c r="K783" s="3" t="s">
        <v>3128</v>
      </c>
      <c r="L783" s="3" t="s">
        <v>3123</v>
      </c>
      <c r="M783" s="3" t="s">
        <v>20</v>
      </c>
      <c r="N783" s="2">
        <v>1083</v>
      </c>
      <c r="O783" s="3" t="s">
        <v>21</v>
      </c>
      <c r="P783" s="3" t="s">
        <v>22</v>
      </c>
      <c r="Q783" s="2" t="s">
        <v>6178</v>
      </c>
      <c r="R783" s="3" t="s">
        <v>3129</v>
      </c>
    </row>
    <row r="784" spans="1:18" x14ac:dyDescent="0.25">
      <c r="A784" s="2">
        <v>36920</v>
      </c>
      <c r="B784" s="3" t="s">
        <v>3130</v>
      </c>
      <c r="C784" s="2" t="s">
        <v>4367</v>
      </c>
      <c r="D784" s="2" t="s">
        <v>3123</v>
      </c>
      <c r="E784" s="3" t="s">
        <v>3118</v>
      </c>
      <c r="F784" s="3" t="s">
        <v>3119</v>
      </c>
      <c r="G784" s="2" t="s">
        <v>5292</v>
      </c>
      <c r="H784" s="2" t="s">
        <v>5293</v>
      </c>
      <c r="I784" s="3" t="s">
        <v>3131</v>
      </c>
      <c r="J784" s="3" t="s">
        <v>3132</v>
      </c>
      <c r="K784" s="3" t="s">
        <v>3133</v>
      </c>
      <c r="L784" s="3" t="s">
        <v>3123</v>
      </c>
      <c r="M784" s="3" t="s">
        <v>95</v>
      </c>
      <c r="N784" s="2">
        <v>1083</v>
      </c>
      <c r="O784" s="3" t="s">
        <v>244</v>
      </c>
      <c r="P784" s="3" t="s">
        <v>97</v>
      </c>
      <c r="Q784" s="2" t="s">
        <v>6179</v>
      </c>
      <c r="R784" s="3" t="s">
        <v>3134</v>
      </c>
    </row>
    <row r="785" spans="1:18" x14ac:dyDescent="0.25">
      <c r="A785" s="2">
        <v>39815</v>
      </c>
      <c r="B785" s="3" t="s">
        <v>3135</v>
      </c>
      <c r="C785" s="2" t="s">
        <v>4368</v>
      </c>
      <c r="D785" s="2" t="s">
        <v>3123</v>
      </c>
      <c r="E785" s="3" t="s">
        <v>3118</v>
      </c>
      <c r="F785" s="3" t="s">
        <v>3119</v>
      </c>
      <c r="G785" s="2" t="s">
        <v>5289</v>
      </c>
      <c r="H785" s="2" t="s">
        <v>5294</v>
      </c>
      <c r="I785" s="3" t="s">
        <v>3136</v>
      </c>
      <c r="J785" s="3" t="s">
        <v>138</v>
      </c>
      <c r="K785" s="3" t="s">
        <v>3137</v>
      </c>
      <c r="L785" s="3" t="s">
        <v>3123</v>
      </c>
      <c r="M785" s="3" t="s">
        <v>95</v>
      </c>
      <c r="N785" s="2">
        <v>1083</v>
      </c>
      <c r="O785" s="3" t="s">
        <v>244</v>
      </c>
      <c r="P785" s="3" t="s">
        <v>97</v>
      </c>
      <c r="Q785" s="2" t="s">
        <v>6180</v>
      </c>
      <c r="R785" s="3" t="s">
        <v>3138</v>
      </c>
    </row>
    <row r="786" spans="1:18" x14ac:dyDescent="0.25">
      <c r="A786" s="2">
        <v>13475</v>
      </c>
      <c r="B786" s="3" t="s">
        <v>3139</v>
      </c>
      <c r="C786" s="2" t="s">
        <v>4369</v>
      </c>
      <c r="D786" s="2" t="s">
        <v>3123</v>
      </c>
      <c r="E786" s="3" t="s">
        <v>3118</v>
      </c>
      <c r="F786" s="3" t="s">
        <v>3119</v>
      </c>
      <c r="G786" s="2" t="s">
        <v>5289</v>
      </c>
      <c r="H786" s="2" t="s">
        <v>5295</v>
      </c>
      <c r="I786" s="3" t="s">
        <v>3120</v>
      </c>
      <c r="J786" s="3" t="s">
        <v>3140</v>
      </c>
      <c r="K786" s="3" t="s">
        <v>3141</v>
      </c>
      <c r="L786" s="3" t="s">
        <v>3123</v>
      </c>
      <c r="M786" s="3" t="s">
        <v>20</v>
      </c>
      <c r="N786" s="2">
        <v>1083</v>
      </c>
      <c r="O786" s="3" t="s">
        <v>21</v>
      </c>
      <c r="P786" s="3" t="s">
        <v>22</v>
      </c>
      <c r="Q786" s="2" t="s">
        <v>6181</v>
      </c>
      <c r="R786" s="3" t="s">
        <v>3142</v>
      </c>
    </row>
    <row r="787" spans="1:18" x14ac:dyDescent="0.25">
      <c r="A787" s="2">
        <v>12229</v>
      </c>
      <c r="B787" s="3" t="s">
        <v>3143</v>
      </c>
      <c r="C787" s="2" t="s">
        <v>4370</v>
      </c>
      <c r="D787" s="2" t="s">
        <v>3123</v>
      </c>
      <c r="E787" s="3" t="s">
        <v>3118</v>
      </c>
      <c r="F787" s="3" t="s">
        <v>3119</v>
      </c>
      <c r="G787" s="2" t="s">
        <v>5289</v>
      </c>
      <c r="H787" s="2" t="s">
        <v>5296</v>
      </c>
      <c r="I787" s="3" t="s">
        <v>3144</v>
      </c>
      <c r="J787" s="3" t="s">
        <v>3145</v>
      </c>
      <c r="K787" s="3" t="s">
        <v>3146</v>
      </c>
      <c r="L787" s="3" t="s">
        <v>3123</v>
      </c>
      <c r="M787" s="3" t="s">
        <v>95</v>
      </c>
      <c r="N787" s="2">
        <v>1083</v>
      </c>
      <c r="O787" s="3" t="s">
        <v>244</v>
      </c>
      <c r="P787" s="3" t="s">
        <v>97</v>
      </c>
      <c r="Q787" s="2" t="s">
        <v>6182</v>
      </c>
      <c r="R787" s="3" t="s">
        <v>3147</v>
      </c>
    </row>
    <row r="788" spans="1:18" x14ac:dyDescent="0.25">
      <c r="A788" s="2">
        <v>40039</v>
      </c>
      <c r="B788" s="3" t="s">
        <v>3148</v>
      </c>
      <c r="C788" s="2" t="s">
        <v>4371</v>
      </c>
      <c r="D788" s="2" t="s">
        <v>3123</v>
      </c>
      <c r="E788" s="3" t="s">
        <v>3118</v>
      </c>
      <c r="F788" s="3" t="s">
        <v>3119</v>
      </c>
      <c r="G788" s="2" t="s">
        <v>5292</v>
      </c>
      <c r="H788" s="2" t="s">
        <v>5297</v>
      </c>
      <c r="I788" s="3" t="s">
        <v>3149</v>
      </c>
      <c r="J788" s="3" t="s">
        <v>3150</v>
      </c>
      <c r="K788" s="3" t="s">
        <v>3151</v>
      </c>
      <c r="L788" s="3" t="s">
        <v>3123</v>
      </c>
      <c r="M788" s="3" t="s">
        <v>95</v>
      </c>
      <c r="N788" s="2">
        <v>1083</v>
      </c>
      <c r="O788" s="3" t="s">
        <v>244</v>
      </c>
      <c r="P788" s="3" t="s">
        <v>97</v>
      </c>
      <c r="Q788" s="2" t="s">
        <v>6183</v>
      </c>
      <c r="R788" s="3" t="s">
        <v>3152</v>
      </c>
    </row>
    <row r="789" spans="1:18" x14ac:dyDescent="0.25">
      <c r="A789" s="2">
        <v>36272</v>
      </c>
      <c r="B789" s="3" t="s">
        <v>3153</v>
      </c>
      <c r="C789" s="2" t="s">
        <v>4372</v>
      </c>
      <c r="D789" s="2" t="s">
        <v>3123</v>
      </c>
      <c r="E789" s="3" t="s">
        <v>3118</v>
      </c>
      <c r="F789" s="3" t="s">
        <v>3119</v>
      </c>
      <c r="G789" s="2" t="s">
        <v>5292</v>
      </c>
      <c r="H789" s="2" t="s">
        <v>5298</v>
      </c>
      <c r="I789" s="3" t="s">
        <v>3154</v>
      </c>
      <c r="J789" s="3" t="s">
        <v>138</v>
      </c>
      <c r="K789" s="3" t="s">
        <v>3155</v>
      </c>
      <c r="L789" s="3" t="s">
        <v>3123</v>
      </c>
      <c r="M789" s="3" t="s">
        <v>1985</v>
      </c>
      <c r="N789" s="2">
        <v>1083</v>
      </c>
      <c r="O789" s="3" t="s">
        <v>21</v>
      </c>
      <c r="P789" s="3" t="s">
        <v>1986</v>
      </c>
      <c r="Q789" s="2" t="s">
        <v>6184</v>
      </c>
      <c r="R789" s="3" t="s">
        <v>3156</v>
      </c>
    </row>
    <row r="790" spans="1:18" x14ac:dyDescent="0.25">
      <c r="A790" s="2">
        <v>11453</v>
      </c>
      <c r="B790" s="3" t="s">
        <v>3157</v>
      </c>
      <c r="C790" s="2" t="s">
        <v>4373</v>
      </c>
      <c r="D790" s="2" t="s">
        <v>3123</v>
      </c>
      <c r="E790" s="3" t="s">
        <v>3118</v>
      </c>
      <c r="F790" s="3" t="s">
        <v>3119</v>
      </c>
      <c r="G790" s="2" t="s">
        <v>5289</v>
      </c>
      <c r="H790" s="2" t="s">
        <v>5299</v>
      </c>
      <c r="I790" s="3" t="s">
        <v>3158</v>
      </c>
      <c r="J790" s="3" t="s">
        <v>3159</v>
      </c>
      <c r="K790" s="3" t="s">
        <v>3160</v>
      </c>
      <c r="L790" s="3" t="s">
        <v>3123</v>
      </c>
      <c r="M790" s="3" t="s">
        <v>95</v>
      </c>
      <c r="N790" s="2">
        <v>1083</v>
      </c>
      <c r="O790" s="3" t="s">
        <v>244</v>
      </c>
      <c r="P790" s="3" t="s">
        <v>97</v>
      </c>
      <c r="Q790" s="2" t="s">
        <v>6185</v>
      </c>
      <c r="R790" s="3" t="s">
        <v>3161</v>
      </c>
    </row>
    <row r="791" spans="1:18" x14ac:dyDescent="0.25">
      <c r="A791" s="2">
        <v>33105</v>
      </c>
      <c r="B791" s="3" t="s">
        <v>3162</v>
      </c>
      <c r="C791" s="2" t="s">
        <v>4374</v>
      </c>
      <c r="D791" s="2" t="s">
        <v>3123</v>
      </c>
      <c r="E791" s="3" t="s">
        <v>3118</v>
      </c>
      <c r="F791" s="3" t="s">
        <v>3119</v>
      </c>
      <c r="G791" s="2" t="s">
        <v>5289</v>
      </c>
      <c r="H791" s="2" t="s">
        <v>5300</v>
      </c>
      <c r="I791" s="3" t="s">
        <v>3163</v>
      </c>
      <c r="J791" s="3" t="s">
        <v>138</v>
      </c>
      <c r="K791" s="3" t="s">
        <v>3164</v>
      </c>
      <c r="L791" s="3" t="s">
        <v>3123</v>
      </c>
      <c r="M791" s="3" t="s">
        <v>95</v>
      </c>
      <c r="N791" s="2">
        <v>1083</v>
      </c>
      <c r="O791" s="3" t="s">
        <v>244</v>
      </c>
      <c r="P791" s="3" t="s">
        <v>97</v>
      </c>
      <c r="Q791" s="2" t="s">
        <v>6186</v>
      </c>
      <c r="R791" s="3" t="s">
        <v>3165</v>
      </c>
    </row>
    <row r="792" spans="1:18" x14ac:dyDescent="0.25">
      <c r="A792" s="2">
        <v>40901</v>
      </c>
      <c r="B792" s="3" t="s">
        <v>3166</v>
      </c>
      <c r="C792" s="2" t="s">
        <v>4375</v>
      </c>
      <c r="D792" s="2" t="s">
        <v>3123</v>
      </c>
      <c r="E792" s="3" t="s">
        <v>3118</v>
      </c>
      <c r="F792" s="3" t="s">
        <v>3119</v>
      </c>
      <c r="G792" s="2" t="s">
        <v>5289</v>
      </c>
      <c r="H792" s="2" t="s">
        <v>5301</v>
      </c>
      <c r="I792" s="3" t="s">
        <v>3167</v>
      </c>
      <c r="J792" s="3" t="s">
        <v>3168</v>
      </c>
      <c r="K792" s="3" t="s">
        <v>3169</v>
      </c>
      <c r="L792" s="3" t="s">
        <v>3123</v>
      </c>
      <c r="M792" s="3" t="s">
        <v>95</v>
      </c>
      <c r="N792" s="2">
        <v>1083</v>
      </c>
      <c r="O792" s="3" t="s">
        <v>244</v>
      </c>
      <c r="P792" s="3" t="s">
        <v>97</v>
      </c>
      <c r="Q792" s="2" t="s">
        <v>6187</v>
      </c>
      <c r="R792" s="3" t="s">
        <v>3170</v>
      </c>
    </row>
    <row r="793" spans="1:18" x14ac:dyDescent="0.25">
      <c r="A793" s="2">
        <v>35010</v>
      </c>
      <c r="B793" s="3" t="s">
        <v>3171</v>
      </c>
      <c r="C793" s="2" t="s">
        <v>4376</v>
      </c>
      <c r="D793" s="2" t="s">
        <v>3123</v>
      </c>
      <c r="E793" s="3" t="s">
        <v>3118</v>
      </c>
      <c r="F793" s="3" t="s">
        <v>3119</v>
      </c>
      <c r="G793" s="2" t="s">
        <v>5292</v>
      </c>
      <c r="H793" s="2" t="s">
        <v>5302</v>
      </c>
      <c r="I793" s="3" t="s">
        <v>3172</v>
      </c>
      <c r="J793" s="3" t="s">
        <v>3173</v>
      </c>
      <c r="K793" s="3" t="s">
        <v>3174</v>
      </c>
      <c r="L793" s="3" t="s">
        <v>3123</v>
      </c>
      <c r="M793" s="3" t="s">
        <v>95</v>
      </c>
      <c r="N793" s="2">
        <v>1083</v>
      </c>
      <c r="O793" s="3" t="s">
        <v>244</v>
      </c>
      <c r="P793" s="3" t="s">
        <v>97</v>
      </c>
      <c r="Q793" s="2" t="s">
        <v>6188</v>
      </c>
      <c r="R793" s="3" t="s">
        <v>3175</v>
      </c>
    </row>
    <row r="794" spans="1:18" x14ac:dyDescent="0.25">
      <c r="A794" s="2">
        <v>36066</v>
      </c>
      <c r="B794" s="3" t="s">
        <v>3176</v>
      </c>
      <c r="C794" s="2" t="s">
        <v>4377</v>
      </c>
      <c r="D794" s="2" t="s">
        <v>3123</v>
      </c>
      <c r="E794" s="3" t="s">
        <v>3118</v>
      </c>
      <c r="F794" s="3" t="s">
        <v>3119</v>
      </c>
      <c r="G794" s="2" t="s">
        <v>5292</v>
      </c>
      <c r="H794" s="2" t="s">
        <v>5303</v>
      </c>
      <c r="I794" s="3" t="s">
        <v>3177</v>
      </c>
      <c r="J794" s="3" t="s">
        <v>138</v>
      </c>
      <c r="K794" s="3" t="s">
        <v>3178</v>
      </c>
      <c r="L794" s="3" t="s">
        <v>3123</v>
      </c>
      <c r="M794" s="3" t="s">
        <v>95</v>
      </c>
      <c r="N794" s="2">
        <v>1083</v>
      </c>
      <c r="O794" s="3" t="s">
        <v>244</v>
      </c>
      <c r="P794" s="3" t="s">
        <v>97</v>
      </c>
      <c r="Q794" s="2" t="s">
        <v>6189</v>
      </c>
      <c r="R794" s="3" t="s">
        <v>3179</v>
      </c>
    </row>
    <row r="795" spans="1:18" x14ac:dyDescent="0.25">
      <c r="A795" s="2">
        <v>37960</v>
      </c>
      <c r="B795" s="3" t="s">
        <v>3180</v>
      </c>
      <c r="C795" s="2" t="s">
        <v>4378</v>
      </c>
      <c r="D795" s="2" t="s">
        <v>3123</v>
      </c>
      <c r="E795" s="3" t="s">
        <v>3118</v>
      </c>
      <c r="F795" s="3" t="s">
        <v>3119</v>
      </c>
      <c r="G795" s="2" t="s">
        <v>5289</v>
      </c>
      <c r="H795" s="2" t="s">
        <v>5304</v>
      </c>
      <c r="I795" s="3" t="s">
        <v>3120</v>
      </c>
      <c r="J795" s="3" t="s">
        <v>3181</v>
      </c>
      <c r="K795" s="3" t="s">
        <v>3182</v>
      </c>
      <c r="L795" s="3" t="s">
        <v>3123</v>
      </c>
      <c r="M795" s="3" t="s">
        <v>20</v>
      </c>
      <c r="N795" s="2">
        <v>1083</v>
      </c>
      <c r="O795" s="3" t="s">
        <v>21</v>
      </c>
      <c r="P795" s="3" t="s">
        <v>22</v>
      </c>
      <c r="Q795" s="2" t="s">
        <v>6190</v>
      </c>
      <c r="R795" s="3" t="s">
        <v>3183</v>
      </c>
    </row>
    <row r="796" spans="1:18" x14ac:dyDescent="0.25">
      <c r="A796" s="2">
        <v>21084</v>
      </c>
      <c r="B796" s="3" t="s">
        <v>3184</v>
      </c>
      <c r="C796" s="2" t="s">
        <v>4379</v>
      </c>
      <c r="D796" s="2" t="s">
        <v>3123</v>
      </c>
      <c r="E796" s="3" t="s">
        <v>3118</v>
      </c>
      <c r="F796" s="3" t="s">
        <v>3119</v>
      </c>
      <c r="G796" s="2" t="s">
        <v>5292</v>
      </c>
      <c r="H796" s="2" t="s">
        <v>5305</v>
      </c>
      <c r="I796" s="3" t="s">
        <v>3185</v>
      </c>
      <c r="J796" s="3" t="s">
        <v>3186</v>
      </c>
      <c r="K796" s="3" t="s">
        <v>3187</v>
      </c>
      <c r="L796" s="3" t="s">
        <v>3123</v>
      </c>
      <c r="M796" s="3" t="s">
        <v>95</v>
      </c>
      <c r="N796" s="2">
        <v>1083</v>
      </c>
      <c r="O796" s="3" t="s">
        <v>244</v>
      </c>
      <c r="P796" s="3" t="s">
        <v>97</v>
      </c>
      <c r="Q796" s="2" t="s">
        <v>6191</v>
      </c>
      <c r="R796" s="3" t="s">
        <v>3188</v>
      </c>
    </row>
    <row r="797" spans="1:18" x14ac:dyDescent="0.25">
      <c r="A797" s="2">
        <v>11300</v>
      </c>
      <c r="B797" s="3" t="s">
        <v>3189</v>
      </c>
      <c r="C797" s="2" t="s">
        <v>4380</v>
      </c>
      <c r="D797" s="2" t="s">
        <v>3123</v>
      </c>
      <c r="E797" s="3" t="s">
        <v>3118</v>
      </c>
      <c r="F797" s="3" t="s">
        <v>3119</v>
      </c>
      <c r="G797" s="2" t="s">
        <v>5289</v>
      </c>
      <c r="H797" s="2" t="s">
        <v>5306</v>
      </c>
      <c r="I797" s="3" t="s">
        <v>3120</v>
      </c>
      <c r="J797" s="3" t="s">
        <v>3190</v>
      </c>
      <c r="K797" s="3" t="s">
        <v>3191</v>
      </c>
      <c r="L797" s="3" t="s">
        <v>3123</v>
      </c>
      <c r="M797" s="3" t="s">
        <v>20</v>
      </c>
      <c r="N797" s="2">
        <v>1083</v>
      </c>
      <c r="O797" s="3" t="s">
        <v>21</v>
      </c>
      <c r="P797" s="3" t="s">
        <v>22</v>
      </c>
      <c r="Q797" s="2" t="s">
        <v>6192</v>
      </c>
      <c r="R797" s="3" t="s">
        <v>3192</v>
      </c>
    </row>
    <row r="798" spans="1:18" x14ac:dyDescent="0.25">
      <c r="A798" s="2">
        <v>18591</v>
      </c>
      <c r="B798" s="3" t="s">
        <v>3193</v>
      </c>
      <c r="C798" s="2" t="s">
        <v>4381</v>
      </c>
      <c r="D798" s="2" t="s">
        <v>3123</v>
      </c>
      <c r="E798" s="3" t="s">
        <v>3118</v>
      </c>
      <c r="F798" s="3" t="s">
        <v>3119</v>
      </c>
      <c r="G798" s="2" t="s">
        <v>5289</v>
      </c>
      <c r="H798" s="2" t="s">
        <v>5307</v>
      </c>
      <c r="I798" s="3" t="s">
        <v>3136</v>
      </c>
      <c r="J798" s="3" t="s">
        <v>138</v>
      </c>
      <c r="K798" s="3" t="s">
        <v>3137</v>
      </c>
      <c r="L798" s="3" t="s">
        <v>3123</v>
      </c>
      <c r="M798" s="3" t="s">
        <v>95</v>
      </c>
      <c r="N798" s="2">
        <v>1083</v>
      </c>
      <c r="O798" s="3" t="s">
        <v>244</v>
      </c>
      <c r="P798" s="3" t="s">
        <v>97</v>
      </c>
      <c r="Q798" s="2" t="s">
        <v>6193</v>
      </c>
      <c r="R798" s="3" t="s">
        <v>3194</v>
      </c>
    </row>
    <row r="799" spans="1:18" x14ac:dyDescent="0.25">
      <c r="A799" s="2">
        <v>21581</v>
      </c>
      <c r="B799" s="3" t="s">
        <v>3195</v>
      </c>
      <c r="C799" s="2" t="s">
        <v>4382</v>
      </c>
      <c r="D799" s="2" t="s">
        <v>3123</v>
      </c>
      <c r="E799" s="3" t="s">
        <v>3118</v>
      </c>
      <c r="F799" s="3" t="s">
        <v>3119</v>
      </c>
      <c r="G799" s="2" t="s">
        <v>5289</v>
      </c>
      <c r="H799" s="2" t="s">
        <v>5308</v>
      </c>
      <c r="I799" s="3" t="s">
        <v>3196</v>
      </c>
      <c r="J799" s="3" t="s">
        <v>3197</v>
      </c>
      <c r="K799" s="3" t="s">
        <v>3198</v>
      </c>
      <c r="L799" s="3" t="s">
        <v>3123</v>
      </c>
      <c r="M799" s="3" t="s">
        <v>95</v>
      </c>
      <c r="N799" s="2">
        <v>1083</v>
      </c>
      <c r="O799" s="3" t="s">
        <v>244</v>
      </c>
      <c r="P799" s="3" t="s">
        <v>97</v>
      </c>
      <c r="Q799" s="2" t="s">
        <v>6194</v>
      </c>
      <c r="R799" s="3" t="s">
        <v>3199</v>
      </c>
    </row>
    <row r="800" spans="1:18" x14ac:dyDescent="0.25">
      <c r="A800" s="2">
        <v>17174</v>
      </c>
      <c r="B800" s="3" t="s">
        <v>3200</v>
      </c>
      <c r="C800" s="2" t="s">
        <v>4383</v>
      </c>
      <c r="D800" s="2" t="s">
        <v>3123</v>
      </c>
      <c r="E800" s="3" t="s">
        <v>3118</v>
      </c>
      <c r="F800" s="3" t="s">
        <v>3119</v>
      </c>
      <c r="G800" s="2" t="s">
        <v>5289</v>
      </c>
      <c r="H800" s="2" t="s">
        <v>5309</v>
      </c>
      <c r="I800" s="3" t="s">
        <v>3144</v>
      </c>
      <c r="J800" s="3" t="s">
        <v>138</v>
      </c>
      <c r="K800" s="3" t="s">
        <v>3201</v>
      </c>
      <c r="L800" s="3" t="s">
        <v>3123</v>
      </c>
      <c r="M800" s="3" t="s">
        <v>95</v>
      </c>
      <c r="N800" s="2">
        <v>1083</v>
      </c>
      <c r="O800" s="3" t="s">
        <v>244</v>
      </c>
      <c r="P800" s="3" t="s">
        <v>97</v>
      </c>
      <c r="Q800" s="2" t="s">
        <v>6195</v>
      </c>
      <c r="R800" s="3" t="s">
        <v>3202</v>
      </c>
    </row>
    <row r="801" spans="1:18" x14ac:dyDescent="0.25">
      <c r="A801" s="2">
        <v>23928</v>
      </c>
      <c r="B801" s="3" t="s">
        <v>3203</v>
      </c>
      <c r="C801" s="2" t="s">
        <v>4384</v>
      </c>
      <c r="D801" s="2" t="s">
        <v>3123</v>
      </c>
      <c r="E801" s="3" t="s">
        <v>3118</v>
      </c>
      <c r="F801" s="3" t="s">
        <v>3119</v>
      </c>
      <c r="G801" s="2" t="s">
        <v>5289</v>
      </c>
      <c r="H801" s="2" t="s">
        <v>5310</v>
      </c>
      <c r="I801" s="3" t="s">
        <v>3204</v>
      </c>
      <c r="J801" s="3" t="s">
        <v>3205</v>
      </c>
      <c r="K801" s="3" t="s">
        <v>3206</v>
      </c>
      <c r="L801" s="3" t="s">
        <v>3123</v>
      </c>
      <c r="M801" s="3" t="s">
        <v>95</v>
      </c>
      <c r="N801" s="2">
        <v>1083</v>
      </c>
      <c r="O801" s="3" t="s">
        <v>271</v>
      </c>
      <c r="P801" s="3" t="s">
        <v>97</v>
      </c>
      <c r="Q801" s="2" t="s">
        <v>6196</v>
      </c>
      <c r="R801" s="3" t="s">
        <v>3207</v>
      </c>
    </row>
    <row r="802" spans="1:18" x14ac:dyDescent="0.25">
      <c r="A802" s="2">
        <v>21232</v>
      </c>
      <c r="B802" s="3" t="s">
        <v>3208</v>
      </c>
      <c r="C802" s="2" t="s">
        <v>4385</v>
      </c>
      <c r="D802" s="2" t="s">
        <v>3123</v>
      </c>
      <c r="E802" s="3" t="s">
        <v>3118</v>
      </c>
      <c r="F802" s="3" t="s">
        <v>3119</v>
      </c>
      <c r="G802" s="2" t="s">
        <v>5289</v>
      </c>
      <c r="H802" s="2" t="s">
        <v>5311</v>
      </c>
      <c r="I802" s="3" t="s">
        <v>3120</v>
      </c>
      <c r="J802" s="3" t="s">
        <v>3209</v>
      </c>
      <c r="K802" s="3" t="s">
        <v>3210</v>
      </c>
      <c r="L802" s="3" t="s">
        <v>3123</v>
      </c>
      <c r="M802" s="3" t="s">
        <v>20</v>
      </c>
      <c r="N802" s="2">
        <v>1083</v>
      </c>
      <c r="O802" s="3" t="s">
        <v>21</v>
      </c>
      <c r="P802" s="3" t="s">
        <v>22</v>
      </c>
      <c r="Q802" s="2" t="s">
        <v>6197</v>
      </c>
      <c r="R802" s="3" t="s">
        <v>3211</v>
      </c>
    </row>
    <row r="803" spans="1:18" x14ac:dyDescent="0.25">
      <c r="A803" s="2">
        <v>28195</v>
      </c>
      <c r="B803" s="3" t="s">
        <v>3212</v>
      </c>
      <c r="C803" s="2" t="s">
        <v>4386</v>
      </c>
      <c r="D803" s="2" t="s">
        <v>3123</v>
      </c>
      <c r="E803" s="3" t="s">
        <v>3118</v>
      </c>
      <c r="F803" s="3" t="s">
        <v>3119</v>
      </c>
      <c r="G803" s="2" t="s">
        <v>5289</v>
      </c>
      <c r="H803" s="2" t="s">
        <v>5312</v>
      </c>
      <c r="I803" s="3" t="s">
        <v>3213</v>
      </c>
      <c r="J803" s="3" t="s">
        <v>138</v>
      </c>
      <c r="K803" s="3" t="s">
        <v>3214</v>
      </c>
      <c r="L803" s="3" t="s">
        <v>3123</v>
      </c>
      <c r="M803" s="3" t="s">
        <v>95</v>
      </c>
      <c r="N803" s="2">
        <v>1083</v>
      </c>
      <c r="O803" s="3" t="s">
        <v>271</v>
      </c>
      <c r="P803" s="3" t="s">
        <v>97</v>
      </c>
      <c r="Q803" s="2" t="s">
        <v>6198</v>
      </c>
      <c r="R803" s="3" t="s">
        <v>3215</v>
      </c>
    </row>
    <row r="804" spans="1:18" x14ac:dyDescent="0.25">
      <c r="A804" s="2">
        <v>37254</v>
      </c>
      <c r="B804" s="3" t="s">
        <v>3216</v>
      </c>
      <c r="C804" s="2" t="s">
        <v>4387</v>
      </c>
      <c r="D804" s="2" t="s">
        <v>3123</v>
      </c>
      <c r="E804" s="3" t="s">
        <v>3118</v>
      </c>
      <c r="F804" s="3" t="s">
        <v>3119</v>
      </c>
      <c r="G804" s="2" t="s">
        <v>5292</v>
      </c>
      <c r="H804" s="2" t="s">
        <v>5313</v>
      </c>
      <c r="I804" s="3" t="s">
        <v>3217</v>
      </c>
      <c r="J804" s="3" t="s">
        <v>3218</v>
      </c>
      <c r="K804" s="3" t="s">
        <v>3219</v>
      </c>
      <c r="L804" s="3" t="s">
        <v>3123</v>
      </c>
      <c r="M804" s="3" t="s">
        <v>1985</v>
      </c>
      <c r="N804" s="2">
        <v>1083</v>
      </c>
      <c r="O804" s="3" t="s">
        <v>21</v>
      </c>
      <c r="P804" s="3" t="s">
        <v>1986</v>
      </c>
      <c r="Q804" s="2" t="s">
        <v>6199</v>
      </c>
      <c r="R804" s="3" t="s">
        <v>3220</v>
      </c>
    </row>
    <row r="805" spans="1:18" x14ac:dyDescent="0.25">
      <c r="A805" s="2">
        <v>41167</v>
      </c>
      <c r="B805" s="3" t="s">
        <v>3221</v>
      </c>
      <c r="C805" s="2" t="s">
        <v>4388</v>
      </c>
      <c r="D805" s="2" t="s">
        <v>3123</v>
      </c>
      <c r="E805" s="3" t="s">
        <v>3118</v>
      </c>
      <c r="F805" s="3" t="s">
        <v>3119</v>
      </c>
      <c r="G805" s="2" t="s">
        <v>5289</v>
      </c>
      <c r="H805" s="2" t="s">
        <v>5314</v>
      </c>
      <c r="I805" s="3" t="s">
        <v>3222</v>
      </c>
      <c r="J805" s="3" t="s">
        <v>138</v>
      </c>
      <c r="K805" s="3" t="s">
        <v>3223</v>
      </c>
      <c r="L805" s="3" t="s">
        <v>3123</v>
      </c>
      <c r="M805" s="3" t="s">
        <v>95</v>
      </c>
      <c r="N805" s="2">
        <v>1083</v>
      </c>
      <c r="O805" s="3" t="s">
        <v>271</v>
      </c>
      <c r="P805" s="3" t="s">
        <v>97</v>
      </c>
      <c r="Q805" s="2" t="s">
        <v>6200</v>
      </c>
      <c r="R805" s="3" t="s">
        <v>3224</v>
      </c>
    </row>
    <row r="806" spans="1:18" x14ac:dyDescent="0.25">
      <c r="A806" s="2">
        <v>34860</v>
      </c>
      <c r="B806" s="3" t="s">
        <v>3225</v>
      </c>
      <c r="C806" s="2" t="s">
        <v>4389</v>
      </c>
      <c r="D806" s="2" t="s">
        <v>3123</v>
      </c>
      <c r="E806" s="3" t="s">
        <v>3118</v>
      </c>
      <c r="F806" s="3" t="s">
        <v>3119</v>
      </c>
      <c r="G806" s="2" t="s">
        <v>5289</v>
      </c>
      <c r="H806" s="2" t="s">
        <v>5315</v>
      </c>
      <c r="I806" s="3" t="s">
        <v>3226</v>
      </c>
      <c r="J806" s="3" t="s">
        <v>138</v>
      </c>
      <c r="K806" s="3" t="s">
        <v>3227</v>
      </c>
      <c r="L806" s="3" t="s">
        <v>3123</v>
      </c>
      <c r="M806" s="3" t="s">
        <v>95</v>
      </c>
      <c r="N806" s="2">
        <v>1083</v>
      </c>
      <c r="O806" s="3" t="s">
        <v>244</v>
      </c>
      <c r="P806" s="3" t="s">
        <v>97</v>
      </c>
      <c r="Q806" s="2" t="s">
        <v>6201</v>
      </c>
      <c r="R806" s="3" t="s">
        <v>3228</v>
      </c>
    </row>
    <row r="807" spans="1:18" x14ac:dyDescent="0.25">
      <c r="A807" s="2">
        <v>25449</v>
      </c>
      <c r="B807" s="3" t="s">
        <v>3229</v>
      </c>
      <c r="C807" s="2" t="s">
        <v>4390</v>
      </c>
      <c r="D807" s="2" t="s">
        <v>3123</v>
      </c>
      <c r="E807" s="3" t="s">
        <v>3118</v>
      </c>
      <c r="F807" s="3" t="s">
        <v>3119</v>
      </c>
      <c r="G807" s="2" t="s">
        <v>5289</v>
      </c>
      <c r="H807" s="2" t="s">
        <v>5316</v>
      </c>
      <c r="I807" s="3" t="s">
        <v>3230</v>
      </c>
      <c r="J807" s="3" t="s">
        <v>3231</v>
      </c>
      <c r="K807" s="3" t="s">
        <v>3232</v>
      </c>
      <c r="L807" s="3" t="s">
        <v>3123</v>
      </c>
      <c r="M807" s="3" t="s">
        <v>95</v>
      </c>
      <c r="N807" s="2">
        <v>1083</v>
      </c>
      <c r="O807" s="3" t="s">
        <v>244</v>
      </c>
      <c r="P807" s="3" t="s">
        <v>97</v>
      </c>
      <c r="Q807" s="2" t="s">
        <v>6202</v>
      </c>
      <c r="R807" s="3" t="s">
        <v>3233</v>
      </c>
    </row>
    <row r="808" spans="1:18" x14ac:dyDescent="0.25">
      <c r="A808" s="2">
        <v>30204</v>
      </c>
      <c r="B808" s="3" t="s">
        <v>3234</v>
      </c>
      <c r="C808" s="2" t="s">
        <v>4391</v>
      </c>
      <c r="D808" s="2" t="s">
        <v>3123</v>
      </c>
      <c r="E808" s="3" t="s">
        <v>3118</v>
      </c>
      <c r="F808" s="3" t="s">
        <v>3119</v>
      </c>
      <c r="G808" s="2" t="s">
        <v>5289</v>
      </c>
      <c r="H808" s="2" t="s">
        <v>5317</v>
      </c>
      <c r="I808" s="3" t="s">
        <v>3235</v>
      </c>
      <c r="J808" s="3" t="s">
        <v>138</v>
      </c>
      <c r="K808" s="3" t="s">
        <v>3236</v>
      </c>
      <c r="L808" s="3" t="s">
        <v>3123</v>
      </c>
      <c r="M808" s="3" t="s">
        <v>95</v>
      </c>
      <c r="N808" s="2">
        <v>1083</v>
      </c>
      <c r="O808" s="3" t="s">
        <v>244</v>
      </c>
      <c r="P808" s="3" t="s">
        <v>97</v>
      </c>
      <c r="Q808" s="2" t="s">
        <v>6203</v>
      </c>
      <c r="R808" s="3" t="s">
        <v>3237</v>
      </c>
    </row>
    <row r="809" spans="1:18" x14ac:dyDescent="0.25">
      <c r="A809" s="2">
        <v>37178</v>
      </c>
      <c r="B809" s="3" t="s">
        <v>3238</v>
      </c>
      <c r="C809" s="2" t="s">
        <v>4392</v>
      </c>
      <c r="D809" s="2" t="s">
        <v>3123</v>
      </c>
      <c r="E809" s="3" t="s">
        <v>3118</v>
      </c>
      <c r="F809" s="3" t="s">
        <v>3119</v>
      </c>
      <c r="G809" s="2" t="s">
        <v>5318</v>
      </c>
      <c r="H809" s="2" t="s">
        <v>5319</v>
      </c>
      <c r="I809" s="3" t="s">
        <v>3239</v>
      </c>
      <c r="J809" s="3" t="s">
        <v>3240</v>
      </c>
      <c r="K809" s="3" t="s">
        <v>3241</v>
      </c>
      <c r="L809" s="3" t="s">
        <v>3123</v>
      </c>
      <c r="M809" s="3" t="s">
        <v>95</v>
      </c>
      <c r="N809" s="2">
        <v>1083</v>
      </c>
      <c r="O809" s="3" t="s">
        <v>271</v>
      </c>
      <c r="P809" s="3" t="s">
        <v>97</v>
      </c>
      <c r="Q809" s="2" t="s">
        <v>6204</v>
      </c>
      <c r="R809" s="3" t="s">
        <v>3242</v>
      </c>
    </row>
    <row r="810" spans="1:18" x14ac:dyDescent="0.25">
      <c r="A810" s="2">
        <v>2172</v>
      </c>
      <c r="B810" s="3" t="s">
        <v>3243</v>
      </c>
      <c r="C810" s="2" t="s">
        <v>4393</v>
      </c>
      <c r="D810" s="2" t="s">
        <v>3123</v>
      </c>
      <c r="E810" s="3" t="s">
        <v>3118</v>
      </c>
      <c r="F810" s="3" t="s">
        <v>3119</v>
      </c>
      <c r="G810" s="2" t="s">
        <v>5292</v>
      </c>
      <c r="H810" s="2" t="s">
        <v>5320</v>
      </c>
      <c r="I810" s="3" t="s">
        <v>3185</v>
      </c>
      <c r="J810" s="3" t="s">
        <v>3244</v>
      </c>
      <c r="K810" s="3" t="s">
        <v>3245</v>
      </c>
      <c r="L810" s="3" t="s">
        <v>3123</v>
      </c>
      <c r="M810" s="3" t="s">
        <v>95</v>
      </c>
      <c r="N810" s="2">
        <v>1083</v>
      </c>
      <c r="O810" s="3" t="s">
        <v>244</v>
      </c>
      <c r="P810" s="3" t="s">
        <v>97</v>
      </c>
      <c r="Q810" s="2" t="s">
        <v>6205</v>
      </c>
      <c r="R810" s="3" t="s">
        <v>3246</v>
      </c>
    </row>
    <row r="811" spans="1:18" x14ac:dyDescent="0.25">
      <c r="A811" s="2">
        <v>4839</v>
      </c>
      <c r="B811" s="3" t="s">
        <v>3247</v>
      </c>
      <c r="C811" s="2" t="s">
        <v>4394</v>
      </c>
      <c r="D811" s="2" t="s">
        <v>3123</v>
      </c>
      <c r="E811" s="3" t="s">
        <v>3118</v>
      </c>
      <c r="F811" s="3" t="s">
        <v>3119</v>
      </c>
      <c r="G811" s="2" t="s">
        <v>5289</v>
      </c>
      <c r="H811" s="2" t="s">
        <v>5321</v>
      </c>
      <c r="I811" s="3" t="s">
        <v>3120</v>
      </c>
      <c r="J811" s="3" t="s">
        <v>3248</v>
      </c>
      <c r="K811" s="3" t="s">
        <v>3249</v>
      </c>
      <c r="L811" s="3" t="s">
        <v>3123</v>
      </c>
      <c r="M811" s="3" t="s">
        <v>20</v>
      </c>
      <c r="N811" s="2">
        <v>1083</v>
      </c>
      <c r="O811" s="3" t="s">
        <v>21</v>
      </c>
      <c r="P811" s="3" t="s">
        <v>22</v>
      </c>
      <c r="Q811" s="2" t="s">
        <v>6206</v>
      </c>
      <c r="R811" s="3" t="s">
        <v>3250</v>
      </c>
    </row>
    <row r="812" spans="1:18" x14ac:dyDescent="0.25">
      <c r="A812" s="2">
        <v>40358</v>
      </c>
      <c r="B812" s="3" t="s">
        <v>3251</v>
      </c>
      <c r="C812" s="2" t="s">
        <v>4395</v>
      </c>
      <c r="D812" s="2" t="s">
        <v>3123</v>
      </c>
      <c r="E812" s="3" t="s">
        <v>3118</v>
      </c>
      <c r="F812" s="3" t="s">
        <v>3119</v>
      </c>
      <c r="G812" s="2" t="s">
        <v>5289</v>
      </c>
      <c r="H812" s="2" t="s">
        <v>5322</v>
      </c>
      <c r="I812" s="3" t="s">
        <v>3120</v>
      </c>
      <c r="J812" s="3" t="s">
        <v>3252</v>
      </c>
      <c r="K812" s="3" t="s">
        <v>3253</v>
      </c>
      <c r="L812" s="3" t="s">
        <v>3123</v>
      </c>
      <c r="M812" s="3" t="s">
        <v>20</v>
      </c>
      <c r="N812" s="2">
        <v>1083</v>
      </c>
      <c r="O812" s="3" t="s">
        <v>21</v>
      </c>
      <c r="P812" s="3" t="s">
        <v>22</v>
      </c>
      <c r="Q812" s="2" t="s">
        <v>6207</v>
      </c>
      <c r="R812" s="3" t="s">
        <v>3254</v>
      </c>
    </row>
    <row r="813" spans="1:18" x14ac:dyDescent="0.25">
      <c r="A813" s="2">
        <v>41243</v>
      </c>
      <c r="B813" s="3" t="s">
        <v>3255</v>
      </c>
      <c r="C813" s="2" t="s">
        <v>4396</v>
      </c>
      <c r="D813" s="2" t="s">
        <v>3123</v>
      </c>
      <c r="E813" s="3" t="s">
        <v>3118</v>
      </c>
      <c r="F813" s="3" t="s">
        <v>3119</v>
      </c>
      <c r="G813" s="2" t="s">
        <v>5289</v>
      </c>
      <c r="H813" s="2" t="s">
        <v>5323</v>
      </c>
      <c r="I813" s="3" t="s">
        <v>3120</v>
      </c>
      <c r="J813" s="3" t="s">
        <v>3256</v>
      </c>
      <c r="K813" s="3" t="s">
        <v>3257</v>
      </c>
      <c r="L813" s="3" t="s">
        <v>3123</v>
      </c>
      <c r="M813" s="3" t="s">
        <v>20</v>
      </c>
      <c r="N813" s="2">
        <v>1083</v>
      </c>
      <c r="O813" s="3" t="s">
        <v>21</v>
      </c>
      <c r="P813" s="3" t="s">
        <v>22</v>
      </c>
      <c r="Q813" s="2" t="s">
        <v>6208</v>
      </c>
      <c r="R813" s="3" t="s">
        <v>3258</v>
      </c>
    </row>
    <row r="814" spans="1:18" x14ac:dyDescent="0.25">
      <c r="A814" s="2">
        <v>24017</v>
      </c>
      <c r="B814" s="3" t="s">
        <v>3259</v>
      </c>
      <c r="C814" s="2" t="s">
        <v>4397</v>
      </c>
      <c r="D814" s="2" t="s">
        <v>3123</v>
      </c>
      <c r="E814" s="3" t="s">
        <v>3118</v>
      </c>
      <c r="F814" s="3" t="s">
        <v>3119</v>
      </c>
      <c r="G814" s="2" t="s">
        <v>5289</v>
      </c>
      <c r="H814" s="2" t="s">
        <v>5324</v>
      </c>
      <c r="I814" s="3" t="s">
        <v>3260</v>
      </c>
      <c r="J814" s="3" t="s">
        <v>3261</v>
      </c>
      <c r="K814" s="3" t="s">
        <v>3262</v>
      </c>
      <c r="L814" s="3" t="s">
        <v>3123</v>
      </c>
      <c r="M814" s="3" t="s">
        <v>95</v>
      </c>
      <c r="N814" s="2">
        <v>1083</v>
      </c>
      <c r="O814" s="3" t="s">
        <v>244</v>
      </c>
      <c r="P814" s="3" t="s">
        <v>97</v>
      </c>
      <c r="Q814" s="2" t="s">
        <v>6209</v>
      </c>
      <c r="R814" s="3" t="s">
        <v>3263</v>
      </c>
    </row>
    <row r="815" spans="1:18" x14ac:dyDescent="0.25">
      <c r="A815" s="2">
        <v>40920</v>
      </c>
      <c r="B815" s="3" t="s">
        <v>3264</v>
      </c>
      <c r="C815" s="2" t="s">
        <v>4398</v>
      </c>
      <c r="D815" s="2" t="s">
        <v>3123</v>
      </c>
      <c r="E815" s="3" t="s">
        <v>3118</v>
      </c>
      <c r="F815" s="3" t="s">
        <v>3119</v>
      </c>
      <c r="G815" s="2" t="s">
        <v>5289</v>
      </c>
      <c r="H815" s="2" t="s">
        <v>5325</v>
      </c>
      <c r="I815" s="3" t="s">
        <v>3120</v>
      </c>
      <c r="J815" s="3" t="s">
        <v>3265</v>
      </c>
      <c r="K815" s="3" t="s">
        <v>3266</v>
      </c>
      <c r="L815" s="3" t="s">
        <v>3123</v>
      </c>
      <c r="M815" s="3" t="s">
        <v>20</v>
      </c>
      <c r="N815" s="2">
        <v>1083</v>
      </c>
      <c r="O815" s="3" t="s">
        <v>21</v>
      </c>
      <c r="P815" s="3" t="s">
        <v>22</v>
      </c>
      <c r="Q815" s="2" t="s">
        <v>6210</v>
      </c>
      <c r="R815" s="3" t="s">
        <v>3267</v>
      </c>
    </row>
    <row r="816" spans="1:18" x14ac:dyDescent="0.25">
      <c r="A816" s="2">
        <v>3852</v>
      </c>
      <c r="B816" s="3" t="s">
        <v>3268</v>
      </c>
      <c r="C816" s="2" t="s">
        <v>4399</v>
      </c>
      <c r="D816" s="2" t="s">
        <v>3123</v>
      </c>
      <c r="E816" s="3" t="s">
        <v>3118</v>
      </c>
      <c r="F816" s="3" t="s">
        <v>3119</v>
      </c>
      <c r="G816" s="2" t="s">
        <v>5289</v>
      </c>
      <c r="H816" s="2" t="s">
        <v>5326</v>
      </c>
      <c r="I816" s="3" t="s">
        <v>3269</v>
      </c>
      <c r="J816" s="3" t="s">
        <v>138</v>
      </c>
      <c r="K816" s="3" t="s">
        <v>3270</v>
      </c>
      <c r="L816" s="3" t="s">
        <v>3123</v>
      </c>
      <c r="M816" s="3" t="s">
        <v>95</v>
      </c>
      <c r="N816" s="2">
        <v>1083</v>
      </c>
      <c r="O816" s="3" t="s">
        <v>244</v>
      </c>
      <c r="P816" s="3" t="s">
        <v>97</v>
      </c>
      <c r="Q816" s="2" t="s">
        <v>6211</v>
      </c>
      <c r="R816" s="3" t="s">
        <v>3271</v>
      </c>
    </row>
    <row r="817" spans="1:18" x14ac:dyDescent="0.25">
      <c r="A817" s="2">
        <v>38228</v>
      </c>
      <c r="B817" s="3" t="s">
        <v>3272</v>
      </c>
      <c r="C817" s="2" t="s">
        <v>4400</v>
      </c>
      <c r="D817" s="2" t="s">
        <v>3123</v>
      </c>
      <c r="E817" s="3" t="s">
        <v>3118</v>
      </c>
      <c r="F817" s="3" t="s">
        <v>3119</v>
      </c>
      <c r="G817" s="2" t="s">
        <v>5292</v>
      </c>
      <c r="H817" s="2" t="s">
        <v>5327</v>
      </c>
      <c r="I817" s="3" t="s">
        <v>3273</v>
      </c>
      <c r="J817" s="3" t="s">
        <v>138</v>
      </c>
      <c r="K817" s="3" t="s">
        <v>3274</v>
      </c>
      <c r="L817" s="3" t="s">
        <v>3123</v>
      </c>
      <c r="M817" s="3" t="s">
        <v>95</v>
      </c>
      <c r="N817" s="2">
        <v>1083</v>
      </c>
      <c r="O817" s="3" t="s">
        <v>244</v>
      </c>
      <c r="P817" s="3" t="s">
        <v>97</v>
      </c>
      <c r="Q817" s="2" t="s">
        <v>6212</v>
      </c>
      <c r="R817" s="3" t="s">
        <v>3275</v>
      </c>
    </row>
    <row r="818" spans="1:18" x14ac:dyDescent="0.25">
      <c r="A818" s="2">
        <v>22129</v>
      </c>
      <c r="B818" s="3" t="s">
        <v>3276</v>
      </c>
      <c r="C818" s="2" t="s">
        <v>4401</v>
      </c>
      <c r="D818" s="2" t="s">
        <v>3123</v>
      </c>
      <c r="E818" s="3" t="s">
        <v>3118</v>
      </c>
      <c r="F818" s="3" t="s">
        <v>3119</v>
      </c>
      <c r="G818" s="2" t="s">
        <v>5289</v>
      </c>
      <c r="H818" s="2" t="s">
        <v>5328</v>
      </c>
      <c r="I818" s="3" t="s">
        <v>3277</v>
      </c>
      <c r="J818" s="3" t="s">
        <v>138</v>
      </c>
      <c r="K818" s="3" t="s">
        <v>3278</v>
      </c>
      <c r="L818" s="3" t="s">
        <v>3123</v>
      </c>
      <c r="M818" s="3" t="s">
        <v>95</v>
      </c>
      <c r="N818" s="2">
        <v>1083</v>
      </c>
      <c r="O818" s="3" t="s">
        <v>244</v>
      </c>
      <c r="P818" s="3" t="s">
        <v>97</v>
      </c>
      <c r="Q818" s="2" t="s">
        <v>6213</v>
      </c>
      <c r="R818" s="3" t="s">
        <v>3279</v>
      </c>
    </row>
    <row r="819" spans="1:18" x14ac:dyDescent="0.25">
      <c r="A819" s="2">
        <v>19812</v>
      </c>
      <c r="B819" s="3" t="s">
        <v>3280</v>
      </c>
      <c r="C819" s="2" t="s">
        <v>4402</v>
      </c>
      <c r="D819" s="2" t="s">
        <v>3123</v>
      </c>
      <c r="E819" s="3" t="s">
        <v>3118</v>
      </c>
      <c r="F819" s="3" t="s">
        <v>3281</v>
      </c>
      <c r="G819" s="2" t="s">
        <v>5329</v>
      </c>
      <c r="H819" s="2" t="s">
        <v>5330</v>
      </c>
      <c r="I819" s="3" t="s">
        <v>3282</v>
      </c>
      <c r="J819" s="3" t="s">
        <v>138</v>
      </c>
      <c r="K819" s="3" t="s">
        <v>3283</v>
      </c>
      <c r="L819" s="3" t="s">
        <v>3123</v>
      </c>
      <c r="M819" s="3" t="s">
        <v>95</v>
      </c>
      <c r="N819" s="2">
        <v>1544</v>
      </c>
      <c r="O819" s="3" t="s">
        <v>271</v>
      </c>
      <c r="P819" s="3" t="s">
        <v>97</v>
      </c>
      <c r="Q819" s="2" t="s">
        <v>6214</v>
      </c>
      <c r="R819" s="3" t="s">
        <v>3284</v>
      </c>
    </row>
    <row r="820" spans="1:18" x14ac:dyDescent="0.25">
      <c r="A820" s="2">
        <v>34848</v>
      </c>
      <c r="B820" s="3" t="s">
        <v>3285</v>
      </c>
      <c r="C820" s="2" t="s">
        <v>4403</v>
      </c>
      <c r="D820" s="2" t="s">
        <v>3123</v>
      </c>
      <c r="E820" s="3" t="s">
        <v>3118</v>
      </c>
      <c r="F820" s="3" t="s">
        <v>3281</v>
      </c>
      <c r="G820" s="2" t="s">
        <v>5331</v>
      </c>
      <c r="H820" s="2" t="s">
        <v>5332</v>
      </c>
      <c r="I820" s="3" t="s">
        <v>3286</v>
      </c>
      <c r="J820" s="3" t="s">
        <v>3287</v>
      </c>
      <c r="K820" s="3" t="s">
        <v>3288</v>
      </c>
      <c r="L820" s="3" t="s">
        <v>3123</v>
      </c>
      <c r="M820" s="3" t="s">
        <v>20</v>
      </c>
      <c r="N820" s="2">
        <v>1544</v>
      </c>
      <c r="O820" s="3" t="s">
        <v>21</v>
      </c>
      <c r="P820" s="3" t="s">
        <v>22</v>
      </c>
      <c r="Q820" s="2" t="s">
        <v>6215</v>
      </c>
      <c r="R820" s="3" t="s">
        <v>3289</v>
      </c>
    </row>
    <row r="821" spans="1:18" x14ac:dyDescent="0.25">
      <c r="A821" s="2">
        <v>21669</v>
      </c>
      <c r="B821" s="3" t="s">
        <v>3290</v>
      </c>
      <c r="C821" s="2" t="s">
        <v>4404</v>
      </c>
      <c r="D821" s="2" t="s">
        <v>3123</v>
      </c>
      <c r="E821" s="3" t="s">
        <v>3118</v>
      </c>
      <c r="F821" s="3" t="s">
        <v>3281</v>
      </c>
      <c r="G821" s="2" t="s">
        <v>5329</v>
      </c>
      <c r="H821" s="2" t="s">
        <v>5333</v>
      </c>
      <c r="I821" s="3" t="s">
        <v>3291</v>
      </c>
      <c r="J821" s="3" t="s">
        <v>138</v>
      </c>
      <c r="K821" s="3" t="s">
        <v>3292</v>
      </c>
      <c r="L821" s="3" t="s">
        <v>3123</v>
      </c>
      <c r="M821" s="3" t="s">
        <v>95</v>
      </c>
      <c r="N821" s="2">
        <v>1544</v>
      </c>
      <c r="O821" s="3" t="s">
        <v>271</v>
      </c>
      <c r="P821" s="3" t="s">
        <v>97</v>
      </c>
      <c r="Q821" s="2" t="s">
        <v>6216</v>
      </c>
      <c r="R821" s="3" t="s">
        <v>3293</v>
      </c>
    </row>
    <row r="822" spans="1:18" x14ac:dyDescent="0.25">
      <c r="A822" s="2">
        <v>12182</v>
      </c>
      <c r="B822" s="3" t="s">
        <v>3294</v>
      </c>
      <c r="C822" s="2" t="s">
        <v>4405</v>
      </c>
      <c r="D822" s="2" t="s">
        <v>3123</v>
      </c>
      <c r="E822" s="3" t="s">
        <v>3118</v>
      </c>
      <c r="F822" s="3" t="s">
        <v>3281</v>
      </c>
      <c r="G822" s="2" t="s">
        <v>5329</v>
      </c>
      <c r="H822" s="2" t="s">
        <v>5334</v>
      </c>
      <c r="I822" s="3" t="s">
        <v>3295</v>
      </c>
      <c r="J822" s="3" t="s">
        <v>544</v>
      </c>
      <c r="K822" s="3" t="s">
        <v>3296</v>
      </c>
      <c r="L822" s="3" t="s">
        <v>3123</v>
      </c>
      <c r="M822" s="3" t="s">
        <v>1985</v>
      </c>
      <c r="N822" s="2">
        <v>1544</v>
      </c>
      <c r="O822" s="3" t="s">
        <v>21</v>
      </c>
      <c r="P822" s="3" t="s">
        <v>1986</v>
      </c>
      <c r="Q822" s="2" t="s">
        <v>6217</v>
      </c>
      <c r="R822" s="3" t="s">
        <v>3297</v>
      </c>
    </row>
    <row r="823" spans="1:18" x14ac:dyDescent="0.25">
      <c r="A823" s="2">
        <v>18313</v>
      </c>
      <c r="B823" s="3" t="s">
        <v>3298</v>
      </c>
      <c r="C823" s="2" t="s">
        <v>4406</v>
      </c>
      <c r="D823" s="2" t="s">
        <v>3123</v>
      </c>
      <c r="E823" s="3" t="s">
        <v>3118</v>
      </c>
      <c r="F823" s="3" t="s">
        <v>3281</v>
      </c>
      <c r="G823" s="2" t="s">
        <v>5331</v>
      </c>
      <c r="H823" s="2" t="s">
        <v>5335</v>
      </c>
      <c r="I823" s="3" t="s">
        <v>3286</v>
      </c>
      <c r="J823" s="3" t="s">
        <v>3299</v>
      </c>
      <c r="K823" s="3" t="s">
        <v>3300</v>
      </c>
      <c r="L823" s="3" t="s">
        <v>3123</v>
      </c>
      <c r="M823" s="3" t="s">
        <v>20</v>
      </c>
      <c r="N823" s="2">
        <v>1544</v>
      </c>
      <c r="O823" s="3" t="s">
        <v>21</v>
      </c>
      <c r="P823" s="3" t="s">
        <v>22</v>
      </c>
      <c r="Q823" s="2" t="s">
        <v>6218</v>
      </c>
      <c r="R823" s="3" t="s">
        <v>3301</v>
      </c>
    </row>
    <row r="824" spans="1:18" x14ac:dyDescent="0.25">
      <c r="A824" s="2">
        <v>37128</v>
      </c>
      <c r="B824" s="3" t="s">
        <v>3302</v>
      </c>
      <c r="C824" s="2" t="s">
        <v>4407</v>
      </c>
      <c r="D824" s="2" t="s">
        <v>3123</v>
      </c>
      <c r="E824" s="3" t="s">
        <v>3118</v>
      </c>
      <c r="F824" s="3" t="s">
        <v>3281</v>
      </c>
      <c r="G824" s="2" t="s">
        <v>5331</v>
      </c>
      <c r="H824" s="2" t="s">
        <v>5336</v>
      </c>
      <c r="I824" s="3" t="s">
        <v>3286</v>
      </c>
      <c r="J824" s="3" t="s">
        <v>3303</v>
      </c>
      <c r="K824" s="3" t="s">
        <v>3304</v>
      </c>
      <c r="L824" s="3" t="s">
        <v>3123</v>
      </c>
      <c r="M824" s="3" t="s">
        <v>20</v>
      </c>
      <c r="N824" s="2">
        <v>1544</v>
      </c>
      <c r="O824" s="3" t="s">
        <v>21</v>
      </c>
      <c r="P824" s="3" t="s">
        <v>22</v>
      </c>
      <c r="Q824" s="2" t="s">
        <v>6219</v>
      </c>
      <c r="R824" s="3" t="s">
        <v>3305</v>
      </c>
    </row>
    <row r="825" spans="1:18" x14ac:dyDescent="0.25">
      <c r="A825" s="2">
        <v>1007</v>
      </c>
      <c r="B825" s="3" t="s">
        <v>3306</v>
      </c>
      <c r="C825" s="2" t="s">
        <v>4408</v>
      </c>
      <c r="D825" s="2" t="s">
        <v>3123</v>
      </c>
      <c r="E825" s="3" t="s">
        <v>3118</v>
      </c>
      <c r="F825" s="3" t="s">
        <v>3281</v>
      </c>
      <c r="G825" s="2" t="s">
        <v>5329</v>
      </c>
      <c r="H825" s="2" t="s">
        <v>5337</v>
      </c>
      <c r="I825" s="3" t="s">
        <v>3307</v>
      </c>
      <c r="J825" s="3" t="s">
        <v>824</v>
      </c>
      <c r="K825" s="3" t="s">
        <v>3308</v>
      </c>
      <c r="L825" s="3" t="s">
        <v>3123</v>
      </c>
      <c r="M825" s="3" t="s">
        <v>95</v>
      </c>
      <c r="N825" s="2">
        <v>1544</v>
      </c>
      <c r="O825" s="3" t="s">
        <v>271</v>
      </c>
      <c r="P825" s="3" t="s">
        <v>97</v>
      </c>
      <c r="Q825" s="2" t="s">
        <v>6220</v>
      </c>
      <c r="R825" s="3" t="s">
        <v>3309</v>
      </c>
    </row>
    <row r="826" spans="1:18" x14ac:dyDescent="0.25">
      <c r="A826" s="2">
        <v>19697</v>
      </c>
      <c r="B826" s="3" t="s">
        <v>3310</v>
      </c>
      <c r="C826" s="2" t="s">
        <v>4409</v>
      </c>
      <c r="D826" s="2" t="s">
        <v>3123</v>
      </c>
      <c r="E826" s="3" t="s">
        <v>3118</v>
      </c>
      <c r="F826" s="3" t="s">
        <v>3281</v>
      </c>
      <c r="G826" s="2" t="s">
        <v>5329</v>
      </c>
      <c r="H826" s="2" t="s">
        <v>5338</v>
      </c>
      <c r="I826" s="3" t="s">
        <v>3295</v>
      </c>
      <c r="J826" s="3" t="s">
        <v>3311</v>
      </c>
      <c r="K826" s="3" t="s">
        <v>3312</v>
      </c>
      <c r="L826" s="3" t="s">
        <v>3123</v>
      </c>
      <c r="M826" s="3" t="s">
        <v>1985</v>
      </c>
      <c r="N826" s="2">
        <v>1544</v>
      </c>
      <c r="O826" s="3" t="s">
        <v>21</v>
      </c>
      <c r="P826" s="3" t="s">
        <v>1986</v>
      </c>
      <c r="Q826" s="2" t="s">
        <v>6221</v>
      </c>
      <c r="R826" s="3" t="s">
        <v>3313</v>
      </c>
    </row>
    <row r="827" spans="1:18" x14ac:dyDescent="0.25">
      <c r="A827" s="2">
        <v>14187</v>
      </c>
      <c r="B827" s="3" t="s">
        <v>3314</v>
      </c>
      <c r="C827" s="2" t="s">
        <v>4410</v>
      </c>
      <c r="D827" s="2" t="s">
        <v>3123</v>
      </c>
      <c r="E827" s="3" t="s">
        <v>3118</v>
      </c>
      <c r="F827" s="3" t="s">
        <v>3281</v>
      </c>
      <c r="G827" s="2" t="s">
        <v>5331</v>
      </c>
      <c r="H827" s="2" t="s">
        <v>5339</v>
      </c>
      <c r="I827" s="3" t="s">
        <v>3286</v>
      </c>
      <c r="J827" s="3" t="s">
        <v>1682</v>
      </c>
      <c r="K827" s="3" t="s">
        <v>3315</v>
      </c>
      <c r="L827" s="3" t="s">
        <v>3123</v>
      </c>
      <c r="M827" s="3" t="s">
        <v>20</v>
      </c>
      <c r="N827" s="2">
        <v>1544</v>
      </c>
      <c r="O827" s="3" t="s">
        <v>21</v>
      </c>
      <c r="P827" s="3" t="s">
        <v>22</v>
      </c>
      <c r="Q827" s="2" t="s">
        <v>6222</v>
      </c>
      <c r="R827" s="3" t="s">
        <v>3316</v>
      </c>
    </row>
    <row r="828" spans="1:18" x14ac:dyDescent="0.25">
      <c r="A828" s="2">
        <v>19719</v>
      </c>
      <c r="B828" s="3" t="s">
        <v>3317</v>
      </c>
      <c r="C828" s="2" t="s">
        <v>4411</v>
      </c>
      <c r="D828" s="2" t="s">
        <v>3123</v>
      </c>
      <c r="E828" s="3" t="s">
        <v>3118</v>
      </c>
      <c r="F828" s="3" t="s">
        <v>3281</v>
      </c>
      <c r="G828" s="2" t="s">
        <v>5329</v>
      </c>
      <c r="H828" s="2" t="s">
        <v>5340</v>
      </c>
      <c r="I828" s="3" t="s">
        <v>3295</v>
      </c>
      <c r="J828" s="3" t="s">
        <v>3318</v>
      </c>
      <c r="K828" s="3" t="s">
        <v>3319</v>
      </c>
      <c r="L828" s="3" t="s">
        <v>3123</v>
      </c>
      <c r="M828" s="3" t="s">
        <v>1985</v>
      </c>
      <c r="N828" s="2">
        <v>1544</v>
      </c>
      <c r="O828" s="3" t="s">
        <v>21</v>
      </c>
      <c r="P828" s="3" t="s">
        <v>1986</v>
      </c>
      <c r="Q828" s="2" t="s">
        <v>6223</v>
      </c>
      <c r="R828" s="3" t="s">
        <v>3320</v>
      </c>
    </row>
    <row r="829" spans="1:18" x14ac:dyDescent="0.25">
      <c r="A829" s="2">
        <v>36181</v>
      </c>
      <c r="B829" s="3" t="s">
        <v>3321</v>
      </c>
      <c r="C829" s="2" t="s">
        <v>4412</v>
      </c>
      <c r="D829" s="2" t="s">
        <v>3123</v>
      </c>
      <c r="E829" s="3" t="s">
        <v>3118</v>
      </c>
      <c r="F829" s="3" t="s">
        <v>3281</v>
      </c>
      <c r="G829" s="2" t="s">
        <v>5329</v>
      </c>
      <c r="H829" s="2" t="s">
        <v>5341</v>
      </c>
      <c r="I829" s="3" t="s">
        <v>3322</v>
      </c>
      <c r="J829" s="3" t="s">
        <v>3323</v>
      </c>
      <c r="K829" s="3" t="s">
        <v>3324</v>
      </c>
      <c r="L829" s="3" t="s">
        <v>3123</v>
      </c>
      <c r="M829" s="3" t="s">
        <v>95</v>
      </c>
      <c r="N829" s="2">
        <v>1544</v>
      </c>
      <c r="O829" s="3" t="s">
        <v>271</v>
      </c>
      <c r="P829" s="3" t="s">
        <v>97</v>
      </c>
      <c r="Q829" s="2" t="s">
        <v>6224</v>
      </c>
      <c r="R829" s="3" t="s">
        <v>3325</v>
      </c>
    </row>
    <row r="830" spans="1:18" x14ac:dyDescent="0.25">
      <c r="A830" s="2">
        <v>6196</v>
      </c>
      <c r="B830" s="3" t="s">
        <v>3326</v>
      </c>
      <c r="C830" s="2" t="s">
        <v>4413</v>
      </c>
      <c r="D830" s="2" t="s">
        <v>3123</v>
      </c>
      <c r="E830" s="3" t="s">
        <v>3118</v>
      </c>
      <c r="F830" s="3" t="s">
        <v>3281</v>
      </c>
      <c r="G830" s="2" t="s">
        <v>5329</v>
      </c>
      <c r="H830" s="2" t="s">
        <v>5342</v>
      </c>
      <c r="I830" s="3" t="s">
        <v>3295</v>
      </c>
      <c r="J830" s="3" t="s">
        <v>138</v>
      </c>
      <c r="K830" s="3" t="s">
        <v>3327</v>
      </c>
      <c r="L830" s="3" t="s">
        <v>3123</v>
      </c>
      <c r="M830" s="3" t="s">
        <v>1985</v>
      </c>
      <c r="N830" s="2">
        <v>1544</v>
      </c>
      <c r="O830" s="3" t="s">
        <v>21</v>
      </c>
      <c r="P830" s="3" t="s">
        <v>1986</v>
      </c>
      <c r="Q830" s="2" t="s">
        <v>6225</v>
      </c>
      <c r="R830" s="3" t="s">
        <v>3328</v>
      </c>
    </row>
    <row r="831" spans="1:18" x14ac:dyDescent="0.25">
      <c r="A831" s="2">
        <v>17249</v>
      </c>
      <c r="B831" s="3" t="s">
        <v>3329</v>
      </c>
      <c r="C831" s="2" t="s">
        <v>4414</v>
      </c>
      <c r="D831" s="2" t="s">
        <v>3123</v>
      </c>
      <c r="E831" s="3" t="s">
        <v>3118</v>
      </c>
      <c r="F831" s="3" t="s">
        <v>3281</v>
      </c>
      <c r="G831" s="2" t="s">
        <v>5331</v>
      </c>
      <c r="H831" s="2" t="s">
        <v>5343</v>
      </c>
      <c r="I831" s="3" t="s">
        <v>3330</v>
      </c>
      <c r="J831" s="3" t="s">
        <v>138</v>
      </c>
      <c r="K831" s="3" t="s">
        <v>3331</v>
      </c>
      <c r="L831" s="3" t="s">
        <v>3123</v>
      </c>
      <c r="M831" s="3" t="s">
        <v>95</v>
      </c>
      <c r="N831" s="2">
        <v>1544</v>
      </c>
      <c r="O831" s="3" t="s">
        <v>271</v>
      </c>
      <c r="P831" s="3" t="s">
        <v>97</v>
      </c>
      <c r="Q831" s="2" t="s">
        <v>6226</v>
      </c>
      <c r="R831" s="3" t="s">
        <v>3332</v>
      </c>
    </row>
    <row r="832" spans="1:18" x14ac:dyDescent="0.25">
      <c r="A832" s="2">
        <v>37006</v>
      </c>
      <c r="B832" s="3" t="s">
        <v>3333</v>
      </c>
      <c r="C832" s="2" t="s">
        <v>4415</v>
      </c>
      <c r="D832" s="2" t="s">
        <v>3123</v>
      </c>
      <c r="E832" s="3" t="s">
        <v>3118</v>
      </c>
      <c r="F832" s="3" t="s">
        <v>3281</v>
      </c>
      <c r="G832" s="2" t="s">
        <v>5329</v>
      </c>
      <c r="H832" s="2" t="s">
        <v>5344</v>
      </c>
      <c r="I832" s="3" t="s">
        <v>3295</v>
      </c>
      <c r="J832" s="3" t="s">
        <v>3334</v>
      </c>
      <c r="K832" s="3" t="s">
        <v>3335</v>
      </c>
      <c r="L832" s="3" t="s">
        <v>3123</v>
      </c>
      <c r="M832" s="3" t="s">
        <v>1985</v>
      </c>
      <c r="N832" s="2">
        <v>1544</v>
      </c>
      <c r="O832" s="3" t="s">
        <v>21</v>
      </c>
      <c r="P832" s="3" t="s">
        <v>1986</v>
      </c>
      <c r="Q832" s="2" t="s">
        <v>6227</v>
      </c>
      <c r="R832" s="3" t="s">
        <v>3336</v>
      </c>
    </row>
    <row r="833" spans="1:18" x14ac:dyDescent="0.25">
      <c r="A833" s="2">
        <v>35742</v>
      </c>
      <c r="B833" s="3" t="s">
        <v>3337</v>
      </c>
      <c r="C833" s="2" t="s">
        <v>4416</v>
      </c>
      <c r="D833" s="2" t="s">
        <v>3123</v>
      </c>
      <c r="E833" s="3" t="s">
        <v>3118</v>
      </c>
      <c r="F833" s="3" t="s">
        <v>3281</v>
      </c>
      <c r="G833" s="2" t="s">
        <v>5331</v>
      </c>
      <c r="H833" s="2" t="s">
        <v>5345</v>
      </c>
      <c r="I833" s="3" t="s">
        <v>3286</v>
      </c>
      <c r="J833" s="3" t="s">
        <v>3338</v>
      </c>
      <c r="K833" s="3" t="s">
        <v>3339</v>
      </c>
      <c r="L833" s="3" t="s">
        <v>3123</v>
      </c>
      <c r="M833" s="3" t="s">
        <v>20</v>
      </c>
      <c r="N833" s="2">
        <v>1544</v>
      </c>
      <c r="O833" s="3" t="s">
        <v>21</v>
      </c>
      <c r="P833" s="3" t="s">
        <v>22</v>
      </c>
      <c r="Q833" s="2" t="s">
        <v>6228</v>
      </c>
      <c r="R833" s="3" t="s">
        <v>3340</v>
      </c>
    </row>
    <row r="834" spans="1:18" x14ac:dyDescent="0.25">
      <c r="A834" s="2">
        <v>36553</v>
      </c>
      <c r="B834" s="3" t="s">
        <v>3341</v>
      </c>
      <c r="C834" s="2" t="s">
        <v>4417</v>
      </c>
      <c r="D834" s="2" t="s">
        <v>3123</v>
      </c>
      <c r="E834" s="3" t="s">
        <v>3118</v>
      </c>
      <c r="F834" s="3" t="s">
        <v>3281</v>
      </c>
      <c r="G834" s="2" t="s">
        <v>5346</v>
      </c>
      <c r="H834" s="2" t="s">
        <v>5347</v>
      </c>
      <c r="I834" s="3" t="s">
        <v>3342</v>
      </c>
      <c r="J834" s="3" t="s">
        <v>138</v>
      </c>
      <c r="K834" s="3" t="s">
        <v>3343</v>
      </c>
      <c r="L834" s="3" t="s">
        <v>3123</v>
      </c>
      <c r="M834" s="3" t="s">
        <v>95</v>
      </c>
      <c r="N834" s="2">
        <v>1544</v>
      </c>
      <c r="O834" s="3" t="s">
        <v>271</v>
      </c>
      <c r="P834" s="3" t="s">
        <v>97</v>
      </c>
      <c r="Q834" s="2" t="s">
        <v>6229</v>
      </c>
      <c r="R834" s="3" t="s">
        <v>3344</v>
      </c>
    </row>
    <row r="835" spans="1:18" x14ac:dyDescent="0.25">
      <c r="A835" s="2">
        <v>16306</v>
      </c>
      <c r="B835" s="3" t="s">
        <v>3345</v>
      </c>
      <c r="C835" s="2" t="s">
        <v>4418</v>
      </c>
      <c r="D835" s="2" t="s">
        <v>3123</v>
      </c>
      <c r="E835" s="3" t="s">
        <v>3118</v>
      </c>
      <c r="F835" s="3" t="s">
        <v>3281</v>
      </c>
      <c r="G835" s="2" t="s">
        <v>5331</v>
      </c>
      <c r="H835" s="2" t="s">
        <v>5348</v>
      </c>
      <c r="I835" s="3" t="s">
        <v>3346</v>
      </c>
      <c r="J835" s="3" t="s">
        <v>138</v>
      </c>
      <c r="K835" s="3" t="s">
        <v>3347</v>
      </c>
      <c r="L835" s="3" t="s">
        <v>3123</v>
      </c>
      <c r="M835" s="3" t="s">
        <v>95</v>
      </c>
      <c r="N835" s="2">
        <v>1544</v>
      </c>
      <c r="O835" s="3" t="s">
        <v>271</v>
      </c>
      <c r="P835" s="3" t="s">
        <v>97</v>
      </c>
      <c r="Q835" s="2" t="s">
        <v>6230</v>
      </c>
      <c r="R835" s="3" t="s">
        <v>3348</v>
      </c>
    </row>
    <row r="836" spans="1:18" x14ac:dyDescent="0.25">
      <c r="A836" s="2">
        <v>39627</v>
      </c>
      <c r="B836" s="3" t="s">
        <v>3349</v>
      </c>
      <c r="C836" s="2" t="s">
        <v>4419</v>
      </c>
      <c r="D836" s="2" t="s">
        <v>3123</v>
      </c>
      <c r="E836" s="3" t="s">
        <v>3118</v>
      </c>
      <c r="F836" s="3" t="s">
        <v>3281</v>
      </c>
      <c r="G836" s="2" t="s">
        <v>5331</v>
      </c>
      <c r="H836" s="2" t="s">
        <v>5349</v>
      </c>
      <c r="I836" s="3" t="s">
        <v>3350</v>
      </c>
      <c r="J836" s="3" t="s">
        <v>138</v>
      </c>
      <c r="K836" s="3" t="s">
        <v>3331</v>
      </c>
      <c r="L836" s="3" t="s">
        <v>3123</v>
      </c>
      <c r="M836" s="3" t="s">
        <v>95</v>
      </c>
      <c r="N836" s="2">
        <v>1544</v>
      </c>
      <c r="O836" s="3" t="s">
        <v>271</v>
      </c>
      <c r="P836" s="3" t="s">
        <v>97</v>
      </c>
      <c r="Q836" s="2" t="s">
        <v>6231</v>
      </c>
      <c r="R836" s="3" t="s">
        <v>3351</v>
      </c>
    </row>
    <row r="837" spans="1:18" x14ac:dyDescent="0.25">
      <c r="A837" s="2">
        <v>21842</v>
      </c>
      <c r="B837" s="3" t="s">
        <v>3352</v>
      </c>
      <c r="C837" s="2" t="s">
        <v>4420</v>
      </c>
      <c r="D837" s="2" t="s">
        <v>3123</v>
      </c>
      <c r="E837" s="3" t="s">
        <v>3118</v>
      </c>
      <c r="F837" s="3" t="s">
        <v>3281</v>
      </c>
      <c r="G837" s="2" t="s">
        <v>5346</v>
      </c>
      <c r="H837" s="2" t="s">
        <v>5350</v>
      </c>
      <c r="I837" s="3" t="s">
        <v>3353</v>
      </c>
      <c r="J837" s="3" t="s">
        <v>138</v>
      </c>
      <c r="K837" s="3" t="s">
        <v>3354</v>
      </c>
      <c r="L837" s="3" t="s">
        <v>3123</v>
      </c>
      <c r="M837" s="3" t="s">
        <v>95</v>
      </c>
      <c r="N837" s="2">
        <v>1544</v>
      </c>
      <c r="O837" s="3" t="s">
        <v>271</v>
      </c>
      <c r="P837" s="3" t="s">
        <v>97</v>
      </c>
      <c r="Q837" s="2" t="s">
        <v>6232</v>
      </c>
      <c r="R837" s="3" t="s">
        <v>3355</v>
      </c>
    </row>
    <row r="838" spans="1:18" x14ac:dyDescent="0.25">
      <c r="A838" s="2">
        <v>23959</v>
      </c>
      <c r="B838" s="3" t="s">
        <v>3356</v>
      </c>
      <c r="C838" s="2" t="s">
        <v>4421</v>
      </c>
      <c r="D838" s="2" t="s">
        <v>3123</v>
      </c>
      <c r="E838" s="3" t="s">
        <v>3118</v>
      </c>
      <c r="F838" s="3" t="s">
        <v>3281</v>
      </c>
      <c r="G838" s="2" t="s">
        <v>5329</v>
      </c>
      <c r="H838" s="2" t="s">
        <v>5351</v>
      </c>
      <c r="I838" s="3" t="s">
        <v>3357</v>
      </c>
      <c r="J838" s="3" t="s">
        <v>3358</v>
      </c>
      <c r="K838" s="3" t="s">
        <v>3359</v>
      </c>
      <c r="L838" s="3" t="s">
        <v>3123</v>
      </c>
      <c r="M838" s="3" t="s">
        <v>95</v>
      </c>
      <c r="N838" s="2">
        <v>1544</v>
      </c>
      <c r="O838" s="3" t="s">
        <v>271</v>
      </c>
      <c r="P838" s="3" t="s">
        <v>97</v>
      </c>
      <c r="Q838" s="2" t="s">
        <v>6233</v>
      </c>
      <c r="R838" s="3" t="s">
        <v>3360</v>
      </c>
    </row>
    <row r="839" spans="1:18" x14ac:dyDescent="0.25">
      <c r="A839" s="2">
        <v>17347</v>
      </c>
      <c r="B839" s="3" t="s">
        <v>3361</v>
      </c>
      <c r="C839" s="2" t="s">
        <v>4422</v>
      </c>
      <c r="D839" s="2" t="s">
        <v>3123</v>
      </c>
      <c r="E839" s="3" t="s">
        <v>3118</v>
      </c>
      <c r="F839" s="3" t="s">
        <v>3281</v>
      </c>
      <c r="G839" s="2" t="s">
        <v>5346</v>
      </c>
      <c r="H839" s="2" t="s">
        <v>5352</v>
      </c>
      <c r="I839" s="3" t="s">
        <v>3362</v>
      </c>
      <c r="J839" s="3" t="s">
        <v>138</v>
      </c>
      <c r="K839" s="3" t="s">
        <v>3363</v>
      </c>
      <c r="L839" s="3" t="s">
        <v>3123</v>
      </c>
      <c r="M839" s="3" t="s">
        <v>95</v>
      </c>
      <c r="N839" s="2">
        <v>1544</v>
      </c>
      <c r="O839" s="3" t="s">
        <v>271</v>
      </c>
      <c r="P839" s="3" t="s">
        <v>97</v>
      </c>
      <c r="Q839" s="2" t="s">
        <v>6234</v>
      </c>
      <c r="R839" s="3" t="s">
        <v>3364</v>
      </c>
    </row>
    <row r="840" spans="1:18" x14ac:dyDescent="0.25">
      <c r="A840" s="2">
        <v>22102</v>
      </c>
      <c r="B840" s="3" t="s">
        <v>3365</v>
      </c>
      <c r="C840" s="2" t="s">
        <v>4423</v>
      </c>
      <c r="D840" s="2" t="s">
        <v>3123</v>
      </c>
      <c r="E840" s="3" t="s">
        <v>3118</v>
      </c>
      <c r="F840" s="3" t="s">
        <v>3281</v>
      </c>
      <c r="G840" s="2" t="s">
        <v>5329</v>
      </c>
      <c r="H840" s="2" t="s">
        <v>5353</v>
      </c>
      <c r="I840" s="3" t="s">
        <v>3366</v>
      </c>
      <c r="J840" s="3" t="s">
        <v>3367</v>
      </c>
      <c r="K840" s="3" t="s">
        <v>3368</v>
      </c>
      <c r="L840" s="3" t="s">
        <v>3123</v>
      </c>
      <c r="M840" s="3" t="s">
        <v>95</v>
      </c>
      <c r="N840" s="2">
        <v>1544</v>
      </c>
      <c r="O840" s="3" t="s">
        <v>271</v>
      </c>
      <c r="P840" s="3" t="s">
        <v>97</v>
      </c>
      <c r="Q840" s="2" t="s">
        <v>6235</v>
      </c>
      <c r="R840" s="3" t="s">
        <v>3369</v>
      </c>
    </row>
    <row r="841" spans="1:18" x14ac:dyDescent="0.25">
      <c r="A841" s="2">
        <v>15898</v>
      </c>
      <c r="B841" s="3" t="s">
        <v>3370</v>
      </c>
      <c r="C841" s="2" t="s">
        <v>4424</v>
      </c>
      <c r="D841" s="2" t="s">
        <v>3123</v>
      </c>
      <c r="E841" s="3" t="s">
        <v>3118</v>
      </c>
      <c r="F841" s="3" t="s">
        <v>3281</v>
      </c>
      <c r="G841" s="2" t="s">
        <v>5331</v>
      </c>
      <c r="H841" s="2" t="s">
        <v>5354</v>
      </c>
      <c r="I841" s="3" t="s">
        <v>3371</v>
      </c>
      <c r="J841" s="3" t="s">
        <v>138</v>
      </c>
      <c r="K841" s="3" t="s">
        <v>3372</v>
      </c>
      <c r="L841" s="3" t="s">
        <v>3123</v>
      </c>
      <c r="M841" s="3" t="s">
        <v>95</v>
      </c>
      <c r="N841" s="2">
        <v>1544</v>
      </c>
      <c r="O841" s="3" t="s">
        <v>271</v>
      </c>
      <c r="P841" s="3" t="s">
        <v>97</v>
      </c>
      <c r="Q841" s="2" t="s">
        <v>6236</v>
      </c>
      <c r="R841" s="3" t="s">
        <v>3373</v>
      </c>
    </row>
    <row r="842" spans="1:18" x14ac:dyDescent="0.25">
      <c r="A842" s="2">
        <v>36577</v>
      </c>
      <c r="B842" s="3" t="s">
        <v>3374</v>
      </c>
      <c r="C842" s="2" t="s">
        <v>4425</v>
      </c>
      <c r="D842" s="2" t="s">
        <v>3123</v>
      </c>
      <c r="E842" s="3" t="s">
        <v>3118</v>
      </c>
      <c r="F842" s="3" t="s">
        <v>3281</v>
      </c>
      <c r="G842" s="2" t="s">
        <v>5329</v>
      </c>
      <c r="H842" s="2" t="s">
        <v>5355</v>
      </c>
      <c r="I842" s="3" t="s">
        <v>3295</v>
      </c>
      <c r="J842" s="3" t="s">
        <v>3375</v>
      </c>
      <c r="K842" s="3" t="s">
        <v>3376</v>
      </c>
      <c r="L842" s="3" t="s">
        <v>3123</v>
      </c>
      <c r="M842" s="3" t="s">
        <v>1985</v>
      </c>
      <c r="N842" s="2">
        <v>1544</v>
      </c>
      <c r="O842" s="3" t="s">
        <v>21</v>
      </c>
      <c r="P842" s="3" t="s">
        <v>1986</v>
      </c>
      <c r="Q842" s="2" t="s">
        <v>6237</v>
      </c>
      <c r="R842" s="3" t="s">
        <v>3377</v>
      </c>
    </row>
    <row r="843" spans="1:18" x14ac:dyDescent="0.25">
      <c r="A843" s="2">
        <v>54388</v>
      </c>
      <c r="B843" s="3" t="s">
        <v>3378</v>
      </c>
      <c r="C843" s="2" t="s">
        <v>4426</v>
      </c>
      <c r="D843" s="2" t="s">
        <v>3123</v>
      </c>
      <c r="E843" s="3" t="s">
        <v>3118</v>
      </c>
      <c r="F843" s="3" t="s">
        <v>3281</v>
      </c>
      <c r="G843" s="2" t="s">
        <v>5331</v>
      </c>
      <c r="H843" s="2" t="s">
        <v>5356</v>
      </c>
      <c r="I843" s="3" t="s">
        <v>3286</v>
      </c>
      <c r="J843" s="3" t="s">
        <v>293</v>
      </c>
      <c r="K843" s="3" t="s">
        <v>3379</v>
      </c>
      <c r="L843" s="3" t="s">
        <v>3123</v>
      </c>
      <c r="M843" s="3" t="s">
        <v>20</v>
      </c>
      <c r="N843" s="2">
        <v>1544</v>
      </c>
      <c r="O843" s="3" t="s">
        <v>21</v>
      </c>
      <c r="P843" s="3" t="s">
        <v>22</v>
      </c>
      <c r="Q843" s="2" t="s">
        <v>6238</v>
      </c>
      <c r="R843" s="3" t="s">
        <v>3380</v>
      </c>
    </row>
    <row r="844" spans="1:18" x14ac:dyDescent="0.25">
      <c r="A844" s="2">
        <v>14602</v>
      </c>
      <c r="B844" s="3" t="s">
        <v>3381</v>
      </c>
      <c r="C844" s="2" t="s">
        <v>4427</v>
      </c>
      <c r="D844" s="2" t="s">
        <v>3123</v>
      </c>
      <c r="E844" s="3" t="s">
        <v>3118</v>
      </c>
      <c r="F844" s="3" t="s">
        <v>3281</v>
      </c>
      <c r="G844" s="2" t="s">
        <v>5331</v>
      </c>
      <c r="H844" s="2" t="s">
        <v>5357</v>
      </c>
      <c r="I844" s="3" t="s">
        <v>3286</v>
      </c>
      <c r="J844" s="3" t="s">
        <v>3382</v>
      </c>
      <c r="K844" s="3" t="s">
        <v>3383</v>
      </c>
      <c r="L844" s="3" t="s">
        <v>3123</v>
      </c>
      <c r="M844" s="3" t="s">
        <v>20</v>
      </c>
      <c r="N844" s="2">
        <v>1544</v>
      </c>
      <c r="O844" s="3" t="s">
        <v>21</v>
      </c>
      <c r="P844" s="3" t="s">
        <v>22</v>
      </c>
      <c r="Q844" s="2" t="s">
        <v>6239</v>
      </c>
      <c r="R844" s="3" t="s">
        <v>3384</v>
      </c>
    </row>
    <row r="845" spans="1:18" x14ac:dyDescent="0.25">
      <c r="A845" s="2">
        <v>2221</v>
      </c>
      <c r="B845" s="3" t="s">
        <v>3385</v>
      </c>
      <c r="C845" s="2" t="s">
        <v>4428</v>
      </c>
      <c r="D845" s="2" t="s">
        <v>3123</v>
      </c>
      <c r="E845" s="3" t="s">
        <v>3118</v>
      </c>
      <c r="F845" s="3" t="s">
        <v>3281</v>
      </c>
      <c r="G845" s="2" t="s">
        <v>5329</v>
      </c>
      <c r="H845" s="2" t="s">
        <v>5358</v>
      </c>
      <c r="I845" s="3" t="s">
        <v>3386</v>
      </c>
      <c r="J845" s="3" t="s">
        <v>138</v>
      </c>
      <c r="K845" s="3" t="s">
        <v>3387</v>
      </c>
      <c r="L845" s="3" t="s">
        <v>3123</v>
      </c>
      <c r="M845" s="3" t="s">
        <v>95</v>
      </c>
      <c r="N845" s="2">
        <v>1544</v>
      </c>
      <c r="O845" s="3" t="s">
        <v>271</v>
      </c>
      <c r="P845" s="3" t="s">
        <v>97</v>
      </c>
      <c r="Q845" s="2" t="s">
        <v>6240</v>
      </c>
      <c r="R845" s="3" t="s">
        <v>3388</v>
      </c>
    </row>
    <row r="846" spans="1:18" x14ac:dyDescent="0.25">
      <c r="A846" s="2">
        <v>13890</v>
      </c>
      <c r="B846" s="3" t="s">
        <v>3389</v>
      </c>
      <c r="C846" s="2" t="s">
        <v>4429</v>
      </c>
      <c r="D846" s="2" t="s">
        <v>3123</v>
      </c>
      <c r="E846" s="3" t="s">
        <v>3118</v>
      </c>
      <c r="F846" s="3" t="s">
        <v>3281</v>
      </c>
      <c r="G846" s="2" t="s">
        <v>5329</v>
      </c>
      <c r="H846" s="2" t="s">
        <v>5359</v>
      </c>
      <c r="I846" s="3" t="s">
        <v>3295</v>
      </c>
      <c r="J846" s="3" t="s">
        <v>138</v>
      </c>
      <c r="K846" s="3" t="s">
        <v>3390</v>
      </c>
      <c r="L846" s="3" t="s">
        <v>3123</v>
      </c>
      <c r="M846" s="3" t="s">
        <v>1985</v>
      </c>
      <c r="N846" s="2">
        <v>1544</v>
      </c>
      <c r="O846" s="3" t="s">
        <v>244</v>
      </c>
      <c r="P846" s="3" t="s">
        <v>1986</v>
      </c>
      <c r="Q846" s="2" t="s">
        <v>6241</v>
      </c>
      <c r="R846" s="3" t="s">
        <v>3391</v>
      </c>
    </row>
    <row r="847" spans="1:18" x14ac:dyDescent="0.25">
      <c r="A847" s="2">
        <v>40830</v>
      </c>
      <c r="B847" s="3" t="s">
        <v>3392</v>
      </c>
      <c r="C847" s="2" t="s">
        <v>4430</v>
      </c>
      <c r="D847" s="2" t="s">
        <v>3123</v>
      </c>
      <c r="E847" s="3" t="s">
        <v>3118</v>
      </c>
      <c r="F847" s="3" t="s">
        <v>3281</v>
      </c>
      <c r="G847" s="2" t="s">
        <v>5329</v>
      </c>
      <c r="H847" s="2" t="s">
        <v>5360</v>
      </c>
      <c r="I847" s="3" t="s">
        <v>3393</v>
      </c>
      <c r="J847" s="3" t="s">
        <v>3394</v>
      </c>
      <c r="K847" s="3" t="s">
        <v>3395</v>
      </c>
      <c r="L847" s="3" t="s">
        <v>3123</v>
      </c>
      <c r="M847" s="3" t="s">
        <v>95</v>
      </c>
      <c r="N847" s="2">
        <v>1544</v>
      </c>
      <c r="O847" s="3" t="s">
        <v>96</v>
      </c>
      <c r="P847" s="3" t="s">
        <v>97</v>
      </c>
      <c r="Q847" s="2" t="s">
        <v>6242</v>
      </c>
      <c r="R847" s="3" t="s">
        <v>3396</v>
      </c>
    </row>
    <row r="848" spans="1:18" x14ac:dyDescent="0.25">
      <c r="A848" s="2">
        <v>22476</v>
      </c>
      <c r="B848" s="3" t="s">
        <v>3397</v>
      </c>
      <c r="C848" s="2" t="s">
        <v>4431</v>
      </c>
      <c r="D848" s="2" t="s">
        <v>3123</v>
      </c>
      <c r="E848" s="3" t="s">
        <v>3118</v>
      </c>
      <c r="F848" s="3" t="s">
        <v>3281</v>
      </c>
      <c r="G848" s="2" t="s">
        <v>5329</v>
      </c>
      <c r="H848" s="2" t="s">
        <v>5361</v>
      </c>
      <c r="I848" s="3" t="s">
        <v>3398</v>
      </c>
      <c r="J848" s="3" t="s">
        <v>138</v>
      </c>
      <c r="K848" s="3" t="s">
        <v>3399</v>
      </c>
      <c r="L848" s="3" t="s">
        <v>3123</v>
      </c>
      <c r="M848" s="3" t="s">
        <v>95</v>
      </c>
      <c r="N848" s="2">
        <v>1544</v>
      </c>
      <c r="O848" s="3" t="s">
        <v>271</v>
      </c>
      <c r="P848" s="3" t="s">
        <v>97</v>
      </c>
      <c r="Q848" s="2" t="s">
        <v>6243</v>
      </c>
      <c r="R848" s="3" t="s">
        <v>3400</v>
      </c>
    </row>
    <row r="849" spans="1:18" x14ac:dyDescent="0.25">
      <c r="A849" s="2">
        <v>38084</v>
      </c>
      <c r="B849" s="3" t="s">
        <v>3401</v>
      </c>
      <c r="C849" s="2" t="s">
        <v>4432</v>
      </c>
      <c r="D849" s="2" t="s">
        <v>3123</v>
      </c>
      <c r="E849" s="3" t="s">
        <v>3118</v>
      </c>
      <c r="F849" s="3" t="s">
        <v>3281</v>
      </c>
      <c r="G849" s="2" t="s">
        <v>5331</v>
      </c>
      <c r="H849" s="2" t="s">
        <v>5362</v>
      </c>
      <c r="I849" s="3" t="s">
        <v>3402</v>
      </c>
      <c r="J849" s="3" t="s">
        <v>3403</v>
      </c>
      <c r="K849" s="3" t="s">
        <v>3404</v>
      </c>
      <c r="L849" s="3" t="s">
        <v>3123</v>
      </c>
      <c r="M849" s="3" t="s">
        <v>95</v>
      </c>
      <c r="N849" s="2">
        <v>1544</v>
      </c>
      <c r="O849" s="3" t="s">
        <v>271</v>
      </c>
      <c r="P849" s="3" t="s">
        <v>97</v>
      </c>
      <c r="Q849" s="2" t="s">
        <v>6244</v>
      </c>
      <c r="R849" s="3" t="s">
        <v>3405</v>
      </c>
    </row>
    <row r="850" spans="1:18" x14ac:dyDescent="0.25">
      <c r="A850" s="2">
        <v>17756</v>
      </c>
      <c r="B850" s="3" t="s">
        <v>3406</v>
      </c>
      <c r="C850" s="2" t="s">
        <v>4433</v>
      </c>
      <c r="D850" s="2" t="s">
        <v>3123</v>
      </c>
      <c r="E850" s="3" t="s">
        <v>3118</v>
      </c>
      <c r="F850" s="3" t="s">
        <v>3281</v>
      </c>
      <c r="G850" s="2" t="s">
        <v>5331</v>
      </c>
      <c r="H850" s="2" t="s">
        <v>5363</v>
      </c>
      <c r="I850" s="3" t="s">
        <v>3407</v>
      </c>
      <c r="J850" s="3" t="s">
        <v>3408</v>
      </c>
      <c r="K850" s="3" t="s">
        <v>3409</v>
      </c>
      <c r="L850" s="3" t="s">
        <v>3123</v>
      </c>
      <c r="M850" s="3" t="s">
        <v>95</v>
      </c>
      <c r="N850" s="2">
        <v>1544</v>
      </c>
      <c r="O850" s="3" t="s">
        <v>271</v>
      </c>
      <c r="P850" s="3" t="s">
        <v>97</v>
      </c>
      <c r="Q850" s="2" t="s">
        <v>6245</v>
      </c>
      <c r="R850" s="3" t="s">
        <v>3410</v>
      </c>
    </row>
    <row r="851" spans="1:18" x14ac:dyDescent="0.25">
      <c r="A851" s="2">
        <v>17886</v>
      </c>
      <c r="B851" s="3" t="s">
        <v>3411</v>
      </c>
      <c r="C851" s="2" t="s">
        <v>4434</v>
      </c>
      <c r="D851" s="2" t="s">
        <v>3123</v>
      </c>
      <c r="E851" s="3" t="s">
        <v>3118</v>
      </c>
      <c r="F851" s="3" t="s">
        <v>3281</v>
      </c>
      <c r="G851" s="2" t="s">
        <v>5346</v>
      </c>
      <c r="H851" s="2" t="s">
        <v>5364</v>
      </c>
      <c r="I851" s="3" t="s">
        <v>3353</v>
      </c>
      <c r="J851" s="3" t="s">
        <v>138</v>
      </c>
      <c r="K851" s="3" t="s">
        <v>3412</v>
      </c>
      <c r="L851" s="3" t="s">
        <v>3123</v>
      </c>
      <c r="M851" s="3" t="s">
        <v>95</v>
      </c>
      <c r="N851" s="2">
        <v>1544</v>
      </c>
      <c r="O851" s="3" t="s">
        <v>271</v>
      </c>
      <c r="P851" s="3" t="s">
        <v>97</v>
      </c>
      <c r="Q851" s="2" t="s">
        <v>6246</v>
      </c>
      <c r="R851" s="3" t="s">
        <v>3413</v>
      </c>
    </row>
    <row r="852" spans="1:18" x14ac:dyDescent="0.25">
      <c r="A852" s="2">
        <v>18842</v>
      </c>
      <c r="B852" s="3" t="s">
        <v>3414</v>
      </c>
      <c r="C852" s="2" t="s">
        <v>4435</v>
      </c>
      <c r="D852" s="2" t="s">
        <v>3123</v>
      </c>
      <c r="E852" s="3" t="s">
        <v>3118</v>
      </c>
      <c r="F852" s="3" t="s">
        <v>3281</v>
      </c>
      <c r="G852" s="2" t="s">
        <v>5329</v>
      </c>
      <c r="H852" s="2" t="s">
        <v>5365</v>
      </c>
      <c r="I852" s="3" t="s">
        <v>3415</v>
      </c>
      <c r="J852" s="3" t="s">
        <v>3416</v>
      </c>
      <c r="K852" s="3" t="s">
        <v>3417</v>
      </c>
      <c r="L852" s="3" t="s">
        <v>3123</v>
      </c>
      <c r="M852" s="3" t="s">
        <v>95</v>
      </c>
      <c r="N852" s="2">
        <v>1544</v>
      </c>
      <c r="O852" s="3" t="s">
        <v>271</v>
      </c>
      <c r="P852" s="3" t="s">
        <v>97</v>
      </c>
      <c r="Q852" s="2" t="s">
        <v>6247</v>
      </c>
      <c r="R852" s="3" t="s">
        <v>3418</v>
      </c>
    </row>
    <row r="853" spans="1:18" x14ac:dyDescent="0.25">
      <c r="A853" s="2">
        <v>38742</v>
      </c>
      <c r="B853" s="3" t="s">
        <v>3419</v>
      </c>
      <c r="C853" s="2" t="s">
        <v>4436</v>
      </c>
      <c r="D853" s="2" t="s">
        <v>3123</v>
      </c>
      <c r="E853" s="3" t="s">
        <v>3118</v>
      </c>
      <c r="F853" s="3" t="s">
        <v>3281</v>
      </c>
      <c r="G853" s="2" t="s">
        <v>5329</v>
      </c>
      <c r="H853" s="2" t="s">
        <v>5366</v>
      </c>
      <c r="I853" s="3" t="s">
        <v>3420</v>
      </c>
      <c r="J853" s="3" t="s">
        <v>3421</v>
      </c>
      <c r="K853" s="3" t="s">
        <v>3422</v>
      </c>
      <c r="L853" s="3" t="s">
        <v>3123</v>
      </c>
      <c r="M853" s="3" t="s">
        <v>95</v>
      </c>
      <c r="N853" s="2">
        <v>1544</v>
      </c>
      <c r="O853" s="3" t="s">
        <v>271</v>
      </c>
      <c r="P853" s="3" t="s">
        <v>97</v>
      </c>
      <c r="Q853" s="2" t="s">
        <v>6248</v>
      </c>
      <c r="R853" s="3" t="s">
        <v>3423</v>
      </c>
    </row>
    <row r="854" spans="1:18" x14ac:dyDescent="0.25">
      <c r="A854" s="2">
        <v>34835</v>
      </c>
      <c r="B854" s="3" t="s">
        <v>3424</v>
      </c>
      <c r="C854" s="2" t="s">
        <v>4437</v>
      </c>
      <c r="D854" s="2" t="s">
        <v>3123</v>
      </c>
      <c r="E854" s="3" t="s">
        <v>3118</v>
      </c>
      <c r="F854" s="3" t="s">
        <v>3281</v>
      </c>
      <c r="G854" s="2" t="s">
        <v>5067</v>
      </c>
      <c r="H854" s="2" t="s">
        <v>5367</v>
      </c>
      <c r="I854" s="3" t="s">
        <v>3425</v>
      </c>
      <c r="J854" s="3" t="s">
        <v>3426</v>
      </c>
      <c r="K854" s="3" t="s">
        <v>3427</v>
      </c>
      <c r="L854" s="3" t="s">
        <v>3123</v>
      </c>
      <c r="M854" s="3" t="s">
        <v>95</v>
      </c>
      <c r="N854" s="2">
        <v>1544</v>
      </c>
      <c r="O854" s="3" t="s">
        <v>271</v>
      </c>
      <c r="P854" s="3" t="s">
        <v>97</v>
      </c>
      <c r="Q854" s="2" t="s">
        <v>6249</v>
      </c>
      <c r="R854" s="3" t="s">
        <v>3428</v>
      </c>
    </row>
    <row r="855" spans="1:18" x14ac:dyDescent="0.25">
      <c r="A855" s="2">
        <v>27181</v>
      </c>
      <c r="B855" s="3" t="s">
        <v>3429</v>
      </c>
      <c r="C855" s="2" t="s">
        <v>4438</v>
      </c>
      <c r="D855" s="2" t="s">
        <v>3123</v>
      </c>
      <c r="E855" s="3" t="s">
        <v>3118</v>
      </c>
      <c r="F855" s="3" t="s">
        <v>3430</v>
      </c>
      <c r="G855" s="2" t="s">
        <v>5318</v>
      </c>
      <c r="H855" s="2" t="s">
        <v>5368</v>
      </c>
      <c r="I855" s="3" t="s">
        <v>3431</v>
      </c>
      <c r="J855" s="3" t="s">
        <v>138</v>
      </c>
      <c r="K855" s="3" t="s">
        <v>3432</v>
      </c>
      <c r="L855" s="3" t="s">
        <v>3123</v>
      </c>
      <c r="M855" s="3" t="s">
        <v>95</v>
      </c>
      <c r="N855" s="2">
        <v>1168</v>
      </c>
      <c r="O855" s="3" t="s">
        <v>96</v>
      </c>
      <c r="P855" s="3" t="s">
        <v>97</v>
      </c>
      <c r="Q855" s="2" t="s">
        <v>6250</v>
      </c>
      <c r="R855" s="3" t="s">
        <v>3433</v>
      </c>
    </row>
    <row r="856" spans="1:18" x14ac:dyDescent="0.25">
      <c r="A856" s="2">
        <v>17018</v>
      </c>
      <c r="B856" s="3" t="s">
        <v>3434</v>
      </c>
      <c r="C856" s="2" t="s">
        <v>4439</v>
      </c>
      <c r="D856" s="2" t="s">
        <v>3123</v>
      </c>
      <c r="E856" s="3" t="s">
        <v>3118</v>
      </c>
      <c r="F856" s="3" t="s">
        <v>3430</v>
      </c>
      <c r="G856" s="2" t="s">
        <v>5318</v>
      </c>
      <c r="H856" s="2" t="s">
        <v>5369</v>
      </c>
      <c r="I856" s="3" t="s">
        <v>3435</v>
      </c>
      <c r="J856" s="3" t="s">
        <v>3436</v>
      </c>
      <c r="K856" s="3" t="s">
        <v>3437</v>
      </c>
      <c r="L856" s="3" t="s">
        <v>3123</v>
      </c>
      <c r="M856" s="3" t="s">
        <v>95</v>
      </c>
      <c r="N856" s="2">
        <v>1168</v>
      </c>
      <c r="O856" s="3" t="s">
        <v>96</v>
      </c>
      <c r="P856" s="3" t="s">
        <v>97</v>
      </c>
      <c r="Q856" s="2" t="s">
        <v>6251</v>
      </c>
      <c r="R856" s="3" t="s">
        <v>3438</v>
      </c>
    </row>
    <row r="857" spans="1:18" x14ac:dyDescent="0.25">
      <c r="A857" s="2">
        <v>35744</v>
      </c>
      <c r="B857" s="3" t="s">
        <v>3439</v>
      </c>
      <c r="C857" s="2" t="s">
        <v>4440</v>
      </c>
      <c r="D857" s="2" t="s">
        <v>3123</v>
      </c>
      <c r="E857" s="3" t="s">
        <v>3118</v>
      </c>
      <c r="F857" s="3" t="s">
        <v>3430</v>
      </c>
      <c r="G857" s="2" t="s">
        <v>5067</v>
      </c>
      <c r="H857" s="2" t="s">
        <v>5370</v>
      </c>
      <c r="I857" s="3" t="s">
        <v>3440</v>
      </c>
      <c r="J857" s="3" t="s">
        <v>3441</v>
      </c>
      <c r="K857" s="3" t="s">
        <v>3442</v>
      </c>
      <c r="L857" s="3" t="s">
        <v>3123</v>
      </c>
      <c r="M857" s="3" t="s">
        <v>95</v>
      </c>
      <c r="N857" s="2">
        <v>1168</v>
      </c>
      <c r="O857" s="3" t="s">
        <v>96</v>
      </c>
      <c r="P857" s="3" t="s">
        <v>97</v>
      </c>
      <c r="Q857" s="2" t="s">
        <v>6252</v>
      </c>
      <c r="R857" s="3" t="s">
        <v>3443</v>
      </c>
    </row>
    <row r="858" spans="1:18" x14ac:dyDescent="0.25">
      <c r="A858" s="2">
        <v>16311</v>
      </c>
      <c r="B858" s="3" t="s">
        <v>3444</v>
      </c>
      <c r="C858" s="2" t="s">
        <v>4441</v>
      </c>
      <c r="D858" s="2" t="s">
        <v>3123</v>
      </c>
      <c r="E858" s="3" t="s">
        <v>3118</v>
      </c>
      <c r="F858" s="3" t="s">
        <v>3430</v>
      </c>
      <c r="G858" s="2" t="s">
        <v>5371</v>
      </c>
      <c r="H858" s="2" t="s">
        <v>5372</v>
      </c>
      <c r="I858" s="3" t="s">
        <v>3445</v>
      </c>
      <c r="J858" s="3" t="s">
        <v>3446</v>
      </c>
      <c r="K858" s="3" t="s">
        <v>3447</v>
      </c>
      <c r="L858" s="3" t="s">
        <v>3123</v>
      </c>
      <c r="M858" s="3" t="s">
        <v>95</v>
      </c>
      <c r="N858" s="2">
        <v>1168</v>
      </c>
      <c r="O858" s="3" t="s">
        <v>96</v>
      </c>
      <c r="P858" s="3" t="s">
        <v>97</v>
      </c>
      <c r="Q858" s="2" t="s">
        <v>6253</v>
      </c>
      <c r="R858" s="3" t="s">
        <v>3448</v>
      </c>
    </row>
    <row r="859" spans="1:18" x14ac:dyDescent="0.25">
      <c r="A859" s="2">
        <v>25252</v>
      </c>
      <c r="B859" s="3" t="s">
        <v>3449</v>
      </c>
      <c r="C859" s="2" t="s">
        <v>4442</v>
      </c>
      <c r="D859" s="2" t="s">
        <v>3123</v>
      </c>
      <c r="E859" s="3" t="s">
        <v>3118</v>
      </c>
      <c r="F859" s="3" t="s">
        <v>3430</v>
      </c>
      <c r="G859" s="2" t="s">
        <v>5371</v>
      </c>
      <c r="H859" s="2" t="s">
        <v>5373</v>
      </c>
      <c r="I859" s="3" t="s">
        <v>3450</v>
      </c>
      <c r="J859" s="3" t="s">
        <v>3451</v>
      </c>
      <c r="K859" s="3" t="s">
        <v>3452</v>
      </c>
      <c r="L859" s="3" t="s">
        <v>3123</v>
      </c>
      <c r="M859" s="3" t="s">
        <v>95</v>
      </c>
      <c r="N859" s="2">
        <v>1168</v>
      </c>
      <c r="O859" s="3" t="s">
        <v>96</v>
      </c>
      <c r="P859" s="3" t="s">
        <v>97</v>
      </c>
      <c r="Q859" s="2" t="s">
        <v>6254</v>
      </c>
      <c r="R859" s="3" t="s">
        <v>3453</v>
      </c>
    </row>
    <row r="860" spans="1:18" x14ac:dyDescent="0.25">
      <c r="A860" s="2">
        <v>41238</v>
      </c>
      <c r="B860" s="3" t="s">
        <v>3454</v>
      </c>
      <c r="C860" s="2" t="s">
        <v>4443</v>
      </c>
      <c r="D860" s="2" t="s">
        <v>3123</v>
      </c>
      <c r="E860" s="3" t="s">
        <v>3118</v>
      </c>
      <c r="F860" s="3" t="s">
        <v>3430</v>
      </c>
      <c r="G860" s="2" t="s">
        <v>5371</v>
      </c>
      <c r="H860" s="2" t="s">
        <v>5374</v>
      </c>
      <c r="I860" s="3" t="s">
        <v>3455</v>
      </c>
      <c r="J860" s="3" t="s">
        <v>3456</v>
      </c>
      <c r="K860" s="3" t="s">
        <v>3457</v>
      </c>
      <c r="L860" s="3" t="s">
        <v>3123</v>
      </c>
      <c r="M860" s="3" t="s">
        <v>95</v>
      </c>
      <c r="N860" s="2">
        <v>1168</v>
      </c>
      <c r="O860" s="3" t="s">
        <v>96</v>
      </c>
      <c r="P860" s="3" t="s">
        <v>97</v>
      </c>
      <c r="Q860" s="2" t="s">
        <v>6255</v>
      </c>
      <c r="R860" s="3" t="s">
        <v>3458</v>
      </c>
    </row>
    <row r="861" spans="1:18" x14ac:dyDescent="0.25">
      <c r="A861" s="2">
        <v>14154</v>
      </c>
      <c r="B861" s="3" t="s">
        <v>3459</v>
      </c>
      <c r="C861" s="2" t="s">
        <v>4444</v>
      </c>
      <c r="D861" s="2" t="s">
        <v>3123</v>
      </c>
      <c r="E861" s="3" t="s">
        <v>3118</v>
      </c>
      <c r="F861" s="3" t="s">
        <v>3430</v>
      </c>
      <c r="G861" s="2" t="s">
        <v>5318</v>
      </c>
      <c r="H861" s="2" t="s">
        <v>5375</v>
      </c>
      <c r="I861" s="3" t="s">
        <v>3435</v>
      </c>
      <c r="J861" s="3" t="s">
        <v>3460</v>
      </c>
      <c r="K861" s="3" t="s">
        <v>3461</v>
      </c>
      <c r="L861" s="3" t="s">
        <v>3123</v>
      </c>
      <c r="M861" s="3" t="s">
        <v>95</v>
      </c>
      <c r="N861" s="2">
        <v>1168</v>
      </c>
      <c r="O861" s="3" t="s">
        <v>96</v>
      </c>
      <c r="P861" s="3" t="s">
        <v>97</v>
      </c>
      <c r="Q861" s="2" t="s">
        <v>6256</v>
      </c>
      <c r="R861" s="3" t="s">
        <v>3462</v>
      </c>
    </row>
    <row r="862" spans="1:18" x14ac:dyDescent="0.25">
      <c r="A862" s="2">
        <v>23975</v>
      </c>
      <c r="B862" s="3" t="s">
        <v>3463</v>
      </c>
      <c r="C862" s="2" t="s">
        <v>4445</v>
      </c>
      <c r="D862" s="2" t="s">
        <v>3123</v>
      </c>
      <c r="E862" s="3" t="s">
        <v>3118</v>
      </c>
      <c r="F862" s="3" t="s">
        <v>3430</v>
      </c>
      <c r="G862" s="2" t="s">
        <v>5318</v>
      </c>
      <c r="H862" s="2" t="s">
        <v>5376</v>
      </c>
      <c r="I862" s="3" t="s">
        <v>3435</v>
      </c>
      <c r="J862" s="3" t="s">
        <v>301</v>
      </c>
      <c r="K862" s="3" t="s">
        <v>3464</v>
      </c>
      <c r="L862" s="3" t="s">
        <v>3123</v>
      </c>
      <c r="M862" s="3" t="s">
        <v>95</v>
      </c>
      <c r="N862" s="2">
        <v>1168</v>
      </c>
      <c r="O862" s="3" t="s">
        <v>96</v>
      </c>
      <c r="P862" s="3" t="s">
        <v>97</v>
      </c>
      <c r="Q862" s="2" t="s">
        <v>6257</v>
      </c>
      <c r="R862" s="3" t="s">
        <v>3465</v>
      </c>
    </row>
    <row r="863" spans="1:18" x14ac:dyDescent="0.25">
      <c r="A863" s="2">
        <v>14871</v>
      </c>
      <c r="B863" s="3" t="s">
        <v>3466</v>
      </c>
      <c r="C863" s="2" t="s">
        <v>4446</v>
      </c>
      <c r="D863" s="2" t="s">
        <v>3123</v>
      </c>
      <c r="E863" s="3" t="s">
        <v>3118</v>
      </c>
      <c r="F863" s="3" t="s">
        <v>3430</v>
      </c>
      <c r="G863" s="2" t="s">
        <v>5371</v>
      </c>
      <c r="H863" s="2" t="s">
        <v>5377</v>
      </c>
      <c r="I863" s="3" t="s">
        <v>3467</v>
      </c>
      <c r="J863" s="3" t="s">
        <v>3468</v>
      </c>
      <c r="K863" s="3" t="s">
        <v>3469</v>
      </c>
      <c r="L863" s="3" t="s">
        <v>3123</v>
      </c>
      <c r="M863" s="3" t="s">
        <v>95</v>
      </c>
      <c r="N863" s="2">
        <v>1168</v>
      </c>
      <c r="O863" s="3" t="s">
        <v>96</v>
      </c>
      <c r="P863" s="3" t="s">
        <v>97</v>
      </c>
      <c r="Q863" s="2" t="s">
        <v>6258</v>
      </c>
      <c r="R863" s="3" t="s">
        <v>3470</v>
      </c>
    </row>
    <row r="864" spans="1:18" x14ac:dyDescent="0.25">
      <c r="A864" s="2">
        <v>22117</v>
      </c>
      <c r="B864" s="3" t="s">
        <v>3471</v>
      </c>
      <c r="C864" s="2" t="s">
        <v>4447</v>
      </c>
      <c r="D864" s="2" t="s">
        <v>3123</v>
      </c>
      <c r="E864" s="3" t="s">
        <v>3118</v>
      </c>
      <c r="F864" s="3" t="s">
        <v>3430</v>
      </c>
      <c r="G864" s="2" t="s">
        <v>5318</v>
      </c>
      <c r="H864" s="2" t="s">
        <v>5378</v>
      </c>
      <c r="I864" s="3" t="s">
        <v>3472</v>
      </c>
      <c r="J864" s="3" t="s">
        <v>138</v>
      </c>
      <c r="K864" s="3" t="s">
        <v>3473</v>
      </c>
      <c r="L864" s="3" t="s">
        <v>3123</v>
      </c>
      <c r="M864" s="3" t="s">
        <v>95</v>
      </c>
      <c r="N864" s="2">
        <v>1168</v>
      </c>
      <c r="O864" s="3" t="s">
        <v>96</v>
      </c>
      <c r="P864" s="3" t="s">
        <v>97</v>
      </c>
      <c r="Q864" s="2" t="s">
        <v>6259</v>
      </c>
      <c r="R864" s="3" t="s">
        <v>3474</v>
      </c>
    </row>
    <row r="865" spans="1:18" x14ac:dyDescent="0.25">
      <c r="A865" s="2">
        <v>22464</v>
      </c>
      <c r="B865" s="3" t="s">
        <v>3475</v>
      </c>
      <c r="C865" s="2" t="s">
        <v>4448</v>
      </c>
      <c r="D865" s="2" t="s">
        <v>3123</v>
      </c>
      <c r="E865" s="3" t="s">
        <v>3118</v>
      </c>
      <c r="F865" s="3" t="s">
        <v>3430</v>
      </c>
      <c r="G865" s="2" t="s">
        <v>5371</v>
      </c>
      <c r="H865" s="2" t="s">
        <v>5379</v>
      </c>
      <c r="I865" s="3" t="s">
        <v>3476</v>
      </c>
      <c r="J865" s="3" t="s">
        <v>865</v>
      </c>
      <c r="K865" s="3" t="s">
        <v>3477</v>
      </c>
      <c r="L865" s="3" t="s">
        <v>3123</v>
      </c>
      <c r="M865" s="3" t="s">
        <v>1985</v>
      </c>
      <c r="N865" s="2">
        <v>1168</v>
      </c>
      <c r="O865" s="3" t="s">
        <v>244</v>
      </c>
      <c r="P865" s="3" t="s">
        <v>1986</v>
      </c>
      <c r="Q865" s="2" t="s">
        <v>6260</v>
      </c>
      <c r="R865" s="3" t="s">
        <v>3478</v>
      </c>
    </row>
    <row r="866" spans="1:18" x14ac:dyDescent="0.25">
      <c r="A866" s="2">
        <v>21317</v>
      </c>
      <c r="B866" s="3" t="s">
        <v>3479</v>
      </c>
      <c r="C866" s="2" t="s">
        <v>4449</v>
      </c>
      <c r="D866" s="2" t="s">
        <v>3123</v>
      </c>
      <c r="E866" s="3" t="s">
        <v>3118</v>
      </c>
      <c r="F866" s="3" t="s">
        <v>3430</v>
      </c>
      <c r="G866" s="2" t="s">
        <v>5371</v>
      </c>
      <c r="H866" s="2" t="s">
        <v>5380</v>
      </c>
      <c r="I866" s="3" t="s">
        <v>3480</v>
      </c>
      <c r="J866" s="3" t="s">
        <v>138</v>
      </c>
      <c r="K866" s="3" t="s">
        <v>3481</v>
      </c>
      <c r="L866" s="3" t="s">
        <v>3123</v>
      </c>
      <c r="M866" s="3" t="s">
        <v>95</v>
      </c>
      <c r="N866" s="2">
        <v>1168</v>
      </c>
      <c r="O866" s="3" t="s">
        <v>96</v>
      </c>
      <c r="P866" s="3" t="s">
        <v>97</v>
      </c>
      <c r="Q866" s="2" t="s">
        <v>6261</v>
      </c>
      <c r="R866" s="3" t="s">
        <v>3482</v>
      </c>
    </row>
    <row r="867" spans="1:18" x14ac:dyDescent="0.25">
      <c r="A867" s="2">
        <v>15660</v>
      </c>
      <c r="B867" s="3" t="s">
        <v>3483</v>
      </c>
      <c r="C867" s="2" t="s">
        <v>4450</v>
      </c>
      <c r="D867" s="2" t="s">
        <v>3123</v>
      </c>
      <c r="E867" s="3" t="s">
        <v>3118</v>
      </c>
      <c r="F867" s="3" t="s">
        <v>3430</v>
      </c>
      <c r="G867" s="2" t="s">
        <v>5371</v>
      </c>
      <c r="H867" s="2" t="s">
        <v>5381</v>
      </c>
      <c r="I867" s="3" t="s">
        <v>3467</v>
      </c>
      <c r="J867" s="3" t="s">
        <v>1698</v>
      </c>
      <c r="K867" s="3" t="s">
        <v>3484</v>
      </c>
      <c r="L867" s="3" t="s">
        <v>3123</v>
      </c>
      <c r="M867" s="3" t="s">
        <v>95</v>
      </c>
      <c r="N867" s="2">
        <v>1168</v>
      </c>
      <c r="O867" s="3" t="s">
        <v>96</v>
      </c>
      <c r="P867" s="3" t="s">
        <v>97</v>
      </c>
      <c r="Q867" s="2" t="s">
        <v>6262</v>
      </c>
      <c r="R867" s="3" t="s">
        <v>3485</v>
      </c>
    </row>
    <row r="868" spans="1:18" x14ac:dyDescent="0.25">
      <c r="A868" s="2">
        <v>17110</v>
      </c>
      <c r="B868" s="3" t="s">
        <v>3486</v>
      </c>
      <c r="C868" s="2" t="s">
        <v>4451</v>
      </c>
      <c r="D868" s="2" t="s">
        <v>3123</v>
      </c>
      <c r="E868" s="3" t="s">
        <v>3118</v>
      </c>
      <c r="F868" s="3" t="s">
        <v>3430</v>
      </c>
      <c r="G868" s="2" t="s">
        <v>5371</v>
      </c>
      <c r="H868" s="2" t="s">
        <v>5382</v>
      </c>
      <c r="I868" s="3" t="s">
        <v>3476</v>
      </c>
      <c r="J868" s="3" t="s">
        <v>1727</v>
      </c>
      <c r="K868" s="3" t="s">
        <v>3487</v>
      </c>
      <c r="L868" s="3" t="s">
        <v>3123</v>
      </c>
      <c r="M868" s="3" t="s">
        <v>1985</v>
      </c>
      <c r="N868" s="2">
        <v>1168</v>
      </c>
      <c r="O868" s="3" t="s">
        <v>244</v>
      </c>
      <c r="P868" s="3" t="s">
        <v>1986</v>
      </c>
      <c r="Q868" s="2" t="s">
        <v>6263</v>
      </c>
      <c r="R868" s="3" t="s">
        <v>3488</v>
      </c>
    </row>
    <row r="869" spans="1:18" x14ac:dyDescent="0.25">
      <c r="A869" s="2">
        <v>25679</v>
      </c>
      <c r="B869" s="3" t="s">
        <v>3489</v>
      </c>
      <c r="C869" s="2" t="s">
        <v>4452</v>
      </c>
      <c r="D869" s="2" t="s">
        <v>3123</v>
      </c>
      <c r="E869" s="3" t="s">
        <v>3118</v>
      </c>
      <c r="F869" s="3" t="s">
        <v>3430</v>
      </c>
      <c r="G869" s="2" t="s">
        <v>5371</v>
      </c>
      <c r="H869" s="2" t="s">
        <v>5383</v>
      </c>
      <c r="I869" s="3" t="s">
        <v>3490</v>
      </c>
      <c r="J869" s="3" t="s">
        <v>138</v>
      </c>
      <c r="K869" s="3" t="s">
        <v>3491</v>
      </c>
      <c r="L869" s="3" t="s">
        <v>3123</v>
      </c>
      <c r="M869" s="3" t="s">
        <v>95</v>
      </c>
      <c r="N869" s="2">
        <v>1168</v>
      </c>
      <c r="O869" s="3" t="s">
        <v>96</v>
      </c>
      <c r="P869" s="3" t="s">
        <v>97</v>
      </c>
      <c r="Q869" s="2" t="s">
        <v>6264</v>
      </c>
      <c r="R869" s="3" t="s">
        <v>3492</v>
      </c>
    </row>
    <row r="870" spans="1:18" x14ac:dyDescent="0.25">
      <c r="A870" s="2">
        <v>41280</v>
      </c>
      <c r="B870" s="3" t="s">
        <v>3493</v>
      </c>
      <c r="C870" s="2" t="s">
        <v>4453</v>
      </c>
      <c r="D870" s="2" t="s">
        <v>3123</v>
      </c>
      <c r="E870" s="3" t="s">
        <v>3118</v>
      </c>
      <c r="F870" s="3" t="s">
        <v>3430</v>
      </c>
      <c r="G870" s="2" t="s">
        <v>5098</v>
      </c>
      <c r="H870" s="2" t="s">
        <v>5384</v>
      </c>
      <c r="I870" s="3" t="s">
        <v>3494</v>
      </c>
      <c r="J870" s="3" t="s">
        <v>3495</v>
      </c>
      <c r="K870" s="3" t="s">
        <v>3496</v>
      </c>
      <c r="L870" s="3" t="s">
        <v>3123</v>
      </c>
      <c r="M870" s="3" t="s">
        <v>95</v>
      </c>
      <c r="N870" s="2">
        <v>1168</v>
      </c>
      <c r="O870" s="3" t="s">
        <v>96</v>
      </c>
      <c r="P870" s="3" t="s">
        <v>97</v>
      </c>
      <c r="Q870" s="2" t="s">
        <v>6265</v>
      </c>
      <c r="R870" s="3" t="s">
        <v>3497</v>
      </c>
    </row>
    <row r="871" spans="1:18" x14ac:dyDescent="0.25">
      <c r="A871" s="2">
        <v>41422</v>
      </c>
      <c r="B871" s="3" t="s">
        <v>3498</v>
      </c>
      <c r="C871" s="2" t="s">
        <v>4454</v>
      </c>
      <c r="D871" s="2" t="s">
        <v>3123</v>
      </c>
      <c r="E871" s="3" t="s">
        <v>3118</v>
      </c>
      <c r="F871" s="3" t="s">
        <v>3430</v>
      </c>
      <c r="G871" s="2" t="s">
        <v>5318</v>
      </c>
      <c r="H871" s="2" t="s">
        <v>5385</v>
      </c>
      <c r="I871" s="3" t="s">
        <v>3499</v>
      </c>
      <c r="J871" s="3" t="s">
        <v>3500</v>
      </c>
      <c r="K871" s="3" t="s">
        <v>3501</v>
      </c>
      <c r="L871" s="3" t="s">
        <v>3123</v>
      </c>
      <c r="M871" s="3" t="s">
        <v>95</v>
      </c>
      <c r="N871" s="2">
        <v>1168</v>
      </c>
      <c r="O871" s="3" t="s">
        <v>96</v>
      </c>
      <c r="P871" s="3" t="s">
        <v>97</v>
      </c>
      <c r="Q871" s="2" t="s">
        <v>6266</v>
      </c>
      <c r="R871" s="3" t="s">
        <v>3502</v>
      </c>
    </row>
    <row r="872" spans="1:18" x14ac:dyDescent="0.25">
      <c r="A872" s="2">
        <v>31170</v>
      </c>
      <c r="B872" s="3" t="s">
        <v>3503</v>
      </c>
      <c r="C872" s="2" t="s">
        <v>4455</v>
      </c>
      <c r="D872" s="2" t="s">
        <v>3123</v>
      </c>
      <c r="E872" s="3" t="s">
        <v>3118</v>
      </c>
      <c r="F872" s="3" t="s">
        <v>3430</v>
      </c>
      <c r="G872" s="2" t="s">
        <v>5318</v>
      </c>
      <c r="H872" s="2" t="s">
        <v>5386</v>
      </c>
      <c r="I872" s="3" t="s">
        <v>3435</v>
      </c>
      <c r="J872" s="3" t="s">
        <v>3460</v>
      </c>
      <c r="K872" s="3" t="s">
        <v>3504</v>
      </c>
      <c r="L872" s="3" t="s">
        <v>3123</v>
      </c>
      <c r="M872" s="3" t="s">
        <v>95</v>
      </c>
      <c r="N872" s="2">
        <v>1168</v>
      </c>
      <c r="O872" s="3" t="s">
        <v>96</v>
      </c>
      <c r="P872" s="3" t="s">
        <v>97</v>
      </c>
      <c r="Q872" s="2" t="s">
        <v>6267</v>
      </c>
      <c r="R872" s="3" t="s">
        <v>3505</v>
      </c>
    </row>
    <row r="873" spans="1:18" x14ac:dyDescent="0.25">
      <c r="A873" s="2">
        <v>35340</v>
      </c>
      <c r="B873" s="3" t="s">
        <v>3506</v>
      </c>
      <c r="C873" s="2" t="s">
        <v>4456</v>
      </c>
      <c r="D873" s="2" t="s">
        <v>3123</v>
      </c>
      <c r="E873" s="3" t="s">
        <v>3118</v>
      </c>
      <c r="F873" s="3" t="s">
        <v>3430</v>
      </c>
      <c r="G873" s="2" t="s">
        <v>5318</v>
      </c>
      <c r="H873" s="2" t="s">
        <v>5387</v>
      </c>
      <c r="I873" s="3" t="s">
        <v>3507</v>
      </c>
      <c r="J873" s="3" t="s">
        <v>1157</v>
      </c>
      <c r="K873" s="3" t="s">
        <v>3508</v>
      </c>
      <c r="L873" s="3" t="s">
        <v>3123</v>
      </c>
      <c r="M873" s="3" t="s">
        <v>95</v>
      </c>
      <c r="N873" s="2">
        <v>1168</v>
      </c>
      <c r="O873" s="3" t="s">
        <v>96</v>
      </c>
      <c r="P873" s="3" t="s">
        <v>97</v>
      </c>
      <c r="Q873" s="2" t="s">
        <v>6268</v>
      </c>
      <c r="R873" s="3" t="s">
        <v>3509</v>
      </c>
    </row>
    <row r="874" spans="1:18" x14ac:dyDescent="0.25">
      <c r="A874" s="2">
        <v>21319</v>
      </c>
      <c r="B874" s="3" t="s">
        <v>3510</v>
      </c>
      <c r="C874" s="2" t="s">
        <v>4457</v>
      </c>
      <c r="D874" s="2" t="s">
        <v>3123</v>
      </c>
      <c r="E874" s="3" t="s">
        <v>3118</v>
      </c>
      <c r="F874" s="3" t="s">
        <v>3430</v>
      </c>
      <c r="G874" s="2" t="s">
        <v>4586</v>
      </c>
      <c r="H874" s="2" t="s">
        <v>5388</v>
      </c>
      <c r="I874" s="3" t="s">
        <v>3511</v>
      </c>
      <c r="J874" s="3" t="s">
        <v>138</v>
      </c>
      <c r="K874" s="3" t="s">
        <v>3512</v>
      </c>
      <c r="L874" s="3" t="s">
        <v>3123</v>
      </c>
      <c r="M874" s="3" t="s">
        <v>95</v>
      </c>
      <c r="N874" s="2">
        <v>1168</v>
      </c>
      <c r="O874" s="3" t="s">
        <v>96</v>
      </c>
      <c r="P874" s="3" t="s">
        <v>97</v>
      </c>
      <c r="Q874" s="2" t="s">
        <v>6269</v>
      </c>
      <c r="R874" s="3" t="s">
        <v>3513</v>
      </c>
    </row>
    <row r="875" spans="1:18" x14ac:dyDescent="0.25">
      <c r="A875" s="2">
        <v>13301</v>
      </c>
      <c r="B875" s="3" t="s">
        <v>3514</v>
      </c>
      <c r="C875" s="2" t="s">
        <v>4458</v>
      </c>
      <c r="D875" s="2" t="s">
        <v>3123</v>
      </c>
      <c r="E875" s="3" t="s">
        <v>3118</v>
      </c>
      <c r="F875" s="3" t="s">
        <v>3430</v>
      </c>
      <c r="G875" s="2" t="s">
        <v>5371</v>
      </c>
      <c r="H875" s="2" t="s">
        <v>5389</v>
      </c>
      <c r="I875" s="3" t="s">
        <v>3490</v>
      </c>
      <c r="J875" s="3" t="s">
        <v>138</v>
      </c>
      <c r="K875" s="3" t="s">
        <v>3515</v>
      </c>
      <c r="L875" s="3" t="s">
        <v>3123</v>
      </c>
      <c r="M875" s="3" t="s">
        <v>95</v>
      </c>
      <c r="N875" s="2">
        <v>1168</v>
      </c>
      <c r="O875" s="3" t="s">
        <v>96</v>
      </c>
      <c r="P875" s="3" t="s">
        <v>97</v>
      </c>
      <c r="Q875" s="2" t="s">
        <v>6270</v>
      </c>
      <c r="R875" s="3" t="s">
        <v>3516</v>
      </c>
    </row>
    <row r="876" spans="1:18" x14ac:dyDescent="0.25">
      <c r="A876" s="2">
        <v>37176</v>
      </c>
      <c r="B876" s="3" t="s">
        <v>3517</v>
      </c>
      <c r="C876" s="2" t="s">
        <v>4459</v>
      </c>
      <c r="D876" s="2" t="s">
        <v>3123</v>
      </c>
      <c r="E876" s="3" t="s">
        <v>3118</v>
      </c>
      <c r="F876" s="3" t="s">
        <v>3430</v>
      </c>
      <c r="G876" s="2" t="s">
        <v>5371</v>
      </c>
      <c r="H876" s="2" t="s">
        <v>5390</v>
      </c>
      <c r="I876" s="3" t="s">
        <v>3518</v>
      </c>
      <c r="J876" s="3" t="s">
        <v>802</v>
      </c>
      <c r="K876" s="3" t="s">
        <v>3519</v>
      </c>
      <c r="L876" s="3" t="s">
        <v>3123</v>
      </c>
      <c r="M876" s="3" t="s">
        <v>95</v>
      </c>
      <c r="N876" s="2">
        <v>1168</v>
      </c>
      <c r="O876" s="3" t="s">
        <v>96</v>
      </c>
      <c r="P876" s="3" t="s">
        <v>97</v>
      </c>
      <c r="Q876" s="2" t="s">
        <v>6271</v>
      </c>
      <c r="R876" s="3" t="s">
        <v>3520</v>
      </c>
    </row>
    <row r="877" spans="1:18" x14ac:dyDescent="0.25">
      <c r="A877" s="2">
        <v>24384</v>
      </c>
      <c r="B877" s="3" t="s">
        <v>3521</v>
      </c>
      <c r="C877" s="2" t="s">
        <v>4460</v>
      </c>
      <c r="D877" s="2" t="s">
        <v>3123</v>
      </c>
      <c r="E877" s="3" t="s">
        <v>3118</v>
      </c>
      <c r="F877" s="3" t="s">
        <v>3430</v>
      </c>
      <c r="G877" s="2" t="s">
        <v>5371</v>
      </c>
      <c r="H877" s="2" t="s">
        <v>5391</v>
      </c>
      <c r="I877" s="3" t="s">
        <v>3522</v>
      </c>
      <c r="J877" s="3" t="s">
        <v>138</v>
      </c>
      <c r="K877" s="3" t="s">
        <v>3523</v>
      </c>
      <c r="L877" s="3" t="s">
        <v>3123</v>
      </c>
      <c r="M877" s="3" t="s">
        <v>95</v>
      </c>
      <c r="N877" s="2">
        <v>1168</v>
      </c>
      <c r="O877" s="3" t="s">
        <v>96</v>
      </c>
      <c r="P877" s="3" t="s">
        <v>97</v>
      </c>
      <c r="Q877" s="2" t="s">
        <v>6272</v>
      </c>
      <c r="R877" s="3" t="s">
        <v>3524</v>
      </c>
    </row>
    <row r="878" spans="1:18" x14ac:dyDescent="0.25">
      <c r="A878" s="2">
        <v>28470</v>
      </c>
      <c r="B878" s="3" t="s">
        <v>3525</v>
      </c>
      <c r="C878" s="2" t="s">
        <v>4461</v>
      </c>
      <c r="D878" s="2" t="s">
        <v>3123</v>
      </c>
      <c r="E878" s="3" t="s">
        <v>3118</v>
      </c>
      <c r="F878" s="3" t="s">
        <v>3430</v>
      </c>
      <c r="G878" s="2" t="s">
        <v>5371</v>
      </c>
      <c r="H878" s="2" t="s">
        <v>5392</v>
      </c>
      <c r="I878" s="3" t="s">
        <v>3476</v>
      </c>
      <c r="J878" s="3" t="s">
        <v>3526</v>
      </c>
      <c r="K878" s="3" t="s">
        <v>3527</v>
      </c>
      <c r="L878" s="3" t="s">
        <v>3123</v>
      </c>
      <c r="M878" s="3" t="s">
        <v>1985</v>
      </c>
      <c r="N878" s="2">
        <v>1168</v>
      </c>
      <c r="O878" s="3" t="s">
        <v>244</v>
      </c>
      <c r="P878" s="3" t="s">
        <v>1986</v>
      </c>
      <c r="Q878" s="2" t="s">
        <v>6273</v>
      </c>
      <c r="R878" s="3" t="s">
        <v>3528</v>
      </c>
    </row>
    <row r="879" spans="1:18" x14ac:dyDescent="0.25">
      <c r="A879" s="2">
        <v>40291</v>
      </c>
      <c r="B879" s="3" t="s">
        <v>3529</v>
      </c>
      <c r="C879" s="2" t="s">
        <v>4462</v>
      </c>
      <c r="D879" s="2" t="s">
        <v>3123</v>
      </c>
      <c r="E879" s="3" t="s">
        <v>3118</v>
      </c>
      <c r="F879" s="3" t="s">
        <v>3430</v>
      </c>
      <c r="G879" s="2" t="s">
        <v>5289</v>
      </c>
      <c r="H879" s="2" t="s">
        <v>5393</v>
      </c>
      <c r="I879" s="3" t="s">
        <v>3530</v>
      </c>
      <c r="J879" s="3" t="s">
        <v>138</v>
      </c>
      <c r="K879" s="3" t="s">
        <v>3531</v>
      </c>
      <c r="L879" s="3" t="s">
        <v>3123</v>
      </c>
      <c r="M879" s="3" t="s">
        <v>95</v>
      </c>
      <c r="N879" s="2">
        <v>1168</v>
      </c>
      <c r="O879" s="3" t="s">
        <v>96</v>
      </c>
      <c r="P879" s="3" t="s">
        <v>97</v>
      </c>
      <c r="Q879" s="2" t="s">
        <v>6274</v>
      </c>
      <c r="R879" s="3" t="s">
        <v>3532</v>
      </c>
    </row>
    <row r="880" spans="1:18" x14ac:dyDescent="0.25">
      <c r="A880" s="2">
        <v>12057</v>
      </c>
      <c r="B880" s="3" t="s">
        <v>3533</v>
      </c>
      <c r="C880" s="2" t="s">
        <v>4463</v>
      </c>
      <c r="D880" s="2" t="s">
        <v>3123</v>
      </c>
      <c r="E880" s="3" t="s">
        <v>3118</v>
      </c>
      <c r="F880" s="3" t="s">
        <v>3430</v>
      </c>
      <c r="G880" s="2" t="s">
        <v>5371</v>
      </c>
      <c r="H880" s="2" t="s">
        <v>5394</v>
      </c>
      <c r="I880" s="3" t="s">
        <v>3534</v>
      </c>
      <c r="J880" s="3" t="s">
        <v>138</v>
      </c>
      <c r="K880" s="3" t="s">
        <v>3535</v>
      </c>
      <c r="L880" s="3" t="s">
        <v>3123</v>
      </c>
      <c r="M880" s="3" t="s">
        <v>95</v>
      </c>
      <c r="N880" s="2">
        <v>1168</v>
      </c>
      <c r="O880" s="3" t="s">
        <v>96</v>
      </c>
      <c r="P880" s="3" t="s">
        <v>97</v>
      </c>
      <c r="Q880" s="2" t="s">
        <v>6275</v>
      </c>
      <c r="R880" s="3" t="s">
        <v>3536</v>
      </c>
    </row>
    <row r="881" spans="1:18" x14ac:dyDescent="0.25">
      <c r="A881" s="2">
        <v>843</v>
      </c>
      <c r="B881" s="3" t="s">
        <v>3537</v>
      </c>
      <c r="C881" s="2" t="s">
        <v>4464</v>
      </c>
      <c r="D881" s="2" t="s">
        <v>3123</v>
      </c>
      <c r="E881" s="3" t="s">
        <v>3118</v>
      </c>
      <c r="F881" s="3" t="s">
        <v>3430</v>
      </c>
      <c r="G881" s="2" t="s">
        <v>5371</v>
      </c>
      <c r="H881" s="2" t="s">
        <v>5395</v>
      </c>
      <c r="I881" s="3" t="s">
        <v>3538</v>
      </c>
      <c r="J881" s="3" t="s">
        <v>138</v>
      </c>
      <c r="K881" s="3" t="s">
        <v>3539</v>
      </c>
      <c r="L881" s="3" t="s">
        <v>3123</v>
      </c>
      <c r="M881" s="3" t="s">
        <v>95</v>
      </c>
      <c r="N881" s="2">
        <v>1168</v>
      </c>
      <c r="O881" s="3" t="s">
        <v>96</v>
      </c>
      <c r="P881" s="3" t="s">
        <v>97</v>
      </c>
      <c r="Q881" s="2" t="s">
        <v>6276</v>
      </c>
      <c r="R881" s="3" t="s">
        <v>3540</v>
      </c>
    </row>
  </sheetData>
  <autoFilter ref="A1:R8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6" customWidth="1"/>
    <col min="2" max="2" width="20" customWidth="1"/>
    <col min="3" max="3" width="35" customWidth="1"/>
    <col min="4" max="4" width="15" customWidth="1"/>
    <col min="5" max="5" width="55.5703125" bestFit="1" customWidth="1"/>
    <col min="6" max="6" width="14" customWidth="1"/>
    <col min="7" max="9" width="10" customWidth="1"/>
    <col min="10" max="10" width="18" customWidth="1"/>
  </cols>
  <sheetData>
    <row r="1" spans="1:10" x14ac:dyDescent="0.25">
      <c r="A1" s="1" t="s">
        <v>7</v>
      </c>
      <c r="B1" s="1" t="s">
        <v>3541</v>
      </c>
      <c r="C1" s="1" t="s">
        <v>3542</v>
      </c>
      <c r="D1" s="1" t="s">
        <v>3543</v>
      </c>
      <c r="E1" s="1" t="s">
        <v>6277</v>
      </c>
      <c r="F1" s="1" t="s">
        <v>3544</v>
      </c>
      <c r="G1" s="1" t="s">
        <v>3545</v>
      </c>
      <c r="H1" s="1" t="s">
        <v>3546</v>
      </c>
      <c r="I1" s="1" t="s">
        <v>3547</v>
      </c>
      <c r="J1" s="1" t="s">
        <v>3548</v>
      </c>
    </row>
    <row r="2" spans="1:10" x14ac:dyDescent="0.25">
      <c r="A2" s="4" t="s">
        <v>2378</v>
      </c>
      <c r="B2" s="4" t="s">
        <v>3549</v>
      </c>
      <c r="C2" s="4" t="s">
        <v>3550</v>
      </c>
      <c r="D2" s="2">
        <f>COUNTIF('Base de Dados'!L:L,A2)</f>
        <v>32</v>
      </c>
      <c r="E2" s="2" t="s">
        <v>2374</v>
      </c>
      <c r="F2" s="2">
        <f>COUNTIFS('Base de Dados'!L:L,A2,'Base de Dados'!M:M,"Estratégico")</f>
        <v>27</v>
      </c>
      <c r="G2" s="2">
        <f>COUNTIFS('Base de Dados'!L:L,A2,'Base de Dados'!M:M,"Forte")</f>
        <v>0</v>
      </c>
      <c r="H2" s="2">
        <f>COUNTIFS('Base de Dados'!L:L,A2,'Base de Dados'!M:M,"Médio")</f>
        <v>5</v>
      </c>
      <c r="I2" s="2">
        <f>COUNTIFS('Base de Dados'!L:L,A2,'Base de Dados'!M:M,"Pontual")</f>
        <v>0</v>
      </c>
      <c r="J2" s="2">
        <f>ROUND(AVERAGEIF('Base de Dados'!L:L,A2,'Base de Dados'!N:N),0)</f>
        <v>417</v>
      </c>
    </row>
    <row r="3" spans="1:10" x14ac:dyDescent="0.25">
      <c r="A3" s="4" t="s">
        <v>19</v>
      </c>
      <c r="B3" s="4" t="s">
        <v>3549</v>
      </c>
      <c r="C3" s="4" t="s">
        <v>3551</v>
      </c>
      <c r="D3" s="2">
        <f>COUNTIF('Base de Dados'!L:L,A3)</f>
        <v>204</v>
      </c>
      <c r="E3" s="2" t="s">
        <v>6278</v>
      </c>
      <c r="F3" s="2">
        <f>COUNTIFS('Base de Dados'!L:L,A3,'Base de Dados'!M:M,"Estratégico")</f>
        <v>48</v>
      </c>
      <c r="G3" s="2">
        <f>COUNTIFS('Base de Dados'!L:L,A3,'Base de Dados'!M:M,"Forte")</f>
        <v>33</v>
      </c>
      <c r="H3" s="2">
        <f>COUNTIFS('Base de Dados'!L:L,A3,'Base de Dados'!M:M,"Médio")</f>
        <v>108</v>
      </c>
      <c r="I3" s="2">
        <f>COUNTIFS('Base de Dados'!L:L,A3,'Base de Dados'!M:M,"Pontual")</f>
        <v>15</v>
      </c>
      <c r="J3" s="2">
        <f>ROUND(AVERAGEIF('Base de Dados'!L:L,A3,'Base de Dados'!N:N),0)</f>
        <v>539</v>
      </c>
    </row>
    <row r="4" spans="1:10" x14ac:dyDescent="0.25">
      <c r="A4" s="4" t="s">
        <v>1723</v>
      </c>
      <c r="B4" s="4" t="s">
        <v>3549</v>
      </c>
      <c r="C4" s="4" t="s">
        <v>3552</v>
      </c>
      <c r="D4" s="2">
        <f>COUNTIF('Base de Dados'!L:L,A4)</f>
        <v>61</v>
      </c>
      <c r="E4" s="2" t="s">
        <v>1719</v>
      </c>
      <c r="F4" s="2">
        <f>COUNTIFS('Base de Dados'!L:L,A4,'Base de Dados'!M:M,"Estratégico")</f>
        <v>7</v>
      </c>
      <c r="G4" s="2">
        <f>COUNTIFS('Base de Dados'!L:L,A4,'Base de Dados'!M:M,"Forte")</f>
        <v>0</v>
      </c>
      <c r="H4" s="2">
        <f>COUNTIFS('Base de Dados'!L:L,A4,'Base de Dados'!M:M,"Médio")</f>
        <v>0</v>
      </c>
      <c r="I4" s="2">
        <f>COUNTIFS('Base de Dados'!L:L,A4,'Base de Dados'!M:M,"Pontual")</f>
        <v>54</v>
      </c>
      <c r="J4" s="2">
        <f>ROUND(AVERAGEIF('Base de Dados'!L:L,A4,'Base de Dados'!N:N),0)</f>
        <v>7</v>
      </c>
    </row>
    <row r="5" spans="1:10" x14ac:dyDescent="0.25">
      <c r="A5" s="4" t="s">
        <v>2690</v>
      </c>
      <c r="B5" s="4" t="s">
        <v>3549</v>
      </c>
      <c r="C5" s="4" t="s">
        <v>3553</v>
      </c>
      <c r="D5" s="2">
        <f>COUNTIF('Base de Dados'!L:L,A5)</f>
        <v>41</v>
      </c>
      <c r="E5" s="2" t="s">
        <v>2680</v>
      </c>
      <c r="F5" s="2">
        <f>COUNTIFS('Base de Dados'!L:L,A5,'Base de Dados'!M:M,"Estratégico")</f>
        <v>6</v>
      </c>
      <c r="G5" s="2">
        <f>COUNTIFS('Base de Dados'!L:L,A5,'Base de Dados'!M:M,"Forte")</f>
        <v>14</v>
      </c>
      <c r="H5" s="2">
        <f>COUNTIFS('Base de Dados'!L:L,A5,'Base de Dados'!M:M,"Médio")</f>
        <v>21</v>
      </c>
      <c r="I5" s="2">
        <f>COUNTIFS('Base de Dados'!L:L,A5,'Base de Dados'!M:M,"Pontual")</f>
        <v>0</v>
      </c>
      <c r="J5" s="2">
        <f>ROUND(AVERAGEIF('Base de Dados'!L:L,A5,'Base de Dados'!N:N),0)</f>
        <v>748</v>
      </c>
    </row>
    <row r="6" spans="1:10" x14ac:dyDescent="0.25">
      <c r="A6" s="4" t="s">
        <v>2684</v>
      </c>
      <c r="B6" s="4" t="s">
        <v>2681</v>
      </c>
      <c r="C6" s="4" t="s">
        <v>3554</v>
      </c>
      <c r="D6" s="2">
        <f>COUNTIF('Base de Dados'!L:L,A6)</f>
        <v>63</v>
      </c>
      <c r="E6" s="2" t="s">
        <v>2680</v>
      </c>
      <c r="F6" s="2">
        <f>COUNTIFS('Base de Dados'!L:L,A6,'Base de Dados'!M:M,"Estratégico")</f>
        <v>37</v>
      </c>
      <c r="G6" s="2">
        <f>COUNTIFS('Base de Dados'!L:L,A6,'Base de Dados'!M:M,"Forte")</f>
        <v>3</v>
      </c>
      <c r="H6" s="2">
        <f>COUNTIFS('Base de Dados'!L:L,A6,'Base de Dados'!M:M,"Médio")</f>
        <v>23</v>
      </c>
      <c r="I6" s="2">
        <f>COUNTIFS('Base de Dados'!L:L,A6,'Base de Dados'!M:M,"Pontual")</f>
        <v>0</v>
      </c>
      <c r="J6" s="2">
        <f>ROUND(AVERAGEIF('Base de Dados'!L:L,A6,'Base de Dados'!N:N),0)</f>
        <v>0</v>
      </c>
    </row>
    <row r="7" spans="1:10" x14ac:dyDescent="0.25">
      <c r="A7" s="4" t="s">
        <v>3123</v>
      </c>
      <c r="B7" s="4" t="s">
        <v>3549</v>
      </c>
      <c r="C7" s="4" t="s">
        <v>3555</v>
      </c>
      <c r="D7" s="2">
        <f>COUNTIF('Base de Dados'!L:L,A7)</f>
        <v>100</v>
      </c>
      <c r="E7" s="2" t="s">
        <v>6279</v>
      </c>
      <c r="F7" s="2">
        <f>COUNTIFS('Base de Dados'!L:L,A7,'Base de Dados'!M:M,"Estratégico")</f>
        <v>17</v>
      </c>
      <c r="G7" s="2">
        <f>COUNTIFS('Base de Dados'!L:L,A7,'Base de Dados'!M:M,"Forte")</f>
        <v>12</v>
      </c>
      <c r="H7" s="2">
        <f>COUNTIFS('Base de Dados'!L:L,A7,'Base de Dados'!M:M,"Médio")</f>
        <v>0</v>
      </c>
      <c r="I7" s="2">
        <f>COUNTIFS('Base de Dados'!L:L,A7,'Base de Dados'!M:M,"Pontual")</f>
        <v>71</v>
      </c>
      <c r="J7" s="2">
        <f>ROUND(AVERAGEIF('Base de Dados'!L:L,A7,'Base de Dados'!N:N),0)</f>
        <v>1272</v>
      </c>
    </row>
    <row r="8" spans="1:10" x14ac:dyDescent="0.25">
      <c r="A8" s="4" t="s">
        <v>338</v>
      </c>
      <c r="B8" s="4" t="s">
        <v>900</v>
      </c>
      <c r="C8" s="4" t="s">
        <v>3556</v>
      </c>
      <c r="D8" s="2">
        <f>COUNTIF('Base de Dados'!L:L,A8)</f>
        <v>356</v>
      </c>
      <c r="E8" s="2" t="s">
        <v>6280</v>
      </c>
      <c r="F8" s="2">
        <f>COUNTIFS('Base de Dados'!L:L,A8,'Base de Dados'!M:M,"Estratégico")</f>
        <v>53</v>
      </c>
      <c r="G8" s="2">
        <f>COUNTIFS('Base de Dados'!L:L,A8,'Base de Dados'!M:M,"Forte")</f>
        <v>0</v>
      </c>
      <c r="H8" s="2">
        <f>COUNTIFS('Base de Dados'!L:L,A8,'Base de Dados'!M:M,"Médio")</f>
        <v>0</v>
      </c>
      <c r="I8" s="2">
        <f>COUNTIFS('Base de Dados'!L:L,A8,'Base de Dados'!M:M,"Pontual")</f>
        <v>303</v>
      </c>
      <c r="J8" s="2">
        <f>ROUND(AVERAGEIF('Base de Dados'!L:L,A8,'Base de Dados'!N:N),0)</f>
        <v>1057</v>
      </c>
    </row>
    <row r="9" spans="1:10" x14ac:dyDescent="0.25">
      <c r="A9" s="4" t="s">
        <v>234</v>
      </c>
      <c r="B9" s="4" t="s">
        <v>3549</v>
      </c>
      <c r="C9" s="4" t="s">
        <v>3557</v>
      </c>
      <c r="D9" s="2">
        <f>COUNTIF('Base de Dados'!L:L,A9)</f>
        <v>23</v>
      </c>
      <c r="E9" s="2" t="s">
        <v>6281</v>
      </c>
      <c r="F9" s="2">
        <f>COUNTIFS('Base de Dados'!L:L,A9,'Base de Dados'!M:M,"Estratégico")</f>
        <v>0</v>
      </c>
      <c r="G9" s="2">
        <f>COUNTIFS('Base de Dados'!L:L,A9,'Base de Dados'!M:M,"Forte")</f>
        <v>0</v>
      </c>
      <c r="H9" s="2">
        <f>COUNTIFS('Base de Dados'!L:L,A9,'Base de Dados'!M:M,"Médio")</f>
        <v>0</v>
      </c>
      <c r="I9" s="2">
        <f>COUNTIFS('Base de Dados'!L:L,A9,'Base de Dados'!M:M,"Pontual")</f>
        <v>23</v>
      </c>
      <c r="J9" s="2">
        <f>ROUND(AVERAGEIF('Base de Dados'!L:L,A9,'Base de Dados'!N:N),0)</f>
        <v>1670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16" customWidth="1"/>
    <col min="2" max="2" width="12" customWidth="1"/>
    <col min="3" max="3" width="27.7109375" bestFit="1" customWidth="1"/>
    <col min="4" max="5" width="12" customWidth="1"/>
    <col min="6" max="6" width="14" customWidth="1"/>
    <col min="7" max="7" width="20" customWidth="1"/>
  </cols>
  <sheetData>
    <row r="1" spans="1:7" x14ac:dyDescent="0.25">
      <c r="A1" s="1" t="s">
        <v>7</v>
      </c>
      <c r="B1" s="1" t="s">
        <v>10</v>
      </c>
      <c r="C1" s="1" t="s">
        <v>6283</v>
      </c>
      <c r="D1" s="1" t="s">
        <v>6284</v>
      </c>
      <c r="E1" s="1" t="s">
        <v>3558</v>
      </c>
      <c r="F1" s="1" t="s">
        <v>3544</v>
      </c>
      <c r="G1" s="1" t="s">
        <v>3559</v>
      </c>
    </row>
    <row r="2" spans="1:7" x14ac:dyDescent="0.25">
      <c r="A2" s="4" t="s">
        <v>2378</v>
      </c>
      <c r="B2" s="2" t="s">
        <v>21</v>
      </c>
      <c r="C2" s="2" t="s">
        <v>2374</v>
      </c>
      <c r="D2" s="2">
        <v>2</v>
      </c>
      <c r="E2" s="2">
        <f>COUNTIFS('Base de Dados'!L:L,A2,'Base de Dados'!O:O,B2)</f>
        <v>8</v>
      </c>
      <c r="F2" s="2">
        <f>COUNTIFS('Base de Dados'!L:L,A2,'Base de Dados'!O:O,B2,'Base de Dados'!M:M,"Estratégico")</f>
        <v>8</v>
      </c>
      <c r="G2" s="2">
        <f>SUMIFS('Base de Dados'!N:N,'Base de Dados'!L:L,A2,'Base de Dados'!O:O,B2)</f>
        <v>3336</v>
      </c>
    </row>
    <row r="3" spans="1:7" x14ac:dyDescent="0.25">
      <c r="A3" s="4" t="s">
        <v>2378</v>
      </c>
      <c r="B3" s="2" t="s">
        <v>244</v>
      </c>
      <c r="C3" s="2" t="s">
        <v>2374</v>
      </c>
      <c r="D3" s="2">
        <v>1</v>
      </c>
      <c r="E3" s="2">
        <f>COUNTIFS('Base de Dados'!L:L,A3,'Base de Dados'!O:O,B3)</f>
        <v>8</v>
      </c>
      <c r="F3" s="2">
        <f>COUNTIFS('Base de Dados'!L:L,A3,'Base de Dados'!O:O,B3,'Base de Dados'!M:M,"Estratégico")</f>
        <v>8</v>
      </c>
      <c r="G3" s="2">
        <f>SUMIFS('Base de Dados'!N:N,'Base de Dados'!L:L,A3,'Base de Dados'!O:O,B3)</f>
        <v>3336</v>
      </c>
    </row>
    <row r="4" spans="1:7" x14ac:dyDescent="0.25">
      <c r="A4" s="4" t="s">
        <v>2378</v>
      </c>
      <c r="B4" s="2" t="s">
        <v>271</v>
      </c>
      <c r="C4" s="2" t="s">
        <v>2374</v>
      </c>
      <c r="D4" s="2">
        <v>2</v>
      </c>
      <c r="E4" s="2">
        <f>COUNTIFS('Base de Dados'!L:L,A4,'Base de Dados'!O:O,B4)</f>
        <v>8</v>
      </c>
      <c r="F4" s="2">
        <f>COUNTIFS('Base de Dados'!L:L,A4,'Base de Dados'!O:O,B4,'Base de Dados'!M:M,"Estratégico")</f>
        <v>8</v>
      </c>
      <c r="G4" s="2">
        <f>SUMIFS('Base de Dados'!N:N,'Base de Dados'!L:L,A4,'Base de Dados'!O:O,B4)</f>
        <v>3336</v>
      </c>
    </row>
    <row r="5" spans="1:7" x14ac:dyDescent="0.25">
      <c r="A5" s="4" t="s">
        <v>2378</v>
      </c>
      <c r="B5" s="2" t="s">
        <v>96</v>
      </c>
      <c r="C5" s="2" t="s">
        <v>2374</v>
      </c>
      <c r="D5" s="2">
        <v>6</v>
      </c>
      <c r="E5" s="2">
        <f>COUNTIFS('Base de Dados'!L:L,A5,'Base de Dados'!O:O,B5)</f>
        <v>8</v>
      </c>
      <c r="F5" s="2">
        <f>COUNTIFS('Base de Dados'!L:L,A5,'Base de Dados'!O:O,B5,'Base de Dados'!M:M,"Estratégico")</f>
        <v>3</v>
      </c>
      <c r="G5" s="2">
        <f>SUMIFS('Base de Dados'!N:N,'Base de Dados'!L:L,A5,'Base de Dados'!O:O,B5)</f>
        <v>3336</v>
      </c>
    </row>
    <row r="6" spans="1:7" x14ac:dyDescent="0.25">
      <c r="A6" s="4" t="s">
        <v>19</v>
      </c>
      <c r="B6" s="2" t="s">
        <v>21</v>
      </c>
      <c r="C6" s="2" t="s">
        <v>6285</v>
      </c>
      <c r="D6" s="2">
        <v>7</v>
      </c>
      <c r="E6" s="2">
        <f>COUNTIFS('Base de Dados'!L:L,A6,'Base de Dados'!O:O,B6)</f>
        <v>51</v>
      </c>
      <c r="F6" s="2">
        <f>COUNTIFS('Base de Dados'!L:L,A6,'Base de Dados'!O:O,B6,'Base de Dados'!M:M,"Estratégico")</f>
        <v>48</v>
      </c>
      <c r="G6" s="2">
        <f>SUMIFS('Base de Dados'!N:N,'Base de Dados'!L:L,A6,'Base de Dados'!O:O,B6)</f>
        <v>40508</v>
      </c>
    </row>
    <row r="7" spans="1:7" x14ac:dyDescent="0.25">
      <c r="A7" s="4" t="s">
        <v>19</v>
      </c>
      <c r="B7" s="2" t="s">
        <v>244</v>
      </c>
      <c r="C7" s="2" t="s">
        <v>6286</v>
      </c>
      <c r="D7" s="2">
        <v>26</v>
      </c>
      <c r="E7" s="2">
        <f>COUNTIFS('Base de Dados'!L:L,A7,'Base de Dados'!O:O,B7)</f>
        <v>51</v>
      </c>
      <c r="F7" s="2">
        <f>COUNTIFS('Base de Dados'!L:L,A7,'Base de Dados'!O:O,B7,'Base de Dados'!M:M,"Estratégico")</f>
        <v>0</v>
      </c>
      <c r="G7" s="2">
        <f>SUMIFS('Base de Dados'!N:N,'Base de Dados'!L:L,A7,'Base de Dados'!O:O,B7)</f>
        <v>20046</v>
      </c>
    </row>
    <row r="8" spans="1:7" x14ac:dyDescent="0.25">
      <c r="A8" s="4" t="s">
        <v>19</v>
      </c>
      <c r="B8" s="2" t="s">
        <v>271</v>
      </c>
      <c r="C8" s="2" t="s">
        <v>1961</v>
      </c>
      <c r="D8" s="2">
        <v>33</v>
      </c>
      <c r="E8" s="2">
        <f>COUNTIFS('Base de Dados'!L:L,A8,'Base de Dados'!O:O,B8)</f>
        <v>51</v>
      </c>
      <c r="F8" s="2">
        <f>COUNTIFS('Base de Dados'!L:L,A8,'Base de Dados'!O:O,B8,'Base de Dados'!M:M,"Estratégico")</f>
        <v>0</v>
      </c>
      <c r="G8" s="2">
        <f>SUMIFS('Base de Dados'!N:N,'Base de Dados'!L:L,A8,'Base de Dados'!O:O,B8)</f>
        <v>19380</v>
      </c>
    </row>
    <row r="9" spans="1:7" x14ac:dyDescent="0.25">
      <c r="A9" s="4" t="s">
        <v>19</v>
      </c>
      <c r="B9" s="2" t="s">
        <v>96</v>
      </c>
      <c r="C9" s="2" t="s">
        <v>6287</v>
      </c>
      <c r="D9" s="2">
        <v>40</v>
      </c>
      <c r="E9" s="2">
        <f>COUNTIFS('Base de Dados'!L:L,A9,'Base de Dados'!O:O,B9)</f>
        <v>51</v>
      </c>
      <c r="F9" s="2">
        <f>COUNTIFS('Base de Dados'!L:L,A9,'Base de Dados'!O:O,B9,'Base de Dados'!M:M,"Estratégico")</f>
        <v>0</v>
      </c>
      <c r="G9" s="2">
        <f>SUMIFS('Base de Dados'!N:N,'Base de Dados'!L:L,A9,'Base de Dados'!O:O,B9)</f>
        <v>30024</v>
      </c>
    </row>
    <row r="10" spans="1:7" x14ac:dyDescent="0.25">
      <c r="A10" s="4" t="s">
        <v>1723</v>
      </c>
      <c r="B10" s="2" t="s">
        <v>21</v>
      </c>
      <c r="C10" s="2" t="s">
        <v>1719</v>
      </c>
      <c r="D10" s="2">
        <v>7</v>
      </c>
      <c r="E10" s="2">
        <f>COUNTIFS('Base de Dados'!L:L,A10,'Base de Dados'!O:O,B10)</f>
        <v>15</v>
      </c>
      <c r="F10" s="2">
        <f>COUNTIFS('Base de Dados'!L:L,A10,'Base de Dados'!O:O,B10,'Base de Dados'!M:M,"Estratégico")</f>
        <v>7</v>
      </c>
      <c r="G10" s="2">
        <f>SUMIFS('Base de Dados'!N:N,'Base de Dados'!L:L,A10,'Base de Dados'!O:O,B10)</f>
        <v>105</v>
      </c>
    </row>
    <row r="11" spans="1:7" x14ac:dyDescent="0.25">
      <c r="A11" s="4" t="s">
        <v>1723</v>
      </c>
      <c r="B11" s="2" t="s">
        <v>244</v>
      </c>
      <c r="C11" s="2" t="s">
        <v>1719</v>
      </c>
      <c r="D11" s="2">
        <v>9</v>
      </c>
      <c r="E11" s="2">
        <f>COUNTIFS('Base de Dados'!L:L,A11,'Base de Dados'!O:O,B11)</f>
        <v>15</v>
      </c>
      <c r="F11" s="2">
        <f>COUNTIFS('Base de Dados'!L:L,A11,'Base de Dados'!O:O,B11,'Base de Dados'!M:M,"Estratégico")</f>
        <v>0</v>
      </c>
      <c r="G11" s="2">
        <f>SUMIFS('Base de Dados'!N:N,'Base de Dados'!L:L,A11,'Base de Dados'!O:O,B11)</f>
        <v>105</v>
      </c>
    </row>
    <row r="12" spans="1:7" x14ac:dyDescent="0.25">
      <c r="A12" s="4" t="s">
        <v>1723</v>
      </c>
      <c r="B12" s="2" t="s">
        <v>271</v>
      </c>
      <c r="C12" s="2" t="s">
        <v>1719</v>
      </c>
      <c r="D12" s="2">
        <v>8</v>
      </c>
      <c r="E12" s="2">
        <f>COUNTIFS('Base de Dados'!L:L,A12,'Base de Dados'!O:O,B12)</f>
        <v>15</v>
      </c>
      <c r="F12" s="2">
        <f>COUNTIFS('Base de Dados'!L:L,A12,'Base de Dados'!O:O,B12,'Base de Dados'!M:M,"Estratégico")</f>
        <v>0</v>
      </c>
      <c r="G12" s="2">
        <f>SUMIFS('Base de Dados'!N:N,'Base de Dados'!L:L,A12,'Base de Dados'!O:O,B12)</f>
        <v>105</v>
      </c>
    </row>
    <row r="13" spans="1:7" x14ac:dyDescent="0.25">
      <c r="A13" s="4" t="s">
        <v>1723</v>
      </c>
      <c r="B13" s="2" t="s">
        <v>96</v>
      </c>
      <c r="C13" s="2" t="s">
        <v>1719</v>
      </c>
      <c r="D13" s="2">
        <v>9</v>
      </c>
      <c r="E13" s="2">
        <f>COUNTIFS('Base de Dados'!L:L,A13,'Base de Dados'!O:O,B13)</f>
        <v>16</v>
      </c>
      <c r="F13" s="2">
        <f>COUNTIFS('Base de Dados'!L:L,A13,'Base de Dados'!O:O,B13,'Base de Dados'!M:M,"Estratégico")</f>
        <v>0</v>
      </c>
      <c r="G13" s="2">
        <f>SUMIFS('Base de Dados'!N:N,'Base de Dados'!L:L,A13,'Base de Dados'!O:O,B13)</f>
        <v>112</v>
      </c>
    </row>
    <row r="14" spans="1:7" x14ac:dyDescent="0.25">
      <c r="A14" s="4" t="s">
        <v>2690</v>
      </c>
      <c r="B14" s="2" t="s">
        <v>21</v>
      </c>
      <c r="C14" s="2" t="s">
        <v>2680</v>
      </c>
      <c r="D14" s="2">
        <v>7</v>
      </c>
      <c r="E14" s="2">
        <f>COUNTIFS('Base de Dados'!L:L,A14,'Base de Dados'!O:O,B14)</f>
        <v>10</v>
      </c>
      <c r="F14" s="2">
        <f>COUNTIFS('Base de Dados'!L:L,A14,'Base de Dados'!O:O,B14,'Base de Dados'!M:M,"Estratégico")</f>
        <v>6</v>
      </c>
      <c r="G14" s="2">
        <f>SUMIFS('Base de Dados'!N:N,'Base de Dados'!L:L,A14,'Base de Dados'!O:O,B14)</f>
        <v>7480</v>
      </c>
    </row>
    <row r="15" spans="1:7" x14ac:dyDescent="0.25">
      <c r="A15" s="4" t="s">
        <v>2690</v>
      </c>
      <c r="B15" s="2" t="s">
        <v>244</v>
      </c>
      <c r="C15" s="2" t="s">
        <v>2680</v>
      </c>
      <c r="D15" s="2">
        <v>5</v>
      </c>
      <c r="E15" s="2">
        <f>COUNTIFS('Base de Dados'!L:L,A15,'Base de Dados'!O:O,B15)</f>
        <v>10</v>
      </c>
      <c r="F15" s="2">
        <f>COUNTIFS('Base de Dados'!L:L,A15,'Base de Dados'!O:O,B15,'Base de Dados'!M:M,"Estratégico")</f>
        <v>0</v>
      </c>
      <c r="G15" s="2">
        <f>SUMIFS('Base de Dados'!N:N,'Base de Dados'!L:L,A15,'Base de Dados'!O:O,B15)</f>
        <v>7480</v>
      </c>
    </row>
    <row r="16" spans="1:7" x14ac:dyDescent="0.25">
      <c r="A16" s="4" t="s">
        <v>2690</v>
      </c>
      <c r="B16" s="2" t="s">
        <v>271</v>
      </c>
      <c r="C16" s="2" t="s">
        <v>2680</v>
      </c>
      <c r="D16" s="2">
        <v>10</v>
      </c>
      <c r="E16" s="2">
        <f>COUNTIFS('Base de Dados'!L:L,A16,'Base de Dados'!O:O,B16)</f>
        <v>10</v>
      </c>
      <c r="F16" s="2">
        <f>COUNTIFS('Base de Dados'!L:L,A16,'Base de Dados'!O:O,B16,'Base de Dados'!M:M,"Estratégico")</f>
        <v>0</v>
      </c>
      <c r="G16" s="2">
        <f>SUMIFS('Base de Dados'!N:N,'Base de Dados'!L:L,A16,'Base de Dados'!O:O,B16)</f>
        <v>7480</v>
      </c>
    </row>
    <row r="17" spans="1:7" x14ac:dyDescent="0.25">
      <c r="A17" s="4" t="s">
        <v>2690</v>
      </c>
      <c r="B17" s="2" t="s">
        <v>96</v>
      </c>
      <c r="C17" s="2" t="s">
        <v>2680</v>
      </c>
      <c r="D17" s="2">
        <v>10</v>
      </c>
      <c r="E17" s="2">
        <f>COUNTIFS('Base de Dados'!L:L,A17,'Base de Dados'!O:O,B17)</f>
        <v>11</v>
      </c>
      <c r="F17" s="2">
        <f>COUNTIFS('Base de Dados'!L:L,A17,'Base de Dados'!O:O,B17,'Base de Dados'!M:M,"Estratégico")</f>
        <v>0</v>
      </c>
      <c r="G17" s="2">
        <f>SUMIFS('Base de Dados'!N:N,'Base de Dados'!L:L,A17,'Base de Dados'!O:O,B17)</f>
        <v>8228</v>
      </c>
    </row>
    <row r="18" spans="1:7" x14ac:dyDescent="0.25">
      <c r="A18" s="4" t="s">
        <v>2684</v>
      </c>
      <c r="B18" s="2" t="s">
        <v>21</v>
      </c>
      <c r="C18" s="2" t="s">
        <v>2680</v>
      </c>
      <c r="D18" s="2">
        <v>2</v>
      </c>
      <c r="E18" s="2">
        <f>COUNTIFS('Base de Dados'!L:L,A18,'Base de Dados'!O:O,B18)</f>
        <v>15</v>
      </c>
      <c r="F18" s="2">
        <f>COUNTIFS('Base de Dados'!L:L,A18,'Base de Dados'!O:O,B18,'Base de Dados'!M:M,"Estratégico")</f>
        <v>15</v>
      </c>
      <c r="G18" s="2">
        <f>SUMIFS('Base de Dados'!N:N,'Base de Dados'!L:L,A18,'Base de Dados'!O:O,B18)</f>
        <v>0</v>
      </c>
    </row>
    <row r="19" spans="1:7" x14ac:dyDescent="0.25">
      <c r="A19" s="4" t="s">
        <v>2684</v>
      </c>
      <c r="B19" s="2" t="s">
        <v>244</v>
      </c>
      <c r="C19" s="2" t="s">
        <v>2680</v>
      </c>
      <c r="D19" s="2">
        <v>1</v>
      </c>
      <c r="E19" s="2">
        <f>COUNTIFS('Base de Dados'!L:L,A19,'Base de Dados'!O:O,B19)</f>
        <v>15</v>
      </c>
      <c r="F19" s="2">
        <f>COUNTIFS('Base de Dados'!L:L,A19,'Base de Dados'!O:O,B19,'Base de Dados'!M:M,"Estratégico")</f>
        <v>15</v>
      </c>
      <c r="G19" s="2">
        <f>SUMIFS('Base de Dados'!N:N,'Base de Dados'!L:L,A19,'Base de Dados'!O:O,B19)</f>
        <v>0</v>
      </c>
    </row>
    <row r="20" spans="1:7" x14ac:dyDescent="0.25">
      <c r="A20" s="4" t="s">
        <v>2684</v>
      </c>
      <c r="B20" s="2" t="s">
        <v>271</v>
      </c>
      <c r="C20" s="2" t="s">
        <v>2680</v>
      </c>
      <c r="D20" s="2">
        <v>8</v>
      </c>
      <c r="E20" s="2">
        <f>COUNTIFS('Base de Dados'!L:L,A20,'Base de Dados'!O:O,B20)</f>
        <v>15</v>
      </c>
      <c r="F20" s="2">
        <f>COUNTIFS('Base de Dados'!L:L,A20,'Base de Dados'!O:O,B20,'Base de Dados'!M:M,"Estratégico")</f>
        <v>7</v>
      </c>
      <c r="G20" s="2">
        <f>SUMIFS('Base de Dados'!N:N,'Base de Dados'!L:L,A20,'Base de Dados'!O:O,B20)</f>
        <v>0</v>
      </c>
    </row>
    <row r="21" spans="1:7" x14ac:dyDescent="0.25">
      <c r="A21" s="4" t="s">
        <v>2684</v>
      </c>
      <c r="B21" s="2" t="s">
        <v>96</v>
      </c>
      <c r="C21" s="2" t="s">
        <v>2680</v>
      </c>
      <c r="D21" s="2">
        <v>17</v>
      </c>
      <c r="E21" s="2">
        <f>COUNTIFS('Base de Dados'!L:L,A21,'Base de Dados'!O:O,B21)</f>
        <v>18</v>
      </c>
      <c r="F21" s="2">
        <f>COUNTIFS('Base de Dados'!L:L,A21,'Base de Dados'!O:O,B21,'Base de Dados'!M:M,"Estratégico")</f>
        <v>0</v>
      </c>
      <c r="G21" s="2">
        <f>SUMIFS('Base de Dados'!N:N,'Base de Dados'!L:L,A21,'Base de Dados'!O:O,B21)</f>
        <v>0</v>
      </c>
    </row>
    <row r="22" spans="1:7" x14ac:dyDescent="0.25">
      <c r="A22" s="4" t="s">
        <v>3123</v>
      </c>
      <c r="B22" s="2" t="s">
        <v>21</v>
      </c>
      <c r="C22" s="2" t="s">
        <v>6288</v>
      </c>
      <c r="D22" s="2">
        <v>6</v>
      </c>
      <c r="E22" s="2">
        <f>COUNTIFS('Base de Dados'!L:L,A22,'Base de Dados'!O:O,B22)</f>
        <v>25</v>
      </c>
      <c r="F22" s="2">
        <f>COUNTIFS('Base de Dados'!L:L,A22,'Base de Dados'!O:O,B22,'Base de Dados'!M:M,"Estratégico")</f>
        <v>17</v>
      </c>
      <c r="G22" s="2">
        <f>SUMIFS('Base de Dados'!N:N,'Base de Dados'!L:L,A22,'Base de Dados'!O:O,B22)</f>
        <v>33068</v>
      </c>
    </row>
    <row r="23" spans="1:7" x14ac:dyDescent="0.25">
      <c r="A23" s="4" t="s">
        <v>3123</v>
      </c>
      <c r="B23" s="2" t="s">
        <v>244</v>
      </c>
      <c r="C23" s="2" t="s">
        <v>6279</v>
      </c>
      <c r="D23" s="2">
        <v>20</v>
      </c>
      <c r="E23" s="2">
        <f>COUNTIFS('Base de Dados'!L:L,A23,'Base de Dados'!O:O,B23)</f>
        <v>25</v>
      </c>
      <c r="F23" s="2">
        <f>COUNTIFS('Base de Dados'!L:L,A23,'Base de Dados'!O:O,B23,'Base de Dados'!M:M,"Estratégico")</f>
        <v>0</v>
      </c>
      <c r="G23" s="2">
        <f>SUMIFS('Base de Dados'!N:N,'Base de Dados'!L:L,A23,'Base de Dados'!O:O,B23)</f>
        <v>27791</v>
      </c>
    </row>
    <row r="24" spans="1:7" x14ac:dyDescent="0.25">
      <c r="A24" s="4" t="s">
        <v>3123</v>
      </c>
      <c r="B24" s="2" t="s">
        <v>271</v>
      </c>
      <c r="C24" s="2" t="s">
        <v>6288</v>
      </c>
      <c r="D24" s="2">
        <v>24</v>
      </c>
      <c r="E24" s="2">
        <f>COUNTIFS('Base de Dados'!L:L,A24,'Base de Dados'!O:O,B24)</f>
        <v>25</v>
      </c>
      <c r="F24" s="2">
        <f>COUNTIFS('Base de Dados'!L:L,A24,'Base de Dados'!O:O,B24,'Base de Dados'!M:M,"Estratégico")</f>
        <v>0</v>
      </c>
      <c r="G24" s="2">
        <f>SUMIFS('Base de Dados'!N:N,'Base de Dados'!L:L,A24,'Base de Dados'!O:O,B24)</f>
        <v>36756</v>
      </c>
    </row>
    <row r="25" spans="1:7" x14ac:dyDescent="0.25">
      <c r="A25" s="4" t="s">
        <v>3123</v>
      </c>
      <c r="B25" s="2" t="s">
        <v>96</v>
      </c>
      <c r="C25" s="2" t="s">
        <v>6289</v>
      </c>
      <c r="D25" s="2">
        <v>20</v>
      </c>
      <c r="E25" s="2">
        <f>COUNTIFS('Base de Dados'!L:L,A25,'Base de Dados'!O:O,B25)</f>
        <v>25</v>
      </c>
      <c r="F25" s="2">
        <f>COUNTIFS('Base de Dados'!L:L,A25,'Base de Dados'!O:O,B25,'Base de Dados'!M:M,"Estratégico")</f>
        <v>0</v>
      </c>
      <c r="G25" s="2">
        <f>SUMIFS('Base de Dados'!N:N,'Base de Dados'!L:L,A25,'Base de Dados'!O:O,B25)</f>
        <v>29576</v>
      </c>
    </row>
    <row r="26" spans="1:7" x14ac:dyDescent="0.25">
      <c r="A26" s="4" t="s">
        <v>338</v>
      </c>
      <c r="B26" s="2" t="s">
        <v>21</v>
      </c>
      <c r="C26" s="2" t="s">
        <v>6290</v>
      </c>
      <c r="D26" s="2">
        <v>25</v>
      </c>
      <c r="E26" s="2">
        <f>COUNTIFS('Base de Dados'!L:L,A26,'Base de Dados'!O:O,B26)</f>
        <v>89</v>
      </c>
      <c r="F26" s="2">
        <f>COUNTIFS('Base de Dados'!L:L,A26,'Base de Dados'!O:O,B26,'Base de Dados'!M:M,"Estratégico")</f>
        <v>53</v>
      </c>
      <c r="G26" s="2">
        <f>SUMIFS('Base de Dados'!N:N,'Base de Dados'!L:L,A26,'Base de Dados'!O:O,B26)</f>
        <v>137822</v>
      </c>
    </row>
    <row r="27" spans="1:7" x14ac:dyDescent="0.25">
      <c r="A27" s="4" t="s">
        <v>338</v>
      </c>
      <c r="B27" s="2" t="s">
        <v>244</v>
      </c>
      <c r="C27" s="2" t="s">
        <v>6291</v>
      </c>
      <c r="D27" s="2">
        <v>60</v>
      </c>
      <c r="E27" s="2">
        <f>COUNTIFS('Base de Dados'!L:L,A27,'Base de Dados'!O:O,B27)</f>
        <v>89</v>
      </c>
      <c r="F27" s="2">
        <f>COUNTIFS('Base de Dados'!L:L,A27,'Base de Dados'!O:O,B27,'Base de Dados'!M:M,"Estratégico")</f>
        <v>0</v>
      </c>
      <c r="G27" s="2">
        <f>SUMIFS('Base de Dados'!N:N,'Base de Dados'!L:L,A27,'Base de Dados'!O:O,B27)</f>
        <v>100827</v>
      </c>
    </row>
    <row r="28" spans="1:7" x14ac:dyDescent="0.25">
      <c r="A28" s="4" t="s">
        <v>338</v>
      </c>
      <c r="B28" s="2" t="s">
        <v>271</v>
      </c>
      <c r="C28" s="2" t="s">
        <v>6292</v>
      </c>
      <c r="D28" s="2">
        <v>57</v>
      </c>
      <c r="E28" s="2">
        <f>COUNTIFS('Base de Dados'!L:L,A28,'Base de Dados'!O:O,B28)</f>
        <v>89</v>
      </c>
      <c r="F28" s="2">
        <f>COUNTIFS('Base de Dados'!L:L,A28,'Base de Dados'!O:O,B28,'Base de Dados'!M:M,"Estratégico")</f>
        <v>0</v>
      </c>
      <c r="G28" s="2">
        <f>SUMIFS('Base de Dados'!N:N,'Base de Dados'!L:L,A28,'Base de Dados'!O:O,B28)</f>
        <v>54908</v>
      </c>
    </row>
    <row r="29" spans="1:7" x14ac:dyDescent="0.25">
      <c r="A29" s="4" t="s">
        <v>338</v>
      </c>
      <c r="B29" s="2" t="s">
        <v>96</v>
      </c>
      <c r="C29" s="2" t="s">
        <v>6293</v>
      </c>
      <c r="D29" s="2">
        <v>52</v>
      </c>
      <c r="E29" s="2">
        <f>COUNTIFS('Base de Dados'!L:L,A29,'Base de Dados'!O:O,B29)</f>
        <v>89</v>
      </c>
      <c r="F29" s="2">
        <f>COUNTIFS('Base de Dados'!L:L,A29,'Base de Dados'!O:O,B29,'Base de Dados'!M:M,"Estratégico")</f>
        <v>0</v>
      </c>
      <c r="G29" s="2">
        <f>SUMIFS('Base de Dados'!N:N,'Base de Dados'!L:L,A29,'Base de Dados'!O:O,B29)</f>
        <v>82855</v>
      </c>
    </row>
    <row r="30" spans="1:7" x14ac:dyDescent="0.25">
      <c r="A30" s="4" t="s">
        <v>234</v>
      </c>
      <c r="B30" s="2" t="s">
        <v>21</v>
      </c>
      <c r="C30" s="2" t="s">
        <v>231</v>
      </c>
      <c r="D30" s="2">
        <v>1</v>
      </c>
      <c r="E30" s="2">
        <f>COUNTIFS('Base de Dados'!L:L,A30,'Base de Dados'!O:O,B30)</f>
        <v>5</v>
      </c>
      <c r="F30" s="2">
        <f>COUNTIFS('Base de Dados'!L:L,A30,'Base de Dados'!O:O,B30,'Base de Dados'!M:M,"Estratégico")</f>
        <v>0</v>
      </c>
      <c r="G30" s="2">
        <f>SUMIFS('Base de Dados'!N:N,'Base de Dados'!L:L,A30,'Base de Dados'!O:O,B30)</f>
        <v>7470</v>
      </c>
    </row>
    <row r="31" spans="1:7" x14ac:dyDescent="0.25">
      <c r="A31" s="4" t="s">
        <v>234</v>
      </c>
      <c r="B31" s="2" t="s">
        <v>244</v>
      </c>
      <c r="C31" s="2" t="s">
        <v>6281</v>
      </c>
      <c r="D31" s="2">
        <v>5</v>
      </c>
      <c r="E31" s="2">
        <f>COUNTIFS('Base de Dados'!L:L,A31,'Base de Dados'!O:O,B31)</f>
        <v>5</v>
      </c>
      <c r="F31" s="2">
        <f>COUNTIFS('Base de Dados'!L:L,A31,'Base de Dados'!O:O,B31,'Base de Dados'!M:M,"Estratégico")</f>
        <v>0</v>
      </c>
      <c r="G31" s="2">
        <f>SUMIFS('Base de Dados'!N:N,'Base de Dados'!L:L,A31,'Base de Dados'!O:O,B31)</f>
        <v>8229</v>
      </c>
    </row>
    <row r="32" spans="1:7" x14ac:dyDescent="0.25">
      <c r="A32" s="4" t="s">
        <v>234</v>
      </c>
      <c r="B32" s="2" t="s">
        <v>271</v>
      </c>
      <c r="C32" s="2" t="s">
        <v>263</v>
      </c>
      <c r="D32" s="2">
        <v>4</v>
      </c>
      <c r="E32" s="2">
        <f>COUNTIFS('Base de Dados'!L:L,A32,'Base de Dados'!O:O,B32)</f>
        <v>5</v>
      </c>
      <c r="F32" s="2">
        <f>COUNTIFS('Base de Dados'!L:L,A32,'Base de Dados'!O:O,B32,'Base de Dados'!M:M,"Estratégico")</f>
        <v>0</v>
      </c>
      <c r="G32" s="2">
        <f>SUMIFS('Base de Dados'!N:N,'Base de Dados'!L:L,A32,'Base de Dados'!O:O,B32)</f>
        <v>8735</v>
      </c>
    </row>
    <row r="33" spans="1:7" x14ac:dyDescent="0.25">
      <c r="A33" s="4" t="s">
        <v>234</v>
      </c>
      <c r="B33" s="2" t="s">
        <v>96</v>
      </c>
      <c r="C33" s="2" t="s">
        <v>263</v>
      </c>
      <c r="D33" s="2">
        <v>4</v>
      </c>
      <c r="E33" s="2">
        <f>COUNTIFS('Base de Dados'!L:L,A33,'Base de Dados'!O:O,B33)</f>
        <v>8</v>
      </c>
      <c r="F33" s="2">
        <f>COUNTIFS('Base de Dados'!L:L,A33,'Base de Dados'!O:O,B33,'Base de Dados'!M:M,"Estratégico")</f>
        <v>0</v>
      </c>
      <c r="G33" s="2">
        <f>SUMIFS('Base de Dados'!N:N,'Base de Dados'!L:L,A33,'Base de Dados'!O:O,B33)</f>
        <v>13976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A053-8A4B-462C-A5B4-CB75BA9E6776}">
  <dimension ref="A1:I881"/>
  <sheetViews>
    <sheetView workbookViewId="0">
      <selection activeCell="D6" sqref="D6"/>
    </sheetView>
  </sheetViews>
  <sheetFormatPr defaultRowHeight="15" x14ac:dyDescent="0.25"/>
  <cols>
    <col min="1" max="1" width="15" customWidth="1"/>
    <col min="2" max="2" width="10" customWidth="1"/>
    <col min="3" max="3" width="8" customWidth="1"/>
    <col min="4" max="4" width="50" customWidth="1"/>
    <col min="5" max="5" width="4" customWidth="1"/>
    <col min="6" max="6" width="26" customWidth="1"/>
    <col min="7" max="7" width="15" customWidth="1"/>
    <col min="8" max="8" width="12" customWidth="1"/>
    <col min="9" max="9" width="16" customWidth="1"/>
  </cols>
  <sheetData>
    <row r="1" spans="1:9" x14ac:dyDescent="0.25">
      <c r="A1" s="1" t="s">
        <v>7</v>
      </c>
      <c r="B1" s="1" t="s">
        <v>10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8</v>
      </c>
      <c r="H1" s="1" t="s">
        <v>11</v>
      </c>
      <c r="I1" s="1" t="s">
        <v>9</v>
      </c>
    </row>
    <row r="2" spans="1:9" x14ac:dyDescent="0.25">
      <c r="A2" s="4" t="s">
        <v>2378</v>
      </c>
      <c r="B2" s="2" t="s">
        <v>21</v>
      </c>
      <c r="C2" s="2">
        <v>631</v>
      </c>
      <c r="D2" s="2" t="s">
        <v>2503</v>
      </c>
      <c r="E2" s="2" t="s">
        <v>2374</v>
      </c>
      <c r="F2" s="2" t="s">
        <v>2504</v>
      </c>
      <c r="G2" s="2" t="s">
        <v>20</v>
      </c>
      <c r="H2" s="2" t="s">
        <v>22</v>
      </c>
      <c r="I2" s="2">
        <v>417</v>
      </c>
    </row>
    <row r="3" spans="1:9" x14ac:dyDescent="0.25">
      <c r="A3" s="4" t="s">
        <v>2378</v>
      </c>
      <c r="B3" s="2" t="s">
        <v>21</v>
      </c>
      <c r="C3" s="2">
        <v>660</v>
      </c>
      <c r="D3" s="2" t="s">
        <v>2616</v>
      </c>
      <c r="E3" s="2" t="s">
        <v>2374</v>
      </c>
      <c r="F3" s="2" t="s">
        <v>2504</v>
      </c>
      <c r="G3" s="2" t="s">
        <v>20</v>
      </c>
      <c r="H3" s="2" t="s">
        <v>22</v>
      </c>
      <c r="I3" s="2">
        <v>417</v>
      </c>
    </row>
    <row r="4" spans="1:9" x14ac:dyDescent="0.25">
      <c r="A4" s="4" t="s">
        <v>2378</v>
      </c>
      <c r="B4" s="2" t="s">
        <v>21</v>
      </c>
      <c r="C4" s="2">
        <v>665</v>
      </c>
      <c r="D4" s="2" t="s">
        <v>2634</v>
      </c>
      <c r="E4" s="2" t="s">
        <v>2374</v>
      </c>
      <c r="F4" s="2" t="s">
        <v>2504</v>
      </c>
      <c r="G4" s="2" t="s">
        <v>20</v>
      </c>
      <c r="H4" s="2" t="s">
        <v>22</v>
      </c>
      <c r="I4" s="2">
        <v>417</v>
      </c>
    </row>
    <row r="5" spans="1:9" x14ac:dyDescent="0.25">
      <c r="A5" s="4" t="s">
        <v>2378</v>
      </c>
      <c r="B5" s="2" t="s">
        <v>21</v>
      </c>
      <c r="C5" s="2">
        <v>600</v>
      </c>
      <c r="D5" s="2" t="s">
        <v>2373</v>
      </c>
      <c r="E5" s="2" t="s">
        <v>2374</v>
      </c>
      <c r="F5" s="2" t="s">
        <v>2375</v>
      </c>
      <c r="G5" s="2" t="s">
        <v>20</v>
      </c>
      <c r="H5" s="2" t="s">
        <v>22</v>
      </c>
      <c r="I5" s="2">
        <v>417</v>
      </c>
    </row>
    <row r="6" spans="1:9" x14ac:dyDescent="0.25">
      <c r="A6" s="4" t="s">
        <v>2378</v>
      </c>
      <c r="B6" s="2" t="s">
        <v>21</v>
      </c>
      <c r="C6" s="2">
        <v>602</v>
      </c>
      <c r="D6" s="2" t="s">
        <v>2384</v>
      </c>
      <c r="E6" s="2" t="s">
        <v>2374</v>
      </c>
      <c r="F6" s="2" t="s">
        <v>2375</v>
      </c>
      <c r="G6" s="2" t="s">
        <v>20</v>
      </c>
      <c r="H6" s="2" t="s">
        <v>22</v>
      </c>
      <c r="I6" s="2">
        <v>417</v>
      </c>
    </row>
    <row r="7" spans="1:9" x14ac:dyDescent="0.25">
      <c r="A7" s="4" t="s">
        <v>2378</v>
      </c>
      <c r="B7" s="2" t="s">
        <v>21</v>
      </c>
      <c r="C7" s="2">
        <v>606</v>
      </c>
      <c r="D7" s="2" t="s">
        <v>2401</v>
      </c>
      <c r="E7" s="2" t="s">
        <v>2374</v>
      </c>
      <c r="F7" s="2" t="s">
        <v>2375</v>
      </c>
      <c r="G7" s="2" t="s">
        <v>20</v>
      </c>
      <c r="H7" s="2" t="s">
        <v>22</v>
      </c>
      <c r="I7" s="2">
        <v>417</v>
      </c>
    </row>
    <row r="8" spans="1:9" x14ac:dyDescent="0.25">
      <c r="A8" s="4" t="s">
        <v>2378</v>
      </c>
      <c r="B8" s="2" t="s">
        <v>21</v>
      </c>
      <c r="C8" s="2">
        <v>608</v>
      </c>
      <c r="D8" s="2" t="s">
        <v>2408</v>
      </c>
      <c r="E8" s="2" t="s">
        <v>2374</v>
      </c>
      <c r="F8" s="2" t="s">
        <v>2375</v>
      </c>
      <c r="G8" s="2" t="s">
        <v>20</v>
      </c>
      <c r="H8" s="2" t="s">
        <v>22</v>
      </c>
      <c r="I8" s="2">
        <v>417</v>
      </c>
    </row>
    <row r="9" spans="1:9" x14ac:dyDescent="0.25">
      <c r="A9" s="4" t="s">
        <v>2378</v>
      </c>
      <c r="B9" s="2" t="s">
        <v>21</v>
      </c>
      <c r="C9" s="2">
        <v>609</v>
      </c>
      <c r="D9" s="2" t="s">
        <v>2411</v>
      </c>
      <c r="E9" s="2" t="s">
        <v>2374</v>
      </c>
      <c r="F9" s="2" t="s">
        <v>2375</v>
      </c>
      <c r="G9" s="2" t="s">
        <v>20</v>
      </c>
      <c r="H9" s="2" t="s">
        <v>22</v>
      </c>
      <c r="I9" s="2">
        <v>417</v>
      </c>
    </row>
    <row r="10" spans="1:9" x14ac:dyDescent="0.25">
      <c r="A10" s="4" t="s">
        <v>2378</v>
      </c>
      <c r="B10" s="2" t="s">
        <v>244</v>
      </c>
      <c r="C10" s="2">
        <v>617</v>
      </c>
      <c r="D10" s="2" t="s">
        <v>2448</v>
      </c>
      <c r="E10" s="2" t="s">
        <v>2374</v>
      </c>
      <c r="F10" s="2" t="s">
        <v>2375</v>
      </c>
      <c r="G10" s="2" t="s">
        <v>20</v>
      </c>
      <c r="H10" s="2" t="s">
        <v>22</v>
      </c>
      <c r="I10" s="2">
        <v>417</v>
      </c>
    </row>
    <row r="11" spans="1:9" x14ac:dyDescent="0.25">
      <c r="A11" s="4" t="s">
        <v>2378</v>
      </c>
      <c r="B11" s="2" t="s">
        <v>244</v>
      </c>
      <c r="C11" s="2">
        <v>618</v>
      </c>
      <c r="D11" s="2" t="s">
        <v>2452</v>
      </c>
      <c r="E11" s="2" t="s">
        <v>2374</v>
      </c>
      <c r="F11" s="2" t="s">
        <v>2375</v>
      </c>
      <c r="G11" s="2" t="s">
        <v>20</v>
      </c>
      <c r="H11" s="2" t="s">
        <v>22</v>
      </c>
      <c r="I11" s="2">
        <v>417</v>
      </c>
    </row>
    <row r="12" spans="1:9" x14ac:dyDescent="0.25">
      <c r="A12" s="4" t="s">
        <v>2378</v>
      </c>
      <c r="B12" s="2" t="s">
        <v>244</v>
      </c>
      <c r="C12" s="2">
        <v>621</v>
      </c>
      <c r="D12" s="2" t="s">
        <v>2464</v>
      </c>
      <c r="E12" s="2" t="s">
        <v>2374</v>
      </c>
      <c r="F12" s="2" t="s">
        <v>2375</v>
      </c>
      <c r="G12" s="2" t="s">
        <v>20</v>
      </c>
      <c r="H12" s="2" t="s">
        <v>22</v>
      </c>
      <c r="I12" s="2">
        <v>417</v>
      </c>
    </row>
    <row r="13" spans="1:9" x14ac:dyDescent="0.25">
      <c r="A13" s="4" t="s">
        <v>2378</v>
      </c>
      <c r="B13" s="2" t="s">
        <v>244</v>
      </c>
      <c r="C13" s="2">
        <v>634</v>
      </c>
      <c r="D13" s="2" t="s">
        <v>2516</v>
      </c>
      <c r="E13" s="2" t="s">
        <v>2374</v>
      </c>
      <c r="F13" s="2" t="s">
        <v>2375</v>
      </c>
      <c r="G13" s="2" t="s">
        <v>20</v>
      </c>
      <c r="H13" s="2" t="s">
        <v>22</v>
      </c>
      <c r="I13" s="2">
        <v>417</v>
      </c>
    </row>
    <row r="14" spans="1:9" x14ac:dyDescent="0.25">
      <c r="A14" s="4" t="s">
        <v>2378</v>
      </c>
      <c r="B14" s="2" t="s">
        <v>244</v>
      </c>
      <c r="C14" s="2">
        <v>638</v>
      </c>
      <c r="D14" s="2" t="s">
        <v>2533</v>
      </c>
      <c r="E14" s="2" t="s">
        <v>2374</v>
      </c>
      <c r="F14" s="2" t="s">
        <v>2375</v>
      </c>
      <c r="G14" s="2" t="s">
        <v>20</v>
      </c>
      <c r="H14" s="2" t="s">
        <v>22</v>
      </c>
      <c r="I14" s="2">
        <v>417</v>
      </c>
    </row>
    <row r="15" spans="1:9" x14ac:dyDescent="0.25">
      <c r="A15" s="4" t="s">
        <v>2378</v>
      </c>
      <c r="B15" s="2" t="s">
        <v>244</v>
      </c>
      <c r="C15" s="2">
        <v>641</v>
      </c>
      <c r="D15" s="2" t="s">
        <v>2545</v>
      </c>
      <c r="E15" s="2" t="s">
        <v>2374</v>
      </c>
      <c r="F15" s="2" t="s">
        <v>2375</v>
      </c>
      <c r="G15" s="2" t="s">
        <v>20</v>
      </c>
      <c r="H15" s="2" t="s">
        <v>22</v>
      </c>
      <c r="I15" s="2">
        <v>417</v>
      </c>
    </row>
    <row r="16" spans="1:9" x14ac:dyDescent="0.25">
      <c r="A16" s="4" t="s">
        <v>2378</v>
      </c>
      <c r="B16" s="2" t="s">
        <v>244</v>
      </c>
      <c r="C16" s="2">
        <v>645</v>
      </c>
      <c r="D16" s="2" t="s">
        <v>2560</v>
      </c>
      <c r="E16" s="2" t="s">
        <v>2374</v>
      </c>
      <c r="F16" s="2" t="s">
        <v>2375</v>
      </c>
      <c r="G16" s="2" t="s">
        <v>20</v>
      </c>
      <c r="H16" s="2" t="s">
        <v>22</v>
      </c>
      <c r="I16" s="2">
        <v>417</v>
      </c>
    </row>
    <row r="17" spans="1:9" x14ac:dyDescent="0.25">
      <c r="A17" s="4" t="s">
        <v>2378</v>
      </c>
      <c r="B17" s="2" t="s">
        <v>244</v>
      </c>
      <c r="C17" s="2">
        <v>651</v>
      </c>
      <c r="D17" s="2" t="s">
        <v>2584</v>
      </c>
      <c r="E17" s="2" t="s">
        <v>2374</v>
      </c>
      <c r="F17" s="2" t="s">
        <v>2375</v>
      </c>
      <c r="G17" s="2" t="s">
        <v>20</v>
      </c>
      <c r="H17" s="2" t="s">
        <v>22</v>
      </c>
      <c r="I17" s="2">
        <v>417</v>
      </c>
    </row>
    <row r="18" spans="1:9" x14ac:dyDescent="0.25">
      <c r="A18" s="4" t="s">
        <v>2378</v>
      </c>
      <c r="B18" s="2" t="s">
        <v>271</v>
      </c>
      <c r="C18" s="2">
        <v>652</v>
      </c>
      <c r="D18" s="2" t="s">
        <v>2588</v>
      </c>
      <c r="E18" s="2" t="s">
        <v>2374</v>
      </c>
      <c r="F18" s="2" t="s">
        <v>2375</v>
      </c>
      <c r="G18" s="2" t="s">
        <v>20</v>
      </c>
      <c r="H18" s="2" t="s">
        <v>22</v>
      </c>
      <c r="I18" s="2">
        <v>417</v>
      </c>
    </row>
    <row r="19" spans="1:9" x14ac:dyDescent="0.25">
      <c r="A19" s="4" t="s">
        <v>2378</v>
      </c>
      <c r="B19" s="2" t="s">
        <v>271</v>
      </c>
      <c r="C19" s="2">
        <v>661</v>
      </c>
      <c r="D19" s="2" t="s">
        <v>2620</v>
      </c>
      <c r="E19" s="2" t="s">
        <v>2374</v>
      </c>
      <c r="F19" s="2" t="s">
        <v>2375</v>
      </c>
      <c r="G19" s="2" t="s">
        <v>20</v>
      </c>
      <c r="H19" s="2" t="s">
        <v>22</v>
      </c>
      <c r="I19" s="2">
        <v>417</v>
      </c>
    </row>
    <row r="20" spans="1:9" x14ac:dyDescent="0.25">
      <c r="A20" s="4" t="s">
        <v>2378</v>
      </c>
      <c r="B20" s="2" t="s">
        <v>271</v>
      </c>
      <c r="C20" s="2">
        <v>669</v>
      </c>
      <c r="D20" s="2" t="s">
        <v>2650</v>
      </c>
      <c r="E20" s="2" t="s">
        <v>2374</v>
      </c>
      <c r="F20" s="2" t="s">
        <v>2375</v>
      </c>
      <c r="G20" s="2" t="s">
        <v>20</v>
      </c>
      <c r="H20" s="2" t="s">
        <v>22</v>
      </c>
      <c r="I20" s="2">
        <v>417</v>
      </c>
    </row>
    <row r="21" spans="1:9" x14ac:dyDescent="0.25">
      <c r="A21" s="4" t="s">
        <v>2378</v>
      </c>
      <c r="B21" s="2" t="s">
        <v>271</v>
      </c>
      <c r="C21" s="2">
        <v>670</v>
      </c>
      <c r="D21" s="2" t="s">
        <v>2653</v>
      </c>
      <c r="E21" s="2" t="s">
        <v>2374</v>
      </c>
      <c r="F21" s="2" t="s">
        <v>2375</v>
      </c>
      <c r="G21" s="2" t="s">
        <v>20</v>
      </c>
      <c r="H21" s="2" t="s">
        <v>22</v>
      </c>
      <c r="I21" s="2">
        <v>417</v>
      </c>
    </row>
    <row r="22" spans="1:9" x14ac:dyDescent="0.25">
      <c r="A22" s="4" t="s">
        <v>2378</v>
      </c>
      <c r="B22" s="2" t="s">
        <v>271</v>
      </c>
      <c r="C22" s="2">
        <v>672</v>
      </c>
      <c r="D22" s="2" t="s">
        <v>2661</v>
      </c>
      <c r="E22" s="2" t="s">
        <v>2374</v>
      </c>
      <c r="F22" s="2" t="s">
        <v>2375</v>
      </c>
      <c r="G22" s="2" t="s">
        <v>20</v>
      </c>
      <c r="H22" s="2" t="s">
        <v>22</v>
      </c>
      <c r="I22" s="2">
        <v>417</v>
      </c>
    </row>
    <row r="23" spans="1:9" x14ac:dyDescent="0.25">
      <c r="A23" s="4" t="s">
        <v>2378</v>
      </c>
      <c r="B23" s="2" t="s">
        <v>271</v>
      </c>
      <c r="C23" s="2">
        <v>673</v>
      </c>
      <c r="D23" s="2" t="s">
        <v>2665</v>
      </c>
      <c r="E23" s="2" t="s">
        <v>2374</v>
      </c>
      <c r="F23" s="2" t="s">
        <v>2375</v>
      </c>
      <c r="G23" s="2" t="s">
        <v>20</v>
      </c>
      <c r="H23" s="2" t="s">
        <v>22</v>
      </c>
      <c r="I23" s="2">
        <v>417</v>
      </c>
    </row>
    <row r="24" spans="1:9" x14ac:dyDescent="0.25">
      <c r="A24" s="4" t="s">
        <v>2378</v>
      </c>
      <c r="B24" s="2" t="s">
        <v>271</v>
      </c>
      <c r="C24" s="2">
        <v>646</v>
      </c>
      <c r="D24" s="2" t="s">
        <v>2564</v>
      </c>
      <c r="E24" s="2" t="s">
        <v>2374</v>
      </c>
      <c r="F24" s="2" t="s">
        <v>2565</v>
      </c>
      <c r="G24" s="2" t="s">
        <v>20</v>
      </c>
      <c r="H24" s="2" t="s">
        <v>22</v>
      </c>
      <c r="I24" s="2">
        <v>417</v>
      </c>
    </row>
    <row r="25" spans="1:9" x14ac:dyDescent="0.25">
      <c r="A25" s="4" t="s">
        <v>2378</v>
      </c>
      <c r="B25" s="2" t="s">
        <v>271</v>
      </c>
      <c r="C25" s="2">
        <v>647</v>
      </c>
      <c r="D25" s="2" t="s">
        <v>2569</v>
      </c>
      <c r="E25" s="2" t="s">
        <v>2374</v>
      </c>
      <c r="F25" s="2" t="s">
        <v>2565</v>
      </c>
      <c r="G25" s="2" t="s">
        <v>20</v>
      </c>
      <c r="H25" s="2" t="s">
        <v>22</v>
      </c>
      <c r="I25" s="2">
        <v>417</v>
      </c>
    </row>
    <row r="26" spans="1:9" x14ac:dyDescent="0.25">
      <c r="A26" s="4" t="s">
        <v>2378</v>
      </c>
      <c r="B26" s="2" t="s">
        <v>96</v>
      </c>
      <c r="C26" s="2">
        <v>632</v>
      </c>
      <c r="D26" s="2" t="s">
        <v>2508</v>
      </c>
      <c r="E26" s="2" t="s">
        <v>2374</v>
      </c>
      <c r="F26" s="2" t="s">
        <v>2509</v>
      </c>
      <c r="G26" s="2" t="s">
        <v>20</v>
      </c>
      <c r="H26" s="2" t="s">
        <v>22</v>
      </c>
      <c r="I26" s="2">
        <v>417</v>
      </c>
    </row>
    <row r="27" spans="1:9" x14ac:dyDescent="0.25">
      <c r="A27" s="4" t="s">
        <v>2378</v>
      </c>
      <c r="B27" s="2" t="s">
        <v>96</v>
      </c>
      <c r="C27" s="2">
        <v>657</v>
      </c>
      <c r="D27" s="2" t="s">
        <v>2606</v>
      </c>
      <c r="E27" s="2" t="s">
        <v>2374</v>
      </c>
      <c r="F27" s="2" t="s">
        <v>2509</v>
      </c>
      <c r="G27" s="2" t="s">
        <v>20</v>
      </c>
      <c r="H27" s="2" t="s">
        <v>22</v>
      </c>
      <c r="I27" s="2">
        <v>417</v>
      </c>
    </row>
    <row r="28" spans="1:9" x14ac:dyDescent="0.25">
      <c r="A28" s="4" t="s">
        <v>2378</v>
      </c>
      <c r="B28" s="2" t="s">
        <v>96</v>
      </c>
      <c r="C28" s="2">
        <v>671</v>
      </c>
      <c r="D28" s="2" t="s">
        <v>2656</v>
      </c>
      <c r="E28" s="2" t="s">
        <v>2374</v>
      </c>
      <c r="F28" s="2" t="s">
        <v>2657</v>
      </c>
      <c r="G28" s="2" t="s">
        <v>20</v>
      </c>
      <c r="H28" s="2" t="s">
        <v>22</v>
      </c>
      <c r="I28" s="2">
        <v>417</v>
      </c>
    </row>
    <row r="29" spans="1:9" x14ac:dyDescent="0.25">
      <c r="A29" s="4" t="s">
        <v>2378</v>
      </c>
      <c r="B29" s="2" t="s">
        <v>96</v>
      </c>
      <c r="C29" s="2">
        <v>642</v>
      </c>
      <c r="D29" s="2" t="s">
        <v>2548</v>
      </c>
      <c r="E29" s="2" t="s">
        <v>2374</v>
      </c>
      <c r="F29" s="2" t="s">
        <v>2549</v>
      </c>
      <c r="G29" s="2" t="s">
        <v>1969</v>
      </c>
      <c r="H29" s="2" t="s">
        <v>97</v>
      </c>
      <c r="I29" s="2">
        <v>417</v>
      </c>
    </row>
    <row r="30" spans="1:9" x14ac:dyDescent="0.25">
      <c r="A30" s="4" t="s">
        <v>2378</v>
      </c>
      <c r="B30" s="2" t="s">
        <v>96</v>
      </c>
      <c r="C30" s="2">
        <v>667</v>
      </c>
      <c r="D30" s="2" t="s">
        <v>2642</v>
      </c>
      <c r="E30" s="2" t="s">
        <v>2374</v>
      </c>
      <c r="F30" s="2" t="s">
        <v>2549</v>
      </c>
      <c r="G30" s="2" t="s">
        <v>1969</v>
      </c>
      <c r="H30" s="2" t="s">
        <v>97</v>
      </c>
      <c r="I30" s="2">
        <v>417</v>
      </c>
    </row>
    <row r="31" spans="1:9" x14ac:dyDescent="0.25">
      <c r="A31" s="4" t="s">
        <v>2378</v>
      </c>
      <c r="B31" s="2" t="s">
        <v>96</v>
      </c>
      <c r="C31" s="2">
        <v>626</v>
      </c>
      <c r="D31" s="2" t="s">
        <v>2483</v>
      </c>
      <c r="E31" s="2" t="s">
        <v>2374</v>
      </c>
      <c r="F31" s="2" t="s">
        <v>2484</v>
      </c>
      <c r="G31" s="2" t="s">
        <v>1969</v>
      </c>
      <c r="H31" s="2" t="s">
        <v>97</v>
      </c>
      <c r="I31" s="2">
        <v>417</v>
      </c>
    </row>
    <row r="32" spans="1:9" x14ac:dyDescent="0.25">
      <c r="A32" s="4" t="s">
        <v>2378</v>
      </c>
      <c r="B32" s="2" t="s">
        <v>96</v>
      </c>
      <c r="C32" s="2">
        <v>613</v>
      </c>
      <c r="D32" s="2" t="s">
        <v>2428</v>
      </c>
      <c r="E32" s="2" t="s">
        <v>2374</v>
      </c>
      <c r="F32" s="2" t="s">
        <v>2429</v>
      </c>
      <c r="G32" s="2" t="s">
        <v>1969</v>
      </c>
      <c r="H32" s="2" t="s">
        <v>97</v>
      </c>
      <c r="I32" s="2">
        <v>417</v>
      </c>
    </row>
    <row r="33" spans="1:9" x14ac:dyDescent="0.25">
      <c r="A33" s="4" t="s">
        <v>2378</v>
      </c>
      <c r="B33" s="2" t="s">
        <v>96</v>
      </c>
      <c r="C33" s="2">
        <v>603</v>
      </c>
      <c r="D33" s="2" t="s">
        <v>2388</v>
      </c>
      <c r="E33" s="2" t="s">
        <v>2374</v>
      </c>
      <c r="F33" s="2" t="s">
        <v>2389</v>
      </c>
      <c r="G33" s="2" t="s">
        <v>1969</v>
      </c>
      <c r="H33" s="2" t="s">
        <v>97</v>
      </c>
      <c r="I33" s="2">
        <v>417</v>
      </c>
    </row>
    <row r="34" spans="1:9" x14ac:dyDescent="0.25">
      <c r="A34" s="4" t="s">
        <v>19</v>
      </c>
      <c r="B34" s="2" t="s">
        <v>21</v>
      </c>
      <c r="C34" s="2">
        <v>3</v>
      </c>
      <c r="D34" s="2" t="s">
        <v>27</v>
      </c>
      <c r="E34" s="2" t="s">
        <v>15</v>
      </c>
      <c r="F34" s="2" t="s">
        <v>28</v>
      </c>
      <c r="G34" s="2" t="s">
        <v>20</v>
      </c>
      <c r="H34" s="2" t="s">
        <v>22</v>
      </c>
      <c r="I34" s="2">
        <v>942</v>
      </c>
    </row>
    <row r="35" spans="1:9" x14ac:dyDescent="0.25">
      <c r="A35" s="4" t="s">
        <v>19</v>
      </c>
      <c r="B35" s="2" t="s">
        <v>21</v>
      </c>
      <c r="C35" s="2">
        <v>4</v>
      </c>
      <c r="D35" s="2" t="s">
        <v>32</v>
      </c>
      <c r="E35" s="2" t="s">
        <v>15</v>
      </c>
      <c r="F35" s="2" t="s">
        <v>28</v>
      </c>
      <c r="G35" s="2" t="s">
        <v>20</v>
      </c>
      <c r="H35" s="2" t="s">
        <v>22</v>
      </c>
      <c r="I35" s="2">
        <v>942</v>
      </c>
    </row>
    <row r="36" spans="1:9" x14ac:dyDescent="0.25">
      <c r="A36" s="4" t="s">
        <v>19</v>
      </c>
      <c r="B36" s="2" t="s">
        <v>21</v>
      </c>
      <c r="C36" s="2">
        <v>7</v>
      </c>
      <c r="D36" s="2" t="s">
        <v>44</v>
      </c>
      <c r="E36" s="2" t="s">
        <v>15</v>
      </c>
      <c r="F36" s="2" t="s">
        <v>28</v>
      </c>
      <c r="G36" s="2" t="s">
        <v>20</v>
      </c>
      <c r="H36" s="2" t="s">
        <v>22</v>
      </c>
      <c r="I36" s="2">
        <v>942</v>
      </c>
    </row>
    <row r="37" spans="1:9" x14ac:dyDescent="0.25">
      <c r="A37" s="4" t="s">
        <v>19</v>
      </c>
      <c r="B37" s="2" t="s">
        <v>21</v>
      </c>
      <c r="C37" s="2">
        <v>15</v>
      </c>
      <c r="D37" s="2" t="s">
        <v>73</v>
      </c>
      <c r="E37" s="2" t="s">
        <v>15</v>
      </c>
      <c r="F37" s="2" t="s">
        <v>28</v>
      </c>
      <c r="G37" s="2" t="s">
        <v>20</v>
      </c>
      <c r="H37" s="2" t="s">
        <v>22</v>
      </c>
      <c r="I37" s="2">
        <v>942</v>
      </c>
    </row>
    <row r="38" spans="1:9" x14ac:dyDescent="0.25">
      <c r="A38" s="4" t="s">
        <v>19</v>
      </c>
      <c r="B38" s="2" t="s">
        <v>21</v>
      </c>
      <c r="C38" s="2">
        <v>1</v>
      </c>
      <c r="D38" s="2" t="s">
        <v>13</v>
      </c>
      <c r="E38" s="2" t="s">
        <v>15</v>
      </c>
      <c r="F38" s="2" t="s">
        <v>16</v>
      </c>
      <c r="G38" s="2" t="s">
        <v>20</v>
      </c>
      <c r="H38" s="2" t="s">
        <v>22</v>
      </c>
      <c r="I38" s="2">
        <v>942</v>
      </c>
    </row>
    <row r="39" spans="1:9" x14ac:dyDescent="0.25">
      <c r="A39" s="4" t="s">
        <v>19</v>
      </c>
      <c r="B39" s="2" t="s">
        <v>21</v>
      </c>
      <c r="C39" s="2">
        <v>2</v>
      </c>
      <c r="D39" s="2" t="s">
        <v>24</v>
      </c>
      <c r="E39" s="2" t="s">
        <v>15</v>
      </c>
      <c r="F39" s="2" t="s">
        <v>16</v>
      </c>
      <c r="G39" s="2" t="s">
        <v>20</v>
      </c>
      <c r="H39" s="2" t="s">
        <v>22</v>
      </c>
      <c r="I39" s="2">
        <v>942</v>
      </c>
    </row>
    <row r="40" spans="1:9" x14ac:dyDescent="0.25">
      <c r="A40" s="4" t="s">
        <v>19</v>
      </c>
      <c r="B40" s="2" t="s">
        <v>21</v>
      </c>
      <c r="C40" s="2">
        <v>5</v>
      </c>
      <c r="D40" s="2" t="s">
        <v>36</v>
      </c>
      <c r="E40" s="2" t="s">
        <v>15</v>
      </c>
      <c r="F40" s="2" t="s">
        <v>16</v>
      </c>
      <c r="G40" s="2" t="s">
        <v>20</v>
      </c>
      <c r="H40" s="2" t="s">
        <v>22</v>
      </c>
      <c r="I40" s="2">
        <v>942</v>
      </c>
    </row>
    <row r="41" spans="1:9" x14ac:dyDescent="0.25">
      <c r="A41" s="4" t="s">
        <v>19</v>
      </c>
      <c r="B41" s="2" t="s">
        <v>21</v>
      </c>
      <c r="C41" s="2">
        <v>6</v>
      </c>
      <c r="D41" s="2" t="s">
        <v>40</v>
      </c>
      <c r="E41" s="2" t="s">
        <v>15</v>
      </c>
      <c r="F41" s="2" t="s">
        <v>16</v>
      </c>
      <c r="G41" s="2" t="s">
        <v>20</v>
      </c>
      <c r="H41" s="2" t="s">
        <v>22</v>
      </c>
      <c r="I41" s="2">
        <v>942</v>
      </c>
    </row>
    <row r="42" spans="1:9" x14ac:dyDescent="0.25">
      <c r="A42" s="4" t="s">
        <v>19</v>
      </c>
      <c r="B42" s="2" t="s">
        <v>21</v>
      </c>
      <c r="C42" s="2">
        <v>8</v>
      </c>
      <c r="D42" s="2" t="s">
        <v>48</v>
      </c>
      <c r="E42" s="2" t="s">
        <v>15</v>
      </c>
      <c r="F42" s="2" t="s">
        <v>16</v>
      </c>
      <c r="G42" s="2" t="s">
        <v>20</v>
      </c>
      <c r="H42" s="2" t="s">
        <v>22</v>
      </c>
      <c r="I42" s="2">
        <v>942</v>
      </c>
    </row>
    <row r="43" spans="1:9" x14ac:dyDescent="0.25">
      <c r="A43" s="4" t="s">
        <v>19</v>
      </c>
      <c r="B43" s="2" t="s">
        <v>21</v>
      </c>
      <c r="C43" s="2">
        <v>9</v>
      </c>
      <c r="D43" s="2" t="s">
        <v>51</v>
      </c>
      <c r="E43" s="2" t="s">
        <v>15</v>
      </c>
      <c r="F43" s="2" t="s">
        <v>16</v>
      </c>
      <c r="G43" s="2" t="s">
        <v>20</v>
      </c>
      <c r="H43" s="2" t="s">
        <v>22</v>
      </c>
      <c r="I43" s="2">
        <v>942</v>
      </c>
    </row>
    <row r="44" spans="1:9" x14ac:dyDescent="0.25">
      <c r="A44" s="4" t="s">
        <v>19</v>
      </c>
      <c r="B44" s="2" t="s">
        <v>21</v>
      </c>
      <c r="C44" s="2">
        <v>10</v>
      </c>
      <c r="D44" s="2" t="s">
        <v>55</v>
      </c>
      <c r="E44" s="2" t="s">
        <v>15</v>
      </c>
      <c r="F44" s="2" t="s">
        <v>16</v>
      </c>
      <c r="G44" s="2" t="s">
        <v>20</v>
      </c>
      <c r="H44" s="2" t="s">
        <v>22</v>
      </c>
      <c r="I44" s="2">
        <v>942</v>
      </c>
    </row>
    <row r="45" spans="1:9" x14ac:dyDescent="0.25">
      <c r="A45" s="4" t="s">
        <v>19</v>
      </c>
      <c r="B45" s="2" t="s">
        <v>21</v>
      </c>
      <c r="C45" s="2">
        <v>11</v>
      </c>
      <c r="D45" s="2" t="s">
        <v>58</v>
      </c>
      <c r="E45" s="2" t="s">
        <v>15</v>
      </c>
      <c r="F45" s="2" t="s">
        <v>16</v>
      </c>
      <c r="G45" s="2" t="s">
        <v>20</v>
      </c>
      <c r="H45" s="2" t="s">
        <v>22</v>
      </c>
      <c r="I45" s="2">
        <v>942</v>
      </c>
    </row>
    <row r="46" spans="1:9" x14ac:dyDescent="0.25">
      <c r="A46" s="4" t="s">
        <v>19</v>
      </c>
      <c r="B46" s="2" t="s">
        <v>21</v>
      </c>
      <c r="C46" s="2">
        <v>12</v>
      </c>
      <c r="D46" s="2" t="s">
        <v>61</v>
      </c>
      <c r="E46" s="2" t="s">
        <v>15</v>
      </c>
      <c r="F46" s="2" t="s">
        <v>16</v>
      </c>
      <c r="G46" s="2" t="s">
        <v>20</v>
      </c>
      <c r="H46" s="2" t="s">
        <v>22</v>
      </c>
      <c r="I46" s="2">
        <v>942</v>
      </c>
    </row>
    <row r="47" spans="1:9" x14ac:dyDescent="0.25">
      <c r="A47" s="4" t="s">
        <v>19</v>
      </c>
      <c r="B47" s="2" t="s">
        <v>21</v>
      </c>
      <c r="C47" s="2">
        <v>13</v>
      </c>
      <c r="D47" s="2" t="s">
        <v>65</v>
      </c>
      <c r="E47" s="2" t="s">
        <v>15</v>
      </c>
      <c r="F47" s="2" t="s">
        <v>16</v>
      </c>
      <c r="G47" s="2" t="s">
        <v>20</v>
      </c>
      <c r="H47" s="2" t="s">
        <v>22</v>
      </c>
      <c r="I47" s="2">
        <v>942</v>
      </c>
    </row>
    <row r="48" spans="1:9" x14ac:dyDescent="0.25">
      <c r="A48" s="4" t="s">
        <v>19</v>
      </c>
      <c r="B48" s="2" t="s">
        <v>21</v>
      </c>
      <c r="C48" s="2">
        <v>14</v>
      </c>
      <c r="D48" s="2" t="s">
        <v>69</v>
      </c>
      <c r="E48" s="2" t="s">
        <v>15</v>
      </c>
      <c r="F48" s="2" t="s">
        <v>16</v>
      </c>
      <c r="G48" s="2" t="s">
        <v>20</v>
      </c>
      <c r="H48" s="2" t="s">
        <v>22</v>
      </c>
      <c r="I48" s="2">
        <v>942</v>
      </c>
    </row>
    <row r="49" spans="1:9" x14ac:dyDescent="0.25">
      <c r="A49" s="4" t="s">
        <v>19</v>
      </c>
      <c r="B49" s="2" t="s">
        <v>21</v>
      </c>
      <c r="C49" s="2">
        <v>16</v>
      </c>
      <c r="D49" s="2" t="s">
        <v>77</v>
      </c>
      <c r="E49" s="2" t="s">
        <v>15</v>
      </c>
      <c r="F49" s="2" t="s">
        <v>16</v>
      </c>
      <c r="G49" s="2" t="s">
        <v>20</v>
      </c>
      <c r="H49" s="2" t="s">
        <v>22</v>
      </c>
      <c r="I49" s="2">
        <v>942</v>
      </c>
    </row>
    <row r="50" spans="1:9" x14ac:dyDescent="0.25">
      <c r="A50" s="4" t="s">
        <v>19</v>
      </c>
      <c r="B50" s="2" t="s">
        <v>21</v>
      </c>
      <c r="C50" s="2">
        <v>17</v>
      </c>
      <c r="D50" s="2" t="s">
        <v>81</v>
      </c>
      <c r="E50" s="2" t="s">
        <v>15</v>
      </c>
      <c r="F50" s="2" t="s">
        <v>16</v>
      </c>
      <c r="G50" s="2" t="s">
        <v>20</v>
      </c>
      <c r="H50" s="2" t="s">
        <v>22</v>
      </c>
      <c r="I50" s="2">
        <v>942</v>
      </c>
    </row>
    <row r="51" spans="1:9" x14ac:dyDescent="0.25">
      <c r="A51" s="4" t="s">
        <v>19</v>
      </c>
      <c r="B51" s="2" t="s">
        <v>21</v>
      </c>
      <c r="C51" s="2">
        <v>20</v>
      </c>
      <c r="D51" s="2" t="s">
        <v>99</v>
      </c>
      <c r="E51" s="2" t="s">
        <v>86</v>
      </c>
      <c r="F51" s="2" t="s">
        <v>100</v>
      </c>
      <c r="G51" s="2" t="s">
        <v>20</v>
      </c>
      <c r="H51" s="2" t="s">
        <v>22</v>
      </c>
      <c r="I51" s="2">
        <v>1023</v>
      </c>
    </row>
    <row r="52" spans="1:9" x14ac:dyDescent="0.25">
      <c r="A52" s="4" t="s">
        <v>19</v>
      </c>
      <c r="B52" s="2" t="s">
        <v>21</v>
      </c>
      <c r="C52" s="2">
        <v>27</v>
      </c>
      <c r="D52" s="2" t="s">
        <v>128</v>
      </c>
      <c r="E52" s="2" t="s">
        <v>86</v>
      </c>
      <c r="F52" s="2" t="s">
        <v>100</v>
      </c>
      <c r="G52" s="2" t="s">
        <v>20</v>
      </c>
      <c r="H52" s="2" t="s">
        <v>22</v>
      </c>
      <c r="I52" s="2">
        <v>1023</v>
      </c>
    </row>
    <row r="53" spans="1:9" x14ac:dyDescent="0.25">
      <c r="A53" s="4" t="s">
        <v>19</v>
      </c>
      <c r="B53" s="2" t="s">
        <v>21</v>
      </c>
      <c r="C53" s="2">
        <v>32</v>
      </c>
      <c r="D53" s="2" t="s">
        <v>150</v>
      </c>
      <c r="E53" s="2" t="s">
        <v>86</v>
      </c>
      <c r="F53" s="2" t="s">
        <v>100</v>
      </c>
      <c r="G53" s="2" t="s">
        <v>20</v>
      </c>
      <c r="H53" s="2" t="s">
        <v>22</v>
      </c>
      <c r="I53" s="2">
        <v>1023</v>
      </c>
    </row>
    <row r="54" spans="1:9" x14ac:dyDescent="0.25">
      <c r="A54" s="4" t="s">
        <v>19</v>
      </c>
      <c r="B54" s="2" t="s">
        <v>21</v>
      </c>
      <c r="C54" s="2">
        <v>36</v>
      </c>
      <c r="D54" s="2" t="s">
        <v>166</v>
      </c>
      <c r="E54" s="2" t="s">
        <v>86</v>
      </c>
      <c r="F54" s="2" t="s">
        <v>100</v>
      </c>
      <c r="G54" s="2" t="s">
        <v>20</v>
      </c>
      <c r="H54" s="2" t="s">
        <v>22</v>
      </c>
      <c r="I54" s="2">
        <v>1023</v>
      </c>
    </row>
    <row r="55" spans="1:9" x14ac:dyDescent="0.25">
      <c r="A55" s="4" t="s">
        <v>19</v>
      </c>
      <c r="B55" s="2" t="s">
        <v>21</v>
      </c>
      <c r="C55" s="2">
        <v>42</v>
      </c>
      <c r="D55" s="2" t="s">
        <v>192</v>
      </c>
      <c r="E55" s="2" t="s">
        <v>86</v>
      </c>
      <c r="F55" s="2" t="s">
        <v>100</v>
      </c>
      <c r="G55" s="2" t="s">
        <v>20</v>
      </c>
      <c r="H55" s="2" t="s">
        <v>22</v>
      </c>
      <c r="I55" s="2">
        <v>1023</v>
      </c>
    </row>
    <row r="56" spans="1:9" x14ac:dyDescent="0.25">
      <c r="A56" s="4" t="s">
        <v>19</v>
      </c>
      <c r="B56" s="2" t="s">
        <v>21</v>
      </c>
      <c r="C56" s="2">
        <v>25</v>
      </c>
      <c r="D56" s="2" t="s">
        <v>120</v>
      </c>
      <c r="E56" s="2" t="s">
        <v>86</v>
      </c>
      <c r="F56" s="2" t="s">
        <v>121</v>
      </c>
      <c r="G56" s="2" t="s">
        <v>20</v>
      </c>
      <c r="H56" s="2" t="s">
        <v>22</v>
      </c>
      <c r="I56" s="2">
        <v>1023</v>
      </c>
    </row>
    <row r="57" spans="1:9" x14ac:dyDescent="0.25">
      <c r="A57" s="4" t="s">
        <v>19</v>
      </c>
      <c r="B57" s="2" t="s">
        <v>21</v>
      </c>
      <c r="C57" s="2">
        <v>28</v>
      </c>
      <c r="D57" s="2" t="s">
        <v>132</v>
      </c>
      <c r="E57" s="2" t="s">
        <v>86</v>
      </c>
      <c r="F57" s="2" t="s">
        <v>121</v>
      </c>
      <c r="G57" s="2" t="s">
        <v>20</v>
      </c>
      <c r="H57" s="2" t="s">
        <v>22</v>
      </c>
      <c r="I57" s="2">
        <v>1023</v>
      </c>
    </row>
    <row r="58" spans="1:9" x14ac:dyDescent="0.25">
      <c r="A58" s="4" t="s">
        <v>19</v>
      </c>
      <c r="B58" s="2" t="s">
        <v>21</v>
      </c>
      <c r="C58" s="2">
        <v>33</v>
      </c>
      <c r="D58" s="2" t="s">
        <v>154</v>
      </c>
      <c r="E58" s="2" t="s">
        <v>86</v>
      </c>
      <c r="F58" s="2" t="s">
        <v>121</v>
      </c>
      <c r="G58" s="2" t="s">
        <v>20</v>
      </c>
      <c r="H58" s="2" t="s">
        <v>22</v>
      </c>
      <c r="I58" s="2">
        <v>1023</v>
      </c>
    </row>
    <row r="59" spans="1:9" x14ac:dyDescent="0.25">
      <c r="A59" s="4" t="s">
        <v>19</v>
      </c>
      <c r="B59" s="2" t="s">
        <v>21</v>
      </c>
      <c r="C59" s="2">
        <v>18</v>
      </c>
      <c r="D59" s="2" t="s">
        <v>85</v>
      </c>
      <c r="E59" s="2" t="s">
        <v>86</v>
      </c>
      <c r="F59" s="2" t="s">
        <v>87</v>
      </c>
      <c r="G59" s="2" t="s">
        <v>20</v>
      </c>
      <c r="H59" s="2" t="s">
        <v>22</v>
      </c>
      <c r="I59" s="2">
        <v>1023</v>
      </c>
    </row>
    <row r="60" spans="1:9" x14ac:dyDescent="0.25">
      <c r="A60" s="4" t="s">
        <v>19</v>
      </c>
      <c r="B60" s="2" t="s">
        <v>21</v>
      </c>
      <c r="C60" s="2">
        <v>21</v>
      </c>
      <c r="D60" s="2" t="s">
        <v>104</v>
      </c>
      <c r="E60" s="2" t="s">
        <v>86</v>
      </c>
      <c r="F60" s="2" t="s">
        <v>87</v>
      </c>
      <c r="G60" s="2" t="s">
        <v>20</v>
      </c>
      <c r="H60" s="2" t="s">
        <v>22</v>
      </c>
      <c r="I60" s="2">
        <v>1023</v>
      </c>
    </row>
    <row r="61" spans="1:9" x14ac:dyDescent="0.25">
      <c r="A61" s="4" t="s">
        <v>19</v>
      </c>
      <c r="B61" s="2" t="s">
        <v>21</v>
      </c>
      <c r="C61" s="2">
        <v>23</v>
      </c>
      <c r="D61" s="2" t="s">
        <v>113</v>
      </c>
      <c r="E61" s="2" t="s">
        <v>86</v>
      </c>
      <c r="F61" s="2" t="s">
        <v>87</v>
      </c>
      <c r="G61" s="2" t="s">
        <v>20</v>
      </c>
      <c r="H61" s="2" t="s">
        <v>22</v>
      </c>
      <c r="I61" s="2">
        <v>1023</v>
      </c>
    </row>
    <row r="62" spans="1:9" x14ac:dyDescent="0.25">
      <c r="A62" s="4" t="s">
        <v>19</v>
      </c>
      <c r="B62" s="2" t="s">
        <v>21</v>
      </c>
      <c r="C62" s="2">
        <v>24</v>
      </c>
      <c r="D62" s="2" t="s">
        <v>116</v>
      </c>
      <c r="E62" s="2" t="s">
        <v>86</v>
      </c>
      <c r="F62" s="2" t="s">
        <v>87</v>
      </c>
      <c r="G62" s="2" t="s">
        <v>20</v>
      </c>
      <c r="H62" s="2" t="s">
        <v>22</v>
      </c>
      <c r="I62" s="2">
        <v>1023</v>
      </c>
    </row>
    <row r="63" spans="1:9" x14ac:dyDescent="0.25">
      <c r="A63" s="4" t="s">
        <v>19</v>
      </c>
      <c r="B63" s="2" t="s">
        <v>21</v>
      </c>
      <c r="C63" s="2">
        <v>26</v>
      </c>
      <c r="D63" s="2" t="s">
        <v>125</v>
      </c>
      <c r="E63" s="2" t="s">
        <v>86</v>
      </c>
      <c r="F63" s="2" t="s">
        <v>87</v>
      </c>
      <c r="G63" s="2" t="s">
        <v>20</v>
      </c>
      <c r="H63" s="2" t="s">
        <v>22</v>
      </c>
      <c r="I63" s="2">
        <v>1023</v>
      </c>
    </row>
    <row r="64" spans="1:9" x14ac:dyDescent="0.25">
      <c r="A64" s="4" t="s">
        <v>19</v>
      </c>
      <c r="B64" s="2" t="s">
        <v>21</v>
      </c>
      <c r="C64" s="2">
        <v>38</v>
      </c>
      <c r="D64" s="2" t="s">
        <v>174</v>
      </c>
      <c r="E64" s="2" t="s">
        <v>86</v>
      </c>
      <c r="F64" s="2" t="s">
        <v>87</v>
      </c>
      <c r="G64" s="2" t="s">
        <v>20</v>
      </c>
      <c r="H64" s="2" t="s">
        <v>22</v>
      </c>
      <c r="I64" s="2">
        <v>1023</v>
      </c>
    </row>
    <row r="65" spans="1:9" x14ac:dyDescent="0.25">
      <c r="A65" s="4" t="s">
        <v>19</v>
      </c>
      <c r="B65" s="2" t="s">
        <v>21</v>
      </c>
      <c r="C65" s="2">
        <v>39</v>
      </c>
      <c r="D65" s="2" t="s">
        <v>178</v>
      </c>
      <c r="E65" s="2" t="s">
        <v>86</v>
      </c>
      <c r="F65" s="2" t="s">
        <v>87</v>
      </c>
      <c r="G65" s="2" t="s">
        <v>20</v>
      </c>
      <c r="H65" s="2" t="s">
        <v>22</v>
      </c>
      <c r="I65" s="2">
        <v>1023</v>
      </c>
    </row>
    <row r="66" spans="1:9" x14ac:dyDescent="0.25">
      <c r="A66" s="4" t="s">
        <v>19</v>
      </c>
      <c r="B66" s="2" t="s">
        <v>21</v>
      </c>
      <c r="C66" s="2">
        <v>44</v>
      </c>
      <c r="D66" s="2" t="s">
        <v>200</v>
      </c>
      <c r="E66" s="2" t="s">
        <v>86</v>
      </c>
      <c r="F66" s="2" t="s">
        <v>87</v>
      </c>
      <c r="G66" s="2" t="s">
        <v>20</v>
      </c>
      <c r="H66" s="2" t="s">
        <v>22</v>
      </c>
      <c r="I66" s="2">
        <v>1023</v>
      </c>
    </row>
    <row r="67" spans="1:9" x14ac:dyDescent="0.25">
      <c r="A67" s="4" t="s">
        <v>19</v>
      </c>
      <c r="B67" s="2" t="s">
        <v>21</v>
      </c>
      <c r="C67" s="2">
        <v>48</v>
      </c>
      <c r="D67" s="2" t="s">
        <v>218</v>
      </c>
      <c r="E67" s="2" t="s">
        <v>86</v>
      </c>
      <c r="F67" s="2" t="s">
        <v>87</v>
      </c>
      <c r="G67" s="2" t="s">
        <v>20</v>
      </c>
      <c r="H67" s="2" t="s">
        <v>22</v>
      </c>
      <c r="I67" s="2">
        <v>1023</v>
      </c>
    </row>
    <row r="68" spans="1:9" x14ac:dyDescent="0.25">
      <c r="A68" s="4" t="s">
        <v>19</v>
      </c>
      <c r="B68" s="2" t="s">
        <v>21</v>
      </c>
      <c r="C68" s="2">
        <v>50</v>
      </c>
      <c r="D68" s="2" t="s">
        <v>227</v>
      </c>
      <c r="E68" s="2" t="s">
        <v>86</v>
      </c>
      <c r="F68" s="2" t="s">
        <v>87</v>
      </c>
      <c r="G68" s="2" t="s">
        <v>20</v>
      </c>
      <c r="H68" s="2" t="s">
        <v>22</v>
      </c>
      <c r="I68" s="2">
        <v>1023</v>
      </c>
    </row>
    <row r="69" spans="1:9" x14ac:dyDescent="0.25">
      <c r="A69" s="4" t="s">
        <v>19</v>
      </c>
      <c r="B69" s="2" t="s">
        <v>21</v>
      </c>
      <c r="C69" s="2">
        <v>491</v>
      </c>
      <c r="D69" s="2" t="s">
        <v>1960</v>
      </c>
      <c r="E69" s="2" t="s">
        <v>1961</v>
      </c>
      <c r="F69" s="2" t="s">
        <v>1962</v>
      </c>
      <c r="G69" s="2" t="s">
        <v>20</v>
      </c>
      <c r="H69" s="2" t="s">
        <v>22</v>
      </c>
      <c r="I69" s="2">
        <v>380</v>
      </c>
    </row>
    <row r="70" spans="1:9" x14ac:dyDescent="0.25">
      <c r="A70" s="4" t="s">
        <v>19</v>
      </c>
      <c r="B70" s="2" t="s">
        <v>21</v>
      </c>
      <c r="C70" s="2">
        <v>494</v>
      </c>
      <c r="D70" s="2" t="s">
        <v>1975</v>
      </c>
      <c r="E70" s="2" t="s">
        <v>1961</v>
      </c>
      <c r="F70" s="2" t="s">
        <v>1962</v>
      </c>
      <c r="G70" s="2" t="s">
        <v>20</v>
      </c>
      <c r="H70" s="2" t="s">
        <v>22</v>
      </c>
      <c r="I70" s="2">
        <v>380</v>
      </c>
    </row>
    <row r="71" spans="1:9" x14ac:dyDescent="0.25">
      <c r="A71" s="4" t="s">
        <v>19</v>
      </c>
      <c r="B71" s="2" t="s">
        <v>21</v>
      </c>
      <c r="C71" s="2">
        <v>502</v>
      </c>
      <c r="D71" s="2" t="s">
        <v>2006</v>
      </c>
      <c r="E71" s="2" t="s">
        <v>1961</v>
      </c>
      <c r="F71" s="2" t="s">
        <v>1962</v>
      </c>
      <c r="G71" s="2" t="s">
        <v>20</v>
      </c>
      <c r="H71" s="2" t="s">
        <v>22</v>
      </c>
      <c r="I71" s="2">
        <v>380</v>
      </c>
    </row>
    <row r="72" spans="1:9" x14ac:dyDescent="0.25">
      <c r="A72" s="4" t="s">
        <v>19</v>
      </c>
      <c r="B72" s="2" t="s">
        <v>21</v>
      </c>
      <c r="C72" s="2">
        <v>510</v>
      </c>
      <c r="D72" s="2" t="s">
        <v>2040</v>
      </c>
      <c r="E72" s="2" t="s">
        <v>1961</v>
      </c>
      <c r="F72" s="2" t="s">
        <v>1962</v>
      </c>
      <c r="G72" s="2" t="s">
        <v>20</v>
      </c>
      <c r="H72" s="2" t="s">
        <v>22</v>
      </c>
      <c r="I72" s="2">
        <v>380</v>
      </c>
    </row>
    <row r="73" spans="1:9" x14ac:dyDescent="0.25">
      <c r="A73" s="4" t="s">
        <v>19</v>
      </c>
      <c r="B73" s="2" t="s">
        <v>21</v>
      </c>
      <c r="C73" s="2">
        <v>511</v>
      </c>
      <c r="D73" s="2" t="s">
        <v>2044</v>
      </c>
      <c r="E73" s="2" t="s">
        <v>1961</v>
      </c>
      <c r="F73" s="2" t="s">
        <v>1962</v>
      </c>
      <c r="G73" s="2" t="s">
        <v>20</v>
      </c>
      <c r="H73" s="2" t="s">
        <v>22</v>
      </c>
      <c r="I73" s="2">
        <v>380</v>
      </c>
    </row>
    <row r="74" spans="1:9" x14ac:dyDescent="0.25">
      <c r="A74" s="4" t="s">
        <v>19</v>
      </c>
      <c r="B74" s="2" t="s">
        <v>21</v>
      </c>
      <c r="C74" s="2">
        <v>521</v>
      </c>
      <c r="D74" s="2" t="s">
        <v>2083</v>
      </c>
      <c r="E74" s="2" t="s">
        <v>1961</v>
      </c>
      <c r="F74" s="2" t="s">
        <v>1962</v>
      </c>
      <c r="G74" s="2" t="s">
        <v>20</v>
      </c>
      <c r="H74" s="2" t="s">
        <v>22</v>
      </c>
      <c r="I74" s="2">
        <v>380</v>
      </c>
    </row>
    <row r="75" spans="1:9" x14ac:dyDescent="0.25">
      <c r="A75" s="4" t="s">
        <v>19</v>
      </c>
      <c r="B75" s="2" t="s">
        <v>21</v>
      </c>
      <c r="C75" s="2">
        <v>526</v>
      </c>
      <c r="D75" s="2" t="s">
        <v>2101</v>
      </c>
      <c r="E75" s="2" t="s">
        <v>1961</v>
      </c>
      <c r="F75" s="2" t="s">
        <v>1962</v>
      </c>
      <c r="G75" s="2" t="s">
        <v>20</v>
      </c>
      <c r="H75" s="2" t="s">
        <v>22</v>
      </c>
      <c r="I75" s="2">
        <v>380</v>
      </c>
    </row>
    <row r="76" spans="1:9" x14ac:dyDescent="0.25">
      <c r="A76" s="4" t="s">
        <v>19</v>
      </c>
      <c r="B76" s="2" t="s">
        <v>21</v>
      </c>
      <c r="C76" s="2">
        <v>527</v>
      </c>
      <c r="D76" s="2" t="s">
        <v>2104</v>
      </c>
      <c r="E76" s="2" t="s">
        <v>1961</v>
      </c>
      <c r="F76" s="2" t="s">
        <v>1962</v>
      </c>
      <c r="G76" s="2" t="s">
        <v>20</v>
      </c>
      <c r="H76" s="2" t="s">
        <v>22</v>
      </c>
      <c r="I76" s="2">
        <v>380</v>
      </c>
    </row>
    <row r="77" spans="1:9" x14ac:dyDescent="0.25">
      <c r="A77" s="4" t="s">
        <v>19</v>
      </c>
      <c r="B77" s="2" t="s">
        <v>21</v>
      </c>
      <c r="C77" s="2">
        <v>528</v>
      </c>
      <c r="D77" s="2" t="s">
        <v>2108</v>
      </c>
      <c r="E77" s="2" t="s">
        <v>1961</v>
      </c>
      <c r="F77" s="2" t="s">
        <v>1962</v>
      </c>
      <c r="G77" s="2" t="s">
        <v>20</v>
      </c>
      <c r="H77" s="2" t="s">
        <v>22</v>
      </c>
      <c r="I77" s="2">
        <v>380</v>
      </c>
    </row>
    <row r="78" spans="1:9" x14ac:dyDescent="0.25">
      <c r="A78" s="4" t="s">
        <v>19</v>
      </c>
      <c r="B78" s="2" t="s">
        <v>21</v>
      </c>
      <c r="C78" s="2">
        <v>532</v>
      </c>
      <c r="D78" s="2" t="s">
        <v>2121</v>
      </c>
      <c r="E78" s="2" t="s">
        <v>1961</v>
      </c>
      <c r="F78" s="2" t="s">
        <v>1962</v>
      </c>
      <c r="G78" s="2" t="s">
        <v>20</v>
      </c>
      <c r="H78" s="2" t="s">
        <v>22</v>
      </c>
      <c r="I78" s="2">
        <v>380</v>
      </c>
    </row>
    <row r="79" spans="1:9" x14ac:dyDescent="0.25">
      <c r="A79" s="4" t="s">
        <v>19</v>
      </c>
      <c r="B79" s="2" t="s">
        <v>21</v>
      </c>
      <c r="C79" s="2">
        <v>536</v>
      </c>
      <c r="D79" s="2" t="s">
        <v>2136</v>
      </c>
      <c r="E79" s="2" t="s">
        <v>1961</v>
      </c>
      <c r="F79" s="2" t="s">
        <v>1962</v>
      </c>
      <c r="G79" s="2" t="s">
        <v>20</v>
      </c>
      <c r="H79" s="2" t="s">
        <v>22</v>
      </c>
      <c r="I79" s="2">
        <v>380</v>
      </c>
    </row>
    <row r="80" spans="1:9" x14ac:dyDescent="0.25">
      <c r="A80" s="4" t="s">
        <v>19</v>
      </c>
      <c r="B80" s="2" t="s">
        <v>21</v>
      </c>
      <c r="C80" s="2">
        <v>542</v>
      </c>
      <c r="D80" s="2" t="s">
        <v>2161</v>
      </c>
      <c r="E80" s="2" t="s">
        <v>1961</v>
      </c>
      <c r="F80" s="2" t="s">
        <v>1962</v>
      </c>
      <c r="G80" s="2" t="s">
        <v>20</v>
      </c>
      <c r="H80" s="2" t="s">
        <v>22</v>
      </c>
      <c r="I80" s="2">
        <v>380</v>
      </c>
    </row>
    <row r="81" spans="1:9" x14ac:dyDescent="0.25">
      <c r="A81" s="4" t="s">
        <v>19</v>
      </c>
      <c r="B81" s="2" t="s">
        <v>21</v>
      </c>
      <c r="C81" s="2">
        <v>564</v>
      </c>
      <c r="D81" s="2" t="s">
        <v>2241</v>
      </c>
      <c r="E81" s="2" t="s">
        <v>1961</v>
      </c>
      <c r="F81" s="2" t="s">
        <v>1962</v>
      </c>
      <c r="G81" s="2" t="s">
        <v>20</v>
      </c>
      <c r="H81" s="2" t="s">
        <v>22</v>
      </c>
      <c r="I81" s="2">
        <v>380</v>
      </c>
    </row>
    <row r="82" spans="1:9" x14ac:dyDescent="0.25">
      <c r="A82" s="4" t="s">
        <v>19</v>
      </c>
      <c r="B82" s="2" t="s">
        <v>21</v>
      </c>
      <c r="C82" s="2">
        <v>543</v>
      </c>
      <c r="D82" s="2" t="s">
        <v>2165</v>
      </c>
      <c r="E82" s="2" t="s">
        <v>1961</v>
      </c>
      <c r="F82" s="2" t="s">
        <v>2166</v>
      </c>
      <c r="G82" s="2" t="s">
        <v>1985</v>
      </c>
      <c r="H82" s="2" t="s">
        <v>1986</v>
      </c>
      <c r="I82" s="2">
        <v>380</v>
      </c>
    </row>
    <row r="83" spans="1:9" x14ac:dyDescent="0.25">
      <c r="A83" s="4" t="s">
        <v>19</v>
      </c>
      <c r="B83" s="2" t="s">
        <v>21</v>
      </c>
      <c r="C83" s="2">
        <v>566</v>
      </c>
      <c r="D83" s="2" t="s">
        <v>2249</v>
      </c>
      <c r="E83" s="2" t="s">
        <v>1961</v>
      </c>
      <c r="F83" s="2" t="s">
        <v>2166</v>
      </c>
      <c r="G83" s="2" t="s">
        <v>1985</v>
      </c>
      <c r="H83" s="2" t="s">
        <v>1986</v>
      </c>
      <c r="I83" s="2">
        <v>380</v>
      </c>
    </row>
    <row r="84" spans="1:9" x14ac:dyDescent="0.25">
      <c r="A84" s="4" t="s">
        <v>19</v>
      </c>
      <c r="B84" s="2" t="s">
        <v>21</v>
      </c>
      <c r="C84" s="2">
        <v>581</v>
      </c>
      <c r="D84" s="2" t="s">
        <v>2305</v>
      </c>
      <c r="E84" s="2" t="s">
        <v>1961</v>
      </c>
      <c r="F84" s="2" t="s">
        <v>2166</v>
      </c>
      <c r="G84" s="2" t="s">
        <v>1985</v>
      </c>
      <c r="H84" s="2" t="s">
        <v>1986</v>
      </c>
      <c r="I84" s="2">
        <v>380</v>
      </c>
    </row>
    <row r="85" spans="1:9" x14ac:dyDescent="0.25">
      <c r="A85" s="4" t="s">
        <v>19</v>
      </c>
      <c r="B85" s="2" t="s">
        <v>244</v>
      </c>
      <c r="C85" s="2">
        <v>586</v>
      </c>
      <c r="D85" s="2" t="s">
        <v>2322</v>
      </c>
      <c r="E85" s="2" t="s">
        <v>1961</v>
      </c>
      <c r="F85" s="2" t="s">
        <v>2166</v>
      </c>
      <c r="G85" s="2" t="s">
        <v>1985</v>
      </c>
      <c r="H85" s="2" t="s">
        <v>1986</v>
      </c>
      <c r="I85" s="2">
        <v>380</v>
      </c>
    </row>
    <row r="86" spans="1:9" x14ac:dyDescent="0.25">
      <c r="A86" s="4" t="s">
        <v>19</v>
      </c>
      <c r="B86" s="2" t="s">
        <v>244</v>
      </c>
      <c r="C86" s="2">
        <v>496</v>
      </c>
      <c r="D86" s="2" t="s">
        <v>1982</v>
      </c>
      <c r="E86" s="2" t="s">
        <v>1961</v>
      </c>
      <c r="F86" s="2" t="s">
        <v>1983</v>
      </c>
      <c r="G86" s="2" t="s">
        <v>1985</v>
      </c>
      <c r="H86" s="2" t="s">
        <v>1986</v>
      </c>
      <c r="I86" s="2">
        <v>380</v>
      </c>
    </row>
    <row r="87" spans="1:9" x14ac:dyDescent="0.25">
      <c r="A87" s="4" t="s">
        <v>19</v>
      </c>
      <c r="B87" s="2" t="s">
        <v>244</v>
      </c>
      <c r="C87" s="2">
        <v>500</v>
      </c>
      <c r="D87" s="2" t="s">
        <v>2000</v>
      </c>
      <c r="E87" s="2" t="s">
        <v>1961</v>
      </c>
      <c r="F87" s="2" t="s">
        <v>1983</v>
      </c>
      <c r="G87" s="2" t="s">
        <v>1985</v>
      </c>
      <c r="H87" s="2" t="s">
        <v>1986</v>
      </c>
      <c r="I87" s="2">
        <v>380</v>
      </c>
    </row>
    <row r="88" spans="1:9" x14ac:dyDescent="0.25">
      <c r="A88" s="4" t="s">
        <v>19</v>
      </c>
      <c r="B88" s="2" t="s">
        <v>244</v>
      </c>
      <c r="C88" s="2">
        <v>503</v>
      </c>
      <c r="D88" s="2" t="s">
        <v>2010</v>
      </c>
      <c r="E88" s="2" t="s">
        <v>1961</v>
      </c>
      <c r="F88" s="2" t="s">
        <v>1983</v>
      </c>
      <c r="G88" s="2" t="s">
        <v>1985</v>
      </c>
      <c r="H88" s="2" t="s">
        <v>1986</v>
      </c>
      <c r="I88" s="2">
        <v>380</v>
      </c>
    </row>
    <row r="89" spans="1:9" x14ac:dyDescent="0.25">
      <c r="A89" s="4" t="s">
        <v>19</v>
      </c>
      <c r="B89" s="2" t="s">
        <v>244</v>
      </c>
      <c r="C89" s="2">
        <v>552</v>
      </c>
      <c r="D89" s="2" t="s">
        <v>2200</v>
      </c>
      <c r="E89" s="2" t="s">
        <v>1961</v>
      </c>
      <c r="F89" s="2" t="s">
        <v>1983</v>
      </c>
      <c r="G89" s="2" t="s">
        <v>1985</v>
      </c>
      <c r="H89" s="2" t="s">
        <v>1986</v>
      </c>
      <c r="I89" s="2">
        <v>380</v>
      </c>
    </row>
    <row r="90" spans="1:9" x14ac:dyDescent="0.25">
      <c r="A90" s="4" t="s">
        <v>19</v>
      </c>
      <c r="B90" s="2" t="s">
        <v>244</v>
      </c>
      <c r="C90" s="2">
        <v>555</v>
      </c>
      <c r="D90" s="2" t="s">
        <v>2212</v>
      </c>
      <c r="E90" s="2" t="s">
        <v>1961</v>
      </c>
      <c r="F90" s="2" t="s">
        <v>1983</v>
      </c>
      <c r="G90" s="2" t="s">
        <v>1985</v>
      </c>
      <c r="H90" s="2" t="s">
        <v>1986</v>
      </c>
      <c r="I90" s="2">
        <v>380</v>
      </c>
    </row>
    <row r="91" spans="1:9" x14ac:dyDescent="0.25">
      <c r="A91" s="4" t="s">
        <v>19</v>
      </c>
      <c r="B91" s="2" t="s">
        <v>244</v>
      </c>
      <c r="C91" s="2">
        <v>560</v>
      </c>
      <c r="D91" s="2" t="s">
        <v>2230</v>
      </c>
      <c r="E91" s="2" t="s">
        <v>1961</v>
      </c>
      <c r="F91" s="2" t="s">
        <v>1983</v>
      </c>
      <c r="G91" s="2" t="s">
        <v>1985</v>
      </c>
      <c r="H91" s="2" t="s">
        <v>1986</v>
      </c>
      <c r="I91" s="2">
        <v>380</v>
      </c>
    </row>
    <row r="92" spans="1:9" x14ac:dyDescent="0.25">
      <c r="A92" s="4" t="s">
        <v>19</v>
      </c>
      <c r="B92" s="2" t="s">
        <v>244</v>
      </c>
      <c r="C92" s="2">
        <v>583</v>
      </c>
      <c r="D92" s="2" t="s">
        <v>2312</v>
      </c>
      <c r="E92" s="2" t="s">
        <v>1961</v>
      </c>
      <c r="F92" s="2" t="s">
        <v>1983</v>
      </c>
      <c r="G92" s="2" t="s">
        <v>1985</v>
      </c>
      <c r="H92" s="2" t="s">
        <v>1986</v>
      </c>
      <c r="I92" s="2">
        <v>380</v>
      </c>
    </row>
    <row r="93" spans="1:9" x14ac:dyDescent="0.25">
      <c r="A93" s="4" t="s">
        <v>19</v>
      </c>
      <c r="B93" s="2" t="s">
        <v>244</v>
      </c>
      <c r="C93" s="2">
        <v>523</v>
      </c>
      <c r="D93" s="2" t="s">
        <v>2089</v>
      </c>
      <c r="E93" s="2" t="s">
        <v>1961</v>
      </c>
      <c r="F93" s="2" t="s">
        <v>2090</v>
      </c>
      <c r="G93" s="2" t="s">
        <v>1985</v>
      </c>
      <c r="H93" s="2" t="s">
        <v>1986</v>
      </c>
      <c r="I93" s="2">
        <v>380</v>
      </c>
    </row>
    <row r="94" spans="1:9" x14ac:dyDescent="0.25">
      <c r="A94" s="4" t="s">
        <v>19</v>
      </c>
      <c r="B94" s="2" t="s">
        <v>244</v>
      </c>
      <c r="C94" s="2">
        <v>525</v>
      </c>
      <c r="D94" s="2" t="s">
        <v>2098</v>
      </c>
      <c r="E94" s="2" t="s">
        <v>1961</v>
      </c>
      <c r="F94" s="2" t="s">
        <v>2090</v>
      </c>
      <c r="G94" s="2" t="s">
        <v>1985</v>
      </c>
      <c r="H94" s="2" t="s">
        <v>1986</v>
      </c>
      <c r="I94" s="2">
        <v>380</v>
      </c>
    </row>
    <row r="95" spans="1:9" x14ac:dyDescent="0.25">
      <c r="A95" s="4" t="s">
        <v>19</v>
      </c>
      <c r="B95" s="2" t="s">
        <v>244</v>
      </c>
      <c r="C95" s="2">
        <v>534</v>
      </c>
      <c r="D95" s="2" t="s">
        <v>2128</v>
      </c>
      <c r="E95" s="2" t="s">
        <v>1961</v>
      </c>
      <c r="F95" s="2" t="s">
        <v>2090</v>
      </c>
      <c r="G95" s="2" t="s">
        <v>1985</v>
      </c>
      <c r="H95" s="2" t="s">
        <v>1986</v>
      </c>
      <c r="I95" s="2">
        <v>380</v>
      </c>
    </row>
    <row r="96" spans="1:9" x14ac:dyDescent="0.25">
      <c r="A96" s="4" t="s">
        <v>19</v>
      </c>
      <c r="B96" s="2" t="s">
        <v>244</v>
      </c>
      <c r="C96" s="2">
        <v>549</v>
      </c>
      <c r="D96" s="2" t="s">
        <v>2189</v>
      </c>
      <c r="E96" s="2" t="s">
        <v>1961</v>
      </c>
      <c r="F96" s="2" t="s">
        <v>2090</v>
      </c>
      <c r="G96" s="2" t="s">
        <v>1985</v>
      </c>
      <c r="H96" s="2" t="s">
        <v>1986</v>
      </c>
      <c r="I96" s="2">
        <v>380</v>
      </c>
    </row>
    <row r="97" spans="1:9" x14ac:dyDescent="0.25">
      <c r="A97" s="4" t="s">
        <v>19</v>
      </c>
      <c r="B97" s="2" t="s">
        <v>244</v>
      </c>
      <c r="C97" s="2">
        <v>635</v>
      </c>
      <c r="D97" s="2" t="s">
        <v>2520</v>
      </c>
      <c r="E97" s="2" t="s">
        <v>2374</v>
      </c>
      <c r="F97" s="2" t="s">
        <v>2521</v>
      </c>
      <c r="G97" s="2" t="s">
        <v>1985</v>
      </c>
      <c r="H97" s="2" t="s">
        <v>1986</v>
      </c>
      <c r="I97" s="2">
        <v>417</v>
      </c>
    </row>
    <row r="98" spans="1:9" x14ac:dyDescent="0.25">
      <c r="A98" s="4" t="s">
        <v>19</v>
      </c>
      <c r="B98" s="2" t="s">
        <v>244</v>
      </c>
      <c r="C98" s="2">
        <v>648</v>
      </c>
      <c r="D98" s="2" t="s">
        <v>2572</v>
      </c>
      <c r="E98" s="2" t="s">
        <v>2374</v>
      </c>
      <c r="F98" s="2" t="s">
        <v>2521</v>
      </c>
      <c r="G98" s="2" t="s">
        <v>1985</v>
      </c>
      <c r="H98" s="2" t="s">
        <v>1986</v>
      </c>
      <c r="I98" s="2">
        <v>417</v>
      </c>
    </row>
    <row r="99" spans="1:9" x14ac:dyDescent="0.25">
      <c r="A99" s="4" t="s">
        <v>19</v>
      </c>
      <c r="B99" s="2" t="s">
        <v>244</v>
      </c>
      <c r="C99" s="2">
        <v>604</v>
      </c>
      <c r="D99" s="2" t="s">
        <v>2392</v>
      </c>
      <c r="E99" s="2" t="s">
        <v>2374</v>
      </c>
      <c r="F99" s="2" t="s">
        <v>2393</v>
      </c>
      <c r="G99" s="2" t="s">
        <v>1985</v>
      </c>
      <c r="H99" s="2" t="s">
        <v>1986</v>
      </c>
      <c r="I99" s="2">
        <v>417</v>
      </c>
    </row>
    <row r="100" spans="1:9" x14ac:dyDescent="0.25">
      <c r="A100" s="4" t="s">
        <v>19</v>
      </c>
      <c r="B100" s="2" t="s">
        <v>244</v>
      </c>
      <c r="C100" s="2">
        <v>640</v>
      </c>
      <c r="D100" s="2" t="s">
        <v>2541</v>
      </c>
      <c r="E100" s="2" t="s">
        <v>2374</v>
      </c>
      <c r="F100" s="2" t="s">
        <v>2393</v>
      </c>
      <c r="G100" s="2" t="s">
        <v>1985</v>
      </c>
      <c r="H100" s="2" t="s">
        <v>1986</v>
      </c>
      <c r="I100" s="2">
        <v>417</v>
      </c>
    </row>
    <row r="101" spans="1:9" x14ac:dyDescent="0.25">
      <c r="A101" s="4" t="s">
        <v>19</v>
      </c>
      <c r="B101" s="2" t="s">
        <v>244</v>
      </c>
      <c r="C101" s="2">
        <v>643</v>
      </c>
      <c r="D101" s="2" t="s">
        <v>2553</v>
      </c>
      <c r="E101" s="2" t="s">
        <v>2374</v>
      </c>
      <c r="F101" s="2" t="s">
        <v>2393</v>
      </c>
      <c r="G101" s="2" t="s">
        <v>1985</v>
      </c>
      <c r="H101" s="2" t="s">
        <v>1986</v>
      </c>
      <c r="I101" s="2">
        <v>417</v>
      </c>
    </row>
    <row r="102" spans="1:9" x14ac:dyDescent="0.25">
      <c r="A102" s="4" t="s">
        <v>19</v>
      </c>
      <c r="B102" s="2" t="s">
        <v>244</v>
      </c>
      <c r="C102" s="2">
        <v>658</v>
      </c>
      <c r="D102" s="2" t="s">
        <v>2609</v>
      </c>
      <c r="E102" s="2" t="s">
        <v>2374</v>
      </c>
      <c r="F102" s="2" t="s">
        <v>2393</v>
      </c>
      <c r="G102" s="2" t="s">
        <v>1985</v>
      </c>
      <c r="H102" s="2" t="s">
        <v>1986</v>
      </c>
      <c r="I102" s="2">
        <v>417</v>
      </c>
    </row>
    <row r="103" spans="1:9" x14ac:dyDescent="0.25">
      <c r="A103" s="4" t="s">
        <v>19</v>
      </c>
      <c r="B103" s="2" t="s">
        <v>244</v>
      </c>
      <c r="C103" s="2">
        <v>628</v>
      </c>
      <c r="D103" s="2" t="s">
        <v>2491</v>
      </c>
      <c r="E103" s="2" t="s">
        <v>2374</v>
      </c>
      <c r="F103" s="2" t="s">
        <v>2492</v>
      </c>
      <c r="G103" s="2" t="s">
        <v>1985</v>
      </c>
      <c r="H103" s="2" t="s">
        <v>1986</v>
      </c>
      <c r="I103" s="2">
        <v>417</v>
      </c>
    </row>
    <row r="104" spans="1:9" x14ac:dyDescent="0.25">
      <c r="A104" s="4" t="s">
        <v>19</v>
      </c>
      <c r="B104" s="2" t="s">
        <v>244</v>
      </c>
      <c r="C104" s="2">
        <v>614</v>
      </c>
      <c r="D104" s="2" t="s">
        <v>2433</v>
      </c>
      <c r="E104" s="2" t="s">
        <v>2374</v>
      </c>
      <c r="F104" s="2" t="s">
        <v>2434</v>
      </c>
      <c r="G104" s="2" t="s">
        <v>1985</v>
      </c>
      <c r="H104" s="2" t="s">
        <v>1986</v>
      </c>
      <c r="I104" s="2">
        <v>417</v>
      </c>
    </row>
    <row r="105" spans="1:9" x14ac:dyDescent="0.25">
      <c r="A105" s="4" t="s">
        <v>19</v>
      </c>
      <c r="B105" s="2" t="s">
        <v>244</v>
      </c>
      <c r="C105" s="2">
        <v>619</v>
      </c>
      <c r="D105" s="2" t="s">
        <v>2456</v>
      </c>
      <c r="E105" s="2" t="s">
        <v>2374</v>
      </c>
      <c r="F105" s="2" t="s">
        <v>2434</v>
      </c>
      <c r="G105" s="2" t="s">
        <v>1985</v>
      </c>
      <c r="H105" s="2" t="s">
        <v>1986</v>
      </c>
      <c r="I105" s="2">
        <v>417</v>
      </c>
    </row>
    <row r="106" spans="1:9" x14ac:dyDescent="0.25">
      <c r="A106" s="4" t="s">
        <v>19</v>
      </c>
      <c r="B106" s="2" t="s">
        <v>244</v>
      </c>
      <c r="C106" s="2">
        <v>629</v>
      </c>
      <c r="D106" s="2" t="s">
        <v>2496</v>
      </c>
      <c r="E106" s="2" t="s">
        <v>2374</v>
      </c>
      <c r="F106" s="2" t="s">
        <v>2434</v>
      </c>
      <c r="G106" s="2" t="s">
        <v>1985</v>
      </c>
      <c r="H106" s="2" t="s">
        <v>1986</v>
      </c>
      <c r="I106" s="2">
        <v>417</v>
      </c>
    </row>
    <row r="107" spans="1:9" x14ac:dyDescent="0.25">
      <c r="A107" s="4" t="s">
        <v>19</v>
      </c>
      <c r="B107" s="2" t="s">
        <v>244</v>
      </c>
      <c r="C107" s="2">
        <v>654</v>
      </c>
      <c r="D107" s="2" t="s">
        <v>2596</v>
      </c>
      <c r="E107" s="2" t="s">
        <v>2374</v>
      </c>
      <c r="F107" s="2" t="s">
        <v>2434</v>
      </c>
      <c r="G107" s="2" t="s">
        <v>1985</v>
      </c>
      <c r="H107" s="2" t="s">
        <v>1986</v>
      </c>
      <c r="I107" s="2">
        <v>417</v>
      </c>
    </row>
    <row r="108" spans="1:9" x14ac:dyDescent="0.25">
      <c r="A108" s="4" t="s">
        <v>19</v>
      </c>
      <c r="B108" s="2" t="s">
        <v>244</v>
      </c>
      <c r="C108" s="2">
        <v>649</v>
      </c>
      <c r="D108" s="2" t="s">
        <v>2576</v>
      </c>
      <c r="E108" s="2" t="s">
        <v>2374</v>
      </c>
      <c r="F108" s="2" t="s">
        <v>2577</v>
      </c>
      <c r="G108" s="2" t="s">
        <v>1985</v>
      </c>
      <c r="H108" s="2" t="s">
        <v>1986</v>
      </c>
      <c r="I108" s="2">
        <v>417</v>
      </c>
    </row>
    <row r="109" spans="1:9" x14ac:dyDescent="0.25">
      <c r="A109" s="4" t="s">
        <v>19</v>
      </c>
      <c r="B109" s="2" t="s">
        <v>244</v>
      </c>
      <c r="C109" s="2">
        <v>659</v>
      </c>
      <c r="D109" s="2" t="s">
        <v>2613</v>
      </c>
      <c r="E109" s="2" t="s">
        <v>2374</v>
      </c>
      <c r="F109" s="2" t="s">
        <v>2577</v>
      </c>
      <c r="G109" s="2" t="s">
        <v>1985</v>
      </c>
      <c r="H109" s="2" t="s">
        <v>1986</v>
      </c>
      <c r="I109" s="2">
        <v>417</v>
      </c>
    </row>
    <row r="110" spans="1:9" x14ac:dyDescent="0.25">
      <c r="A110" s="4" t="s">
        <v>19</v>
      </c>
      <c r="B110" s="2" t="s">
        <v>244</v>
      </c>
      <c r="C110" s="2">
        <v>675</v>
      </c>
      <c r="D110" s="2" t="s">
        <v>2672</v>
      </c>
      <c r="E110" s="2" t="s">
        <v>2374</v>
      </c>
      <c r="F110" s="2" t="s">
        <v>2577</v>
      </c>
      <c r="G110" s="2" t="s">
        <v>1985</v>
      </c>
      <c r="H110" s="2" t="s">
        <v>1986</v>
      </c>
      <c r="I110" s="2">
        <v>417</v>
      </c>
    </row>
    <row r="111" spans="1:9" x14ac:dyDescent="0.25">
      <c r="A111" s="4" t="s">
        <v>19</v>
      </c>
      <c r="B111" s="2" t="s">
        <v>244</v>
      </c>
      <c r="C111" s="2">
        <v>650</v>
      </c>
      <c r="D111" s="2" t="s">
        <v>2580</v>
      </c>
      <c r="E111" s="2" t="s">
        <v>2374</v>
      </c>
      <c r="F111" s="2" t="s">
        <v>2581</v>
      </c>
      <c r="G111" s="2" t="s">
        <v>1985</v>
      </c>
      <c r="H111" s="2" t="s">
        <v>1986</v>
      </c>
      <c r="I111" s="2">
        <v>417</v>
      </c>
    </row>
    <row r="112" spans="1:9" x14ac:dyDescent="0.25">
      <c r="A112" s="4" t="s">
        <v>19</v>
      </c>
      <c r="B112" s="2" t="s">
        <v>244</v>
      </c>
      <c r="C112" s="2">
        <v>622</v>
      </c>
      <c r="D112" s="2" t="s">
        <v>2468</v>
      </c>
      <c r="E112" s="2" t="s">
        <v>2374</v>
      </c>
      <c r="F112" s="2" t="s">
        <v>2469</v>
      </c>
      <c r="G112" s="2" t="s">
        <v>1985</v>
      </c>
      <c r="H112" s="2" t="s">
        <v>1986</v>
      </c>
      <c r="I112" s="2">
        <v>417</v>
      </c>
    </row>
    <row r="113" spans="1:9" x14ac:dyDescent="0.25">
      <c r="A113" s="4" t="s">
        <v>19</v>
      </c>
      <c r="B113" s="2" t="s">
        <v>244</v>
      </c>
      <c r="C113" s="2">
        <v>674</v>
      </c>
      <c r="D113" s="2" t="s">
        <v>2668</v>
      </c>
      <c r="E113" s="2" t="s">
        <v>2374</v>
      </c>
      <c r="F113" s="2" t="s">
        <v>2469</v>
      </c>
      <c r="G113" s="2" t="s">
        <v>1985</v>
      </c>
      <c r="H113" s="2" t="s">
        <v>1986</v>
      </c>
      <c r="I113" s="2">
        <v>417</v>
      </c>
    </row>
    <row r="114" spans="1:9" x14ac:dyDescent="0.25">
      <c r="A114" s="4" t="s">
        <v>19</v>
      </c>
      <c r="B114" s="2" t="s">
        <v>244</v>
      </c>
      <c r="C114" s="2">
        <v>625</v>
      </c>
      <c r="D114" s="2" t="s">
        <v>2479</v>
      </c>
      <c r="E114" s="2" t="s">
        <v>2374</v>
      </c>
      <c r="F114" s="2" t="s">
        <v>2480</v>
      </c>
      <c r="G114" s="2" t="s">
        <v>1985</v>
      </c>
      <c r="H114" s="2" t="s">
        <v>1986</v>
      </c>
      <c r="I114" s="2">
        <v>417</v>
      </c>
    </row>
    <row r="115" spans="1:9" x14ac:dyDescent="0.25">
      <c r="A115" s="4" t="s">
        <v>19</v>
      </c>
      <c r="B115" s="2" t="s">
        <v>244</v>
      </c>
      <c r="C115" s="2">
        <v>568</v>
      </c>
      <c r="D115" s="2" t="s">
        <v>2257</v>
      </c>
      <c r="E115" s="2" t="s">
        <v>1961</v>
      </c>
      <c r="F115" s="2" t="s">
        <v>2258</v>
      </c>
      <c r="G115" s="2" t="s">
        <v>1969</v>
      </c>
      <c r="H115" s="2" t="s">
        <v>97</v>
      </c>
      <c r="I115" s="2">
        <v>380</v>
      </c>
    </row>
    <row r="116" spans="1:9" x14ac:dyDescent="0.25">
      <c r="A116" s="4" t="s">
        <v>19</v>
      </c>
      <c r="B116" s="2" t="s">
        <v>244</v>
      </c>
      <c r="C116" s="2">
        <v>556</v>
      </c>
      <c r="D116" s="2" t="s">
        <v>2216</v>
      </c>
      <c r="E116" s="2" t="s">
        <v>1961</v>
      </c>
      <c r="F116" s="2" t="s">
        <v>2217</v>
      </c>
      <c r="G116" s="2" t="s">
        <v>1969</v>
      </c>
      <c r="H116" s="2" t="s">
        <v>97</v>
      </c>
      <c r="I116" s="2">
        <v>380</v>
      </c>
    </row>
    <row r="117" spans="1:9" x14ac:dyDescent="0.25">
      <c r="A117" s="4" t="s">
        <v>19</v>
      </c>
      <c r="B117" s="2" t="s">
        <v>244</v>
      </c>
      <c r="C117" s="2">
        <v>582</v>
      </c>
      <c r="D117" s="2" t="s">
        <v>2308</v>
      </c>
      <c r="E117" s="2" t="s">
        <v>1961</v>
      </c>
      <c r="F117" s="2" t="s">
        <v>2309</v>
      </c>
      <c r="G117" s="2" t="s">
        <v>1969</v>
      </c>
      <c r="H117" s="2" t="s">
        <v>97</v>
      </c>
      <c r="I117" s="2">
        <v>380</v>
      </c>
    </row>
    <row r="118" spans="1:9" x14ac:dyDescent="0.25">
      <c r="A118" s="4" t="s">
        <v>19</v>
      </c>
      <c r="B118" s="2" t="s">
        <v>244</v>
      </c>
      <c r="C118" s="2">
        <v>573</v>
      </c>
      <c r="D118" s="2" t="s">
        <v>2276</v>
      </c>
      <c r="E118" s="2" t="s">
        <v>1961</v>
      </c>
      <c r="F118" s="2" t="s">
        <v>2277</v>
      </c>
      <c r="G118" s="2" t="s">
        <v>1969</v>
      </c>
      <c r="H118" s="2" t="s">
        <v>97</v>
      </c>
      <c r="I118" s="2">
        <v>380</v>
      </c>
    </row>
    <row r="119" spans="1:9" x14ac:dyDescent="0.25">
      <c r="A119" s="4" t="s">
        <v>19</v>
      </c>
      <c r="B119" s="2" t="s">
        <v>244</v>
      </c>
      <c r="C119" s="2">
        <v>499</v>
      </c>
      <c r="D119" s="2" t="s">
        <v>1996</v>
      </c>
      <c r="E119" s="2" t="s">
        <v>1961</v>
      </c>
      <c r="F119" s="2" t="s">
        <v>1997</v>
      </c>
      <c r="G119" s="2" t="s">
        <v>1969</v>
      </c>
      <c r="H119" s="2" t="s">
        <v>97</v>
      </c>
      <c r="I119" s="2">
        <v>380</v>
      </c>
    </row>
    <row r="120" spans="1:9" x14ac:dyDescent="0.25">
      <c r="A120" s="4" t="s">
        <v>19</v>
      </c>
      <c r="B120" s="2" t="s">
        <v>244</v>
      </c>
      <c r="C120" s="2">
        <v>504</v>
      </c>
      <c r="D120" s="2" t="s">
        <v>2013</v>
      </c>
      <c r="E120" s="2" t="s">
        <v>1961</v>
      </c>
      <c r="F120" s="2" t="s">
        <v>2014</v>
      </c>
      <c r="G120" s="2" t="s">
        <v>1969</v>
      </c>
      <c r="H120" s="2" t="s">
        <v>97</v>
      </c>
      <c r="I120" s="2">
        <v>380</v>
      </c>
    </row>
    <row r="121" spans="1:9" x14ac:dyDescent="0.25">
      <c r="A121" s="4" t="s">
        <v>19</v>
      </c>
      <c r="B121" s="2" t="s">
        <v>244</v>
      </c>
      <c r="C121" s="2">
        <v>512</v>
      </c>
      <c r="D121" s="2" t="s">
        <v>2047</v>
      </c>
      <c r="E121" s="2" t="s">
        <v>1961</v>
      </c>
      <c r="F121" s="2" t="s">
        <v>2014</v>
      </c>
      <c r="G121" s="2" t="s">
        <v>1969</v>
      </c>
      <c r="H121" s="2" t="s">
        <v>97</v>
      </c>
      <c r="I121" s="2">
        <v>380</v>
      </c>
    </row>
    <row r="122" spans="1:9" x14ac:dyDescent="0.25">
      <c r="A122" s="4" t="s">
        <v>19</v>
      </c>
      <c r="B122" s="2" t="s">
        <v>244</v>
      </c>
      <c r="C122" s="2">
        <v>514</v>
      </c>
      <c r="D122" s="2" t="s">
        <v>2054</v>
      </c>
      <c r="E122" s="2" t="s">
        <v>1961</v>
      </c>
      <c r="F122" s="2" t="s">
        <v>2055</v>
      </c>
      <c r="G122" s="2" t="s">
        <v>1969</v>
      </c>
      <c r="H122" s="2" t="s">
        <v>97</v>
      </c>
      <c r="I122" s="2">
        <v>380</v>
      </c>
    </row>
    <row r="123" spans="1:9" x14ac:dyDescent="0.25">
      <c r="A123" s="4" t="s">
        <v>19</v>
      </c>
      <c r="B123" s="2" t="s">
        <v>244</v>
      </c>
      <c r="C123" s="2">
        <v>508</v>
      </c>
      <c r="D123" s="2" t="s">
        <v>2031</v>
      </c>
      <c r="E123" s="2" t="s">
        <v>1961</v>
      </c>
      <c r="F123" s="2" t="s">
        <v>2032</v>
      </c>
      <c r="G123" s="2" t="s">
        <v>1969</v>
      </c>
      <c r="H123" s="2" t="s">
        <v>97</v>
      </c>
      <c r="I123" s="2">
        <v>380</v>
      </c>
    </row>
    <row r="124" spans="1:9" x14ac:dyDescent="0.25">
      <c r="A124" s="4" t="s">
        <v>19</v>
      </c>
      <c r="B124" s="2" t="s">
        <v>244</v>
      </c>
      <c r="C124" s="2">
        <v>577</v>
      </c>
      <c r="D124" s="2" t="s">
        <v>2289</v>
      </c>
      <c r="E124" s="2" t="s">
        <v>1961</v>
      </c>
      <c r="F124" s="2" t="s">
        <v>2032</v>
      </c>
      <c r="G124" s="2" t="s">
        <v>1969</v>
      </c>
      <c r="H124" s="2" t="s">
        <v>97</v>
      </c>
      <c r="I124" s="2">
        <v>380</v>
      </c>
    </row>
    <row r="125" spans="1:9" x14ac:dyDescent="0.25">
      <c r="A125" s="4" t="s">
        <v>19</v>
      </c>
      <c r="B125" s="2" t="s">
        <v>244</v>
      </c>
      <c r="C125" s="2">
        <v>554</v>
      </c>
      <c r="D125" s="2" t="s">
        <v>2208</v>
      </c>
      <c r="E125" s="2" t="s">
        <v>1961</v>
      </c>
      <c r="F125" s="2" t="s">
        <v>2209</v>
      </c>
      <c r="G125" s="2" t="s">
        <v>1969</v>
      </c>
      <c r="H125" s="2" t="s">
        <v>97</v>
      </c>
      <c r="I125" s="2">
        <v>380</v>
      </c>
    </row>
    <row r="126" spans="1:9" x14ac:dyDescent="0.25">
      <c r="A126" s="4" t="s">
        <v>19</v>
      </c>
      <c r="B126" s="2" t="s">
        <v>244</v>
      </c>
      <c r="C126" s="2">
        <v>513</v>
      </c>
      <c r="D126" s="2" t="s">
        <v>2050</v>
      </c>
      <c r="E126" s="2" t="s">
        <v>1961</v>
      </c>
      <c r="F126" s="2" t="s">
        <v>2051</v>
      </c>
      <c r="G126" s="2" t="s">
        <v>1969</v>
      </c>
      <c r="H126" s="2" t="s">
        <v>97</v>
      </c>
      <c r="I126" s="2">
        <v>380</v>
      </c>
    </row>
    <row r="127" spans="1:9" x14ac:dyDescent="0.25">
      <c r="A127" s="4" t="s">
        <v>19</v>
      </c>
      <c r="B127" s="2" t="s">
        <v>244</v>
      </c>
      <c r="C127" s="2">
        <v>576</v>
      </c>
      <c r="D127" s="2" t="s">
        <v>2287</v>
      </c>
      <c r="E127" s="2" t="s">
        <v>1961</v>
      </c>
      <c r="F127" s="2" t="s">
        <v>2051</v>
      </c>
      <c r="G127" s="2" t="s">
        <v>1969</v>
      </c>
      <c r="H127" s="2" t="s">
        <v>97</v>
      </c>
      <c r="I127" s="2">
        <v>380</v>
      </c>
    </row>
    <row r="128" spans="1:9" x14ac:dyDescent="0.25">
      <c r="A128" s="4" t="s">
        <v>19</v>
      </c>
      <c r="B128" s="2" t="s">
        <v>244</v>
      </c>
      <c r="C128" s="2">
        <v>546</v>
      </c>
      <c r="D128" s="2" t="s">
        <v>2179</v>
      </c>
      <c r="E128" s="2" t="s">
        <v>1961</v>
      </c>
      <c r="F128" s="2" t="s">
        <v>2180</v>
      </c>
      <c r="G128" s="2" t="s">
        <v>1969</v>
      </c>
      <c r="H128" s="2" t="s">
        <v>97</v>
      </c>
      <c r="I128" s="2">
        <v>380</v>
      </c>
    </row>
    <row r="129" spans="1:9" x14ac:dyDescent="0.25">
      <c r="A129" s="4" t="s">
        <v>19</v>
      </c>
      <c r="B129" s="2" t="s">
        <v>244</v>
      </c>
      <c r="C129" s="2">
        <v>544</v>
      </c>
      <c r="D129" s="2" t="s">
        <v>2170</v>
      </c>
      <c r="E129" s="2" t="s">
        <v>1961</v>
      </c>
      <c r="F129" s="2" t="s">
        <v>2171</v>
      </c>
      <c r="G129" s="2" t="s">
        <v>1969</v>
      </c>
      <c r="H129" s="2" t="s">
        <v>97</v>
      </c>
      <c r="I129" s="2">
        <v>380</v>
      </c>
    </row>
    <row r="130" spans="1:9" x14ac:dyDescent="0.25">
      <c r="A130" s="4" t="s">
        <v>19</v>
      </c>
      <c r="B130" s="2" t="s">
        <v>244</v>
      </c>
      <c r="C130" s="2">
        <v>563</v>
      </c>
      <c r="D130" s="2" t="s">
        <v>2237</v>
      </c>
      <c r="E130" s="2" t="s">
        <v>1961</v>
      </c>
      <c r="F130" s="2" t="s">
        <v>2238</v>
      </c>
      <c r="G130" s="2" t="s">
        <v>1969</v>
      </c>
      <c r="H130" s="2" t="s">
        <v>97</v>
      </c>
      <c r="I130" s="2">
        <v>380</v>
      </c>
    </row>
    <row r="131" spans="1:9" x14ac:dyDescent="0.25">
      <c r="A131" s="4" t="s">
        <v>19</v>
      </c>
      <c r="B131" s="2" t="s">
        <v>244</v>
      </c>
      <c r="C131" s="2">
        <v>570</v>
      </c>
      <c r="D131" s="2" t="s">
        <v>2266</v>
      </c>
      <c r="E131" s="2" t="s">
        <v>1961</v>
      </c>
      <c r="F131" s="2" t="s">
        <v>2267</v>
      </c>
      <c r="G131" s="2" t="s">
        <v>1969</v>
      </c>
      <c r="H131" s="2" t="s">
        <v>97</v>
      </c>
      <c r="I131" s="2">
        <v>380</v>
      </c>
    </row>
    <row r="132" spans="1:9" x14ac:dyDescent="0.25">
      <c r="A132" s="4" t="s">
        <v>19</v>
      </c>
      <c r="B132" s="2" t="s">
        <v>244</v>
      </c>
      <c r="C132" s="2">
        <v>492</v>
      </c>
      <c r="D132" s="2" t="s">
        <v>1966</v>
      </c>
      <c r="E132" s="2" t="s">
        <v>1961</v>
      </c>
      <c r="F132" s="2" t="s">
        <v>1967</v>
      </c>
      <c r="G132" s="2" t="s">
        <v>1969</v>
      </c>
      <c r="H132" s="2" t="s">
        <v>97</v>
      </c>
      <c r="I132" s="2">
        <v>380</v>
      </c>
    </row>
    <row r="133" spans="1:9" x14ac:dyDescent="0.25">
      <c r="A133" s="4" t="s">
        <v>19</v>
      </c>
      <c r="B133" s="2" t="s">
        <v>244</v>
      </c>
      <c r="C133" s="2">
        <v>495</v>
      </c>
      <c r="D133" s="2" t="s">
        <v>1979</v>
      </c>
      <c r="E133" s="2" t="s">
        <v>1961</v>
      </c>
      <c r="F133" s="2" t="s">
        <v>1967</v>
      </c>
      <c r="G133" s="2" t="s">
        <v>1969</v>
      </c>
      <c r="H133" s="2" t="s">
        <v>97</v>
      </c>
      <c r="I133" s="2">
        <v>380</v>
      </c>
    </row>
    <row r="134" spans="1:9" x14ac:dyDescent="0.25">
      <c r="A134" s="4" t="s">
        <v>19</v>
      </c>
      <c r="B134" s="2" t="s">
        <v>244</v>
      </c>
      <c r="C134" s="2">
        <v>531</v>
      </c>
      <c r="D134" s="2" t="s">
        <v>2119</v>
      </c>
      <c r="E134" s="2" t="s">
        <v>1961</v>
      </c>
      <c r="F134" s="2" t="s">
        <v>1967</v>
      </c>
      <c r="G134" s="2" t="s">
        <v>1969</v>
      </c>
      <c r="H134" s="2" t="s">
        <v>97</v>
      </c>
      <c r="I134" s="2">
        <v>380</v>
      </c>
    </row>
    <row r="135" spans="1:9" x14ac:dyDescent="0.25">
      <c r="A135" s="4" t="s">
        <v>19</v>
      </c>
      <c r="B135" s="2" t="s">
        <v>244</v>
      </c>
      <c r="C135" s="2">
        <v>575</v>
      </c>
      <c r="D135" s="2" t="s">
        <v>2283</v>
      </c>
      <c r="E135" s="2" t="s">
        <v>1961</v>
      </c>
      <c r="F135" s="2" t="s">
        <v>1967</v>
      </c>
      <c r="G135" s="2" t="s">
        <v>1969</v>
      </c>
      <c r="H135" s="2" t="s">
        <v>97</v>
      </c>
      <c r="I135" s="2">
        <v>380</v>
      </c>
    </row>
    <row r="136" spans="1:9" x14ac:dyDescent="0.25">
      <c r="A136" s="4" t="s">
        <v>19</v>
      </c>
      <c r="B136" s="2" t="s">
        <v>271</v>
      </c>
      <c r="C136" s="2">
        <v>592</v>
      </c>
      <c r="D136" s="2" t="s">
        <v>2345</v>
      </c>
      <c r="E136" s="2" t="s">
        <v>1961</v>
      </c>
      <c r="F136" s="2" t="s">
        <v>1967</v>
      </c>
      <c r="G136" s="2" t="s">
        <v>1969</v>
      </c>
      <c r="H136" s="2" t="s">
        <v>97</v>
      </c>
      <c r="I136" s="2">
        <v>380</v>
      </c>
    </row>
    <row r="137" spans="1:9" x14ac:dyDescent="0.25">
      <c r="A137" s="4" t="s">
        <v>19</v>
      </c>
      <c r="B137" s="2" t="s">
        <v>271</v>
      </c>
      <c r="C137" s="2">
        <v>588</v>
      </c>
      <c r="D137" s="2" t="s">
        <v>2331</v>
      </c>
      <c r="E137" s="2" t="s">
        <v>1961</v>
      </c>
      <c r="F137" s="2" t="s">
        <v>2332</v>
      </c>
      <c r="G137" s="2" t="s">
        <v>1969</v>
      </c>
      <c r="H137" s="2" t="s">
        <v>97</v>
      </c>
      <c r="I137" s="2">
        <v>380</v>
      </c>
    </row>
    <row r="138" spans="1:9" x14ac:dyDescent="0.25">
      <c r="A138" s="4" t="s">
        <v>19</v>
      </c>
      <c r="B138" s="2" t="s">
        <v>271</v>
      </c>
      <c r="C138" s="2">
        <v>518</v>
      </c>
      <c r="D138" s="2" t="s">
        <v>2071</v>
      </c>
      <c r="E138" s="2" t="s">
        <v>1961</v>
      </c>
      <c r="F138" s="2" t="s">
        <v>2072</v>
      </c>
      <c r="G138" s="2" t="s">
        <v>1969</v>
      </c>
      <c r="H138" s="2" t="s">
        <v>97</v>
      </c>
      <c r="I138" s="2">
        <v>380</v>
      </c>
    </row>
    <row r="139" spans="1:9" x14ac:dyDescent="0.25">
      <c r="A139" s="4" t="s">
        <v>19</v>
      </c>
      <c r="B139" s="2" t="s">
        <v>271</v>
      </c>
      <c r="C139" s="2">
        <v>519</v>
      </c>
      <c r="D139" s="2" t="s">
        <v>2076</v>
      </c>
      <c r="E139" s="2" t="s">
        <v>1961</v>
      </c>
      <c r="F139" s="2" t="s">
        <v>2072</v>
      </c>
      <c r="G139" s="2" t="s">
        <v>1969</v>
      </c>
      <c r="H139" s="2" t="s">
        <v>97</v>
      </c>
      <c r="I139" s="2">
        <v>380</v>
      </c>
    </row>
    <row r="140" spans="1:9" x14ac:dyDescent="0.25">
      <c r="A140" s="4" t="s">
        <v>19</v>
      </c>
      <c r="B140" s="2" t="s">
        <v>271</v>
      </c>
      <c r="C140" s="2">
        <v>594</v>
      </c>
      <c r="D140" s="2" t="s">
        <v>2352</v>
      </c>
      <c r="E140" s="2" t="s">
        <v>1961</v>
      </c>
      <c r="F140" s="2" t="s">
        <v>2353</v>
      </c>
      <c r="G140" s="2" t="s">
        <v>1969</v>
      </c>
      <c r="H140" s="2" t="s">
        <v>97</v>
      </c>
      <c r="I140" s="2">
        <v>380</v>
      </c>
    </row>
    <row r="141" spans="1:9" x14ac:dyDescent="0.25">
      <c r="A141" s="4" t="s">
        <v>19</v>
      </c>
      <c r="B141" s="2" t="s">
        <v>271</v>
      </c>
      <c r="C141" s="2">
        <v>507</v>
      </c>
      <c r="D141" s="2" t="s">
        <v>2026</v>
      </c>
      <c r="E141" s="2" t="s">
        <v>1961</v>
      </c>
      <c r="F141" s="2" t="s">
        <v>2027</v>
      </c>
      <c r="G141" s="2" t="s">
        <v>1969</v>
      </c>
      <c r="H141" s="2" t="s">
        <v>97</v>
      </c>
      <c r="I141" s="2">
        <v>380</v>
      </c>
    </row>
    <row r="142" spans="1:9" x14ac:dyDescent="0.25">
      <c r="A142" s="4" t="s">
        <v>19</v>
      </c>
      <c r="B142" s="2" t="s">
        <v>271</v>
      </c>
      <c r="C142" s="2">
        <v>522</v>
      </c>
      <c r="D142" s="2" t="s">
        <v>2086</v>
      </c>
      <c r="E142" s="2" t="s">
        <v>1961</v>
      </c>
      <c r="F142" s="2" t="s">
        <v>2027</v>
      </c>
      <c r="G142" s="2" t="s">
        <v>1969</v>
      </c>
      <c r="H142" s="2" t="s">
        <v>97</v>
      </c>
      <c r="I142" s="2">
        <v>380</v>
      </c>
    </row>
    <row r="143" spans="1:9" x14ac:dyDescent="0.25">
      <c r="A143" s="4" t="s">
        <v>19</v>
      </c>
      <c r="B143" s="2" t="s">
        <v>271</v>
      </c>
      <c r="C143" s="2">
        <v>533</v>
      </c>
      <c r="D143" s="2" t="s">
        <v>2124</v>
      </c>
      <c r="E143" s="2" t="s">
        <v>1961</v>
      </c>
      <c r="F143" s="2" t="s">
        <v>2027</v>
      </c>
      <c r="G143" s="2" t="s">
        <v>1969</v>
      </c>
      <c r="H143" s="2" t="s">
        <v>97</v>
      </c>
      <c r="I143" s="2">
        <v>380</v>
      </c>
    </row>
    <row r="144" spans="1:9" x14ac:dyDescent="0.25">
      <c r="A144" s="4" t="s">
        <v>19</v>
      </c>
      <c r="B144" s="2" t="s">
        <v>271</v>
      </c>
      <c r="C144" s="2">
        <v>548</v>
      </c>
      <c r="D144" s="2" t="s">
        <v>2187</v>
      </c>
      <c r="E144" s="2" t="s">
        <v>1961</v>
      </c>
      <c r="F144" s="2" t="s">
        <v>2027</v>
      </c>
      <c r="G144" s="2" t="s">
        <v>1969</v>
      </c>
      <c r="H144" s="2" t="s">
        <v>97</v>
      </c>
      <c r="I144" s="2">
        <v>380</v>
      </c>
    </row>
    <row r="145" spans="1:9" x14ac:dyDescent="0.25">
      <c r="A145" s="4" t="s">
        <v>19</v>
      </c>
      <c r="B145" s="2" t="s">
        <v>271</v>
      </c>
      <c r="C145" s="2">
        <v>585</v>
      </c>
      <c r="D145" s="2" t="s">
        <v>2319</v>
      </c>
      <c r="E145" s="2" t="s">
        <v>1961</v>
      </c>
      <c r="F145" s="2" t="s">
        <v>2027</v>
      </c>
      <c r="G145" s="2" t="s">
        <v>1969</v>
      </c>
      <c r="H145" s="2" t="s">
        <v>97</v>
      </c>
      <c r="I145" s="2">
        <v>380</v>
      </c>
    </row>
    <row r="146" spans="1:9" x14ac:dyDescent="0.25">
      <c r="A146" s="4" t="s">
        <v>19</v>
      </c>
      <c r="B146" s="2" t="s">
        <v>271</v>
      </c>
      <c r="C146" s="2">
        <v>515</v>
      </c>
      <c r="D146" s="2" t="s">
        <v>2058</v>
      </c>
      <c r="E146" s="2" t="s">
        <v>1961</v>
      </c>
      <c r="F146" s="2" t="s">
        <v>2059</v>
      </c>
      <c r="G146" s="2" t="s">
        <v>1969</v>
      </c>
      <c r="H146" s="2" t="s">
        <v>97</v>
      </c>
      <c r="I146" s="2">
        <v>380</v>
      </c>
    </row>
    <row r="147" spans="1:9" x14ac:dyDescent="0.25">
      <c r="A147" s="4" t="s">
        <v>19</v>
      </c>
      <c r="B147" s="2" t="s">
        <v>271</v>
      </c>
      <c r="C147" s="2">
        <v>562</v>
      </c>
      <c r="D147" s="2" t="s">
        <v>2235</v>
      </c>
      <c r="E147" s="2" t="s">
        <v>1961</v>
      </c>
      <c r="F147" s="2" t="s">
        <v>2059</v>
      </c>
      <c r="G147" s="2" t="s">
        <v>1969</v>
      </c>
      <c r="H147" s="2" t="s">
        <v>97</v>
      </c>
      <c r="I147" s="2">
        <v>380</v>
      </c>
    </row>
    <row r="148" spans="1:9" x14ac:dyDescent="0.25">
      <c r="A148" s="4" t="s">
        <v>19</v>
      </c>
      <c r="B148" s="2" t="s">
        <v>271</v>
      </c>
      <c r="C148" s="2">
        <v>567</v>
      </c>
      <c r="D148" s="2" t="s">
        <v>2253</v>
      </c>
      <c r="E148" s="2" t="s">
        <v>1961</v>
      </c>
      <c r="F148" s="2" t="s">
        <v>2254</v>
      </c>
      <c r="G148" s="2" t="s">
        <v>1969</v>
      </c>
      <c r="H148" s="2" t="s">
        <v>97</v>
      </c>
      <c r="I148" s="2">
        <v>380</v>
      </c>
    </row>
    <row r="149" spans="1:9" x14ac:dyDescent="0.25">
      <c r="A149" s="4" t="s">
        <v>19</v>
      </c>
      <c r="B149" s="2" t="s">
        <v>271</v>
      </c>
      <c r="C149" s="2">
        <v>579</v>
      </c>
      <c r="D149" s="2" t="s">
        <v>2297</v>
      </c>
      <c r="E149" s="2" t="s">
        <v>1961</v>
      </c>
      <c r="F149" s="2" t="s">
        <v>2298</v>
      </c>
      <c r="G149" s="2" t="s">
        <v>1969</v>
      </c>
      <c r="H149" s="2" t="s">
        <v>97</v>
      </c>
      <c r="I149" s="2">
        <v>380</v>
      </c>
    </row>
    <row r="150" spans="1:9" x14ac:dyDescent="0.25">
      <c r="A150" s="4" t="s">
        <v>19</v>
      </c>
      <c r="B150" s="2" t="s">
        <v>271</v>
      </c>
      <c r="C150" s="2">
        <v>590</v>
      </c>
      <c r="D150" s="2" t="s">
        <v>2338</v>
      </c>
      <c r="E150" s="2" t="s">
        <v>1961</v>
      </c>
      <c r="F150" s="2" t="s">
        <v>2339</v>
      </c>
      <c r="G150" s="2" t="s">
        <v>1969</v>
      </c>
      <c r="H150" s="2" t="s">
        <v>97</v>
      </c>
      <c r="I150" s="2">
        <v>380</v>
      </c>
    </row>
    <row r="151" spans="1:9" x14ac:dyDescent="0.25">
      <c r="A151" s="4" t="s">
        <v>19</v>
      </c>
      <c r="B151" s="2" t="s">
        <v>271</v>
      </c>
      <c r="C151" s="2">
        <v>550</v>
      </c>
      <c r="D151" s="2" t="s">
        <v>2193</v>
      </c>
      <c r="E151" s="2" t="s">
        <v>1961</v>
      </c>
      <c r="F151" s="2" t="s">
        <v>2194</v>
      </c>
      <c r="G151" s="2" t="s">
        <v>1969</v>
      </c>
      <c r="H151" s="2" t="s">
        <v>97</v>
      </c>
      <c r="I151" s="2">
        <v>380</v>
      </c>
    </row>
    <row r="152" spans="1:9" x14ac:dyDescent="0.25">
      <c r="A152" s="4" t="s">
        <v>19</v>
      </c>
      <c r="B152" s="2" t="s">
        <v>271</v>
      </c>
      <c r="C152" s="2">
        <v>516</v>
      </c>
      <c r="D152" s="2" t="s">
        <v>2062</v>
      </c>
      <c r="E152" s="2" t="s">
        <v>1961</v>
      </c>
      <c r="F152" s="2" t="s">
        <v>2063</v>
      </c>
      <c r="G152" s="2" t="s">
        <v>1969</v>
      </c>
      <c r="H152" s="2" t="s">
        <v>97</v>
      </c>
      <c r="I152" s="2">
        <v>380</v>
      </c>
    </row>
    <row r="153" spans="1:9" x14ac:dyDescent="0.25">
      <c r="A153" s="4" t="s">
        <v>19</v>
      </c>
      <c r="B153" s="2" t="s">
        <v>271</v>
      </c>
      <c r="C153" s="2">
        <v>571</v>
      </c>
      <c r="D153" s="2" t="s">
        <v>2271</v>
      </c>
      <c r="E153" s="2" t="s">
        <v>1961</v>
      </c>
      <c r="F153" s="2" t="s">
        <v>2063</v>
      </c>
      <c r="G153" s="2" t="s">
        <v>1969</v>
      </c>
      <c r="H153" s="2" t="s">
        <v>97</v>
      </c>
      <c r="I153" s="2">
        <v>380</v>
      </c>
    </row>
    <row r="154" spans="1:9" x14ac:dyDescent="0.25">
      <c r="A154" s="4" t="s">
        <v>19</v>
      </c>
      <c r="B154" s="2" t="s">
        <v>271</v>
      </c>
      <c r="C154" s="2">
        <v>524</v>
      </c>
      <c r="D154" s="2" t="s">
        <v>2094</v>
      </c>
      <c r="E154" s="2" t="s">
        <v>1961</v>
      </c>
      <c r="F154" s="2" t="s">
        <v>2095</v>
      </c>
      <c r="G154" s="2" t="s">
        <v>1969</v>
      </c>
      <c r="H154" s="2" t="s">
        <v>97</v>
      </c>
      <c r="I154" s="2">
        <v>380</v>
      </c>
    </row>
    <row r="155" spans="1:9" x14ac:dyDescent="0.25">
      <c r="A155" s="4" t="s">
        <v>19</v>
      </c>
      <c r="B155" s="2" t="s">
        <v>271</v>
      </c>
      <c r="C155" s="2">
        <v>538</v>
      </c>
      <c r="D155" s="2" t="s">
        <v>2145</v>
      </c>
      <c r="E155" s="2" t="s">
        <v>1961</v>
      </c>
      <c r="F155" s="2" t="s">
        <v>2095</v>
      </c>
      <c r="G155" s="2" t="s">
        <v>1969</v>
      </c>
      <c r="H155" s="2" t="s">
        <v>97</v>
      </c>
      <c r="I155" s="2">
        <v>380</v>
      </c>
    </row>
    <row r="156" spans="1:9" x14ac:dyDescent="0.25">
      <c r="A156" s="4" t="s">
        <v>19</v>
      </c>
      <c r="B156" s="2" t="s">
        <v>271</v>
      </c>
      <c r="C156" s="2">
        <v>589</v>
      </c>
      <c r="D156" s="2" t="s">
        <v>2335</v>
      </c>
      <c r="E156" s="2" t="s">
        <v>1961</v>
      </c>
      <c r="F156" s="2" t="s">
        <v>2095</v>
      </c>
      <c r="G156" s="2" t="s">
        <v>1969</v>
      </c>
      <c r="H156" s="2" t="s">
        <v>97</v>
      </c>
      <c r="I156" s="2">
        <v>380</v>
      </c>
    </row>
    <row r="157" spans="1:9" x14ac:dyDescent="0.25">
      <c r="A157" s="4" t="s">
        <v>19</v>
      </c>
      <c r="B157" s="2" t="s">
        <v>271</v>
      </c>
      <c r="C157" s="2">
        <v>517</v>
      </c>
      <c r="D157" s="2" t="s">
        <v>2066</v>
      </c>
      <c r="E157" s="2" t="s">
        <v>1961</v>
      </c>
      <c r="F157" s="2" t="s">
        <v>2067</v>
      </c>
      <c r="G157" s="2" t="s">
        <v>1969</v>
      </c>
      <c r="H157" s="2" t="s">
        <v>97</v>
      </c>
      <c r="I157" s="2">
        <v>380</v>
      </c>
    </row>
    <row r="158" spans="1:9" x14ac:dyDescent="0.25">
      <c r="A158" s="4" t="s">
        <v>19</v>
      </c>
      <c r="B158" s="2" t="s">
        <v>271</v>
      </c>
      <c r="C158" s="2">
        <v>595</v>
      </c>
      <c r="D158" s="2" t="s">
        <v>2357</v>
      </c>
      <c r="E158" s="2" t="s">
        <v>1961</v>
      </c>
      <c r="F158" s="2" t="s">
        <v>2067</v>
      </c>
      <c r="G158" s="2" t="s">
        <v>1969</v>
      </c>
      <c r="H158" s="2" t="s">
        <v>97</v>
      </c>
      <c r="I158" s="2">
        <v>380</v>
      </c>
    </row>
    <row r="159" spans="1:9" x14ac:dyDescent="0.25">
      <c r="A159" s="4" t="s">
        <v>19</v>
      </c>
      <c r="B159" s="2" t="s">
        <v>271</v>
      </c>
      <c r="C159" s="2">
        <v>530</v>
      </c>
      <c r="D159" s="2" t="s">
        <v>2115</v>
      </c>
      <c r="E159" s="2" t="s">
        <v>1961</v>
      </c>
      <c r="F159" s="2" t="s">
        <v>2116</v>
      </c>
      <c r="G159" s="2" t="s">
        <v>1969</v>
      </c>
      <c r="H159" s="2" t="s">
        <v>97</v>
      </c>
      <c r="I159" s="2">
        <v>380</v>
      </c>
    </row>
    <row r="160" spans="1:9" x14ac:dyDescent="0.25">
      <c r="A160" s="4" t="s">
        <v>19</v>
      </c>
      <c r="B160" s="2" t="s">
        <v>271</v>
      </c>
      <c r="C160" s="2">
        <v>506</v>
      </c>
      <c r="D160" s="2" t="s">
        <v>2021</v>
      </c>
      <c r="E160" s="2" t="s">
        <v>1961</v>
      </c>
      <c r="F160" s="2" t="s">
        <v>2022</v>
      </c>
      <c r="G160" s="2" t="s">
        <v>1969</v>
      </c>
      <c r="H160" s="2" t="s">
        <v>97</v>
      </c>
      <c r="I160" s="2">
        <v>380</v>
      </c>
    </row>
    <row r="161" spans="1:9" x14ac:dyDescent="0.25">
      <c r="A161" s="4" t="s">
        <v>19</v>
      </c>
      <c r="B161" s="2" t="s">
        <v>271</v>
      </c>
      <c r="C161" s="2">
        <v>529</v>
      </c>
      <c r="D161" s="2" t="s">
        <v>2111</v>
      </c>
      <c r="E161" s="2" t="s">
        <v>1961</v>
      </c>
      <c r="F161" s="2" t="s">
        <v>2112</v>
      </c>
      <c r="G161" s="2" t="s">
        <v>1969</v>
      </c>
      <c r="H161" s="2" t="s">
        <v>97</v>
      </c>
      <c r="I161" s="2">
        <v>380</v>
      </c>
    </row>
    <row r="162" spans="1:9" x14ac:dyDescent="0.25">
      <c r="A162" s="4" t="s">
        <v>19</v>
      </c>
      <c r="B162" s="2" t="s">
        <v>271</v>
      </c>
      <c r="C162" s="2">
        <v>558</v>
      </c>
      <c r="D162" s="2" t="s">
        <v>2222</v>
      </c>
      <c r="E162" s="2" t="s">
        <v>1961</v>
      </c>
      <c r="F162" s="2" t="s">
        <v>2223</v>
      </c>
      <c r="G162" s="2" t="s">
        <v>1969</v>
      </c>
      <c r="H162" s="2" t="s">
        <v>97</v>
      </c>
      <c r="I162" s="2">
        <v>380</v>
      </c>
    </row>
    <row r="163" spans="1:9" x14ac:dyDescent="0.25">
      <c r="A163" s="4" t="s">
        <v>19</v>
      </c>
      <c r="B163" s="2" t="s">
        <v>271</v>
      </c>
      <c r="C163" s="2">
        <v>591</v>
      </c>
      <c r="D163" s="2" t="s">
        <v>2342</v>
      </c>
      <c r="E163" s="2" t="s">
        <v>1961</v>
      </c>
      <c r="F163" s="2" t="s">
        <v>2223</v>
      </c>
      <c r="G163" s="2" t="s">
        <v>1969</v>
      </c>
      <c r="H163" s="2" t="s">
        <v>97</v>
      </c>
      <c r="I163" s="2">
        <v>380</v>
      </c>
    </row>
    <row r="164" spans="1:9" x14ac:dyDescent="0.25">
      <c r="A164" s="4" t="s">
        <v>19</v>
      </c>
      <c r="B164" s="2" t="s">
        <v>271</v>
      </c>
      <c r="C164" s="2">
        <v>596</v>
      </c>
      <c r="D164" s="2" t="s">
        <v>2359</v>
      </c>
      <c r="E164" s="2" t="s">
        <v>1961</v>
      </c>
      <c r="F164" s="2" t="s">
        <v>2223</v>
      </c>
      <c r="G164" s="2" t="s">
        <v>1969</v>
      </c>
      <c r="H164" s="2" t="s">
        <v>97</v>
      </c>
      <c r="I164" s="2">
        <v>380</v>
      </c>
    </row>
    <row r="165" spans="1:9" x14ac:dyDescent="0.25">
      <c r="A165" s="4" t="s">
        <v>19</v>
      </c>
      <c r="B165" s="2" t="s">
        <v>271</v>
      </c>
      <c r="C165" s="2">
        <v>565</v>
      </c>
      <c r="D165" s="2" t="s">
        <v>2245</v>
      </c>
      <c r="E165" s="2" t="s">
        <v>1961</v>
      </c>
      <c r="F165" s="2" t="s">
        <v>2246</v>
      </c>
      <c r="G165" s="2" t="s">
        <v>1969</v>
      </c>
      <c r="H165" s="2" t="s">
        <v>97</v>
      </c>
      <c r="I165" s="2">
        <v>380</v>
      </c>
    </row>
    <row r="166" spans="1:9" x14ac:dyDescent="0.25">
      <c r="A166" s="4" t="s">
        <v>19</v>
      </c>
      <c r="B166" s="2" t="s">
        <v>271</v>
      </c>
      <c r="C166" s="2">
        <v>578</v>
      </c>
      <c r="D166" s="2" t="s">
        <v>2292</v>
      </c>
      <c r="E166" s="2" t="s">
        <v>1961</v>
      </c>
      <c r="F166" s="2" t="s">
        <v>2293</v>
      </c>
      <c r="G166" s="2" t="s">
        <v>1969</v>
      </c>
      <c r="H166" s="2" t="s">
        <v>97</v>
      </c>
      <c r="I166" s="2">
        <v>380</v>
      </c>
    </row>
    <row r="167" spans="1:9" x14ac:dyDescent="0.25">
      <c r="A167" s="4" t="s">
        <v>19</v>
      </c>
      <c r="B167" s="2" t="s">
        <v>271</v>
      </c>
      <c r="C167" s="2">
        <v>584</v>
      </c>
      <c r="D167" s="2" t="s">
        <v>2315</v>
      </c>
      <c r="E167" s="2" t="s">
        <v>1961</v>
      </c>
      <c r="F167" s="2" t="s">
        <v>2316</v>
      </c>
      <c r="G167" s="2" t="s">
        <v>1969</v>
      </c>
      <c r="H167" s="2" t="s">
        <v>97</v>
      </c>
      <c r="I167" s="2">
        <v>380</v>
      </c>
    </row>
    <row r="168" spans="1:9" x14ac:dyDescent="0.25">
      <c r="A168" s="4" t="s">
        <v>19</v>
      </c>
      <c r="B168" s="2" t="s">
        <v>271</v>
      </c>
      <c r="C168" s="2">
        <v>537</v>
      </c>
      <c r="D168" s="2" t="s">
        <v>2140</v>
      </c>
      <c r="E168" s="2" t="s">
        <v>1961</v>
      </c>
      <c r="F168" s="2" t="s">
        <v>2141</v>
      </c>
      <c r="G168" s="2" t="s">
        <v>1969</v>
      </c>
      <c r="H168" s="2" t="s">
        <v>97</v>
      </c>
      <c r="I168" s="2">
        <v>380</v>
      </c>
    </row>
    <row r="169" spans="1:9" x14ac:dyDescent="0.25">
      <c r="A169" s="4" t="s">
        <v>19</v>
      </c>
      <c r="B169" s="2" t="s">
        <v>271</v>
      </c>
      <c r="C169" s="2">
        <v>557</v>
      </c>
      <c r="D169" s="2" t="s">
        <v>2220</v>
      </c>
      <c r="E169" s="2" t="s">
        <v>1961</v>
      </c>
      <c r="F169" s="2" t="s">
        <v>2141</v>
      </c>
      <c r="G169" s="2" t="s">
        <v>1969</v>
      </c>
      <c r="H169" s="2" t="s">
        <v>97</v>
      </c>
      <c r="I169" s="2">
        <v>380</v>
      </c>
    </row>
    <row r="170" spans="1:9" x14ac:dyDescent="0.25">
      <c r="A170" s="4" t="s">
        <v>19</v>
      </c>
      <c r="B170" s="2" t="s">
        <v>271</v>
      </c>
      <c r="C170" s="2">
        <v>493</v>
      </c>
      <c r="D170" s="2" t="s">
        <v>1971</v>
      </c>
      <c r="E170" s="2" t="s">
        <v>1961</v>
      </c>
      <c r="F170" s="2" t="s">
        <v>1972</v>
      </c>
      <c r="G170" s="2" t="s">
        <v>1969</v>
      </c>
      <c r="H170" s="2" t="s">
        <v>97</v>
      </c>
      <c r="I170" s="2">
        <v>380</v>
      </c>
    </row>
    <row r="171" spans="1:9" x14ac:dyDescent="0.25">
      <c r="A171" s="4" t="s">
        <v>19</v>
      </c>
      <c r="B171" s="2" t="s">
        <v>271</v>
      </c>
      <c r="C171" s="2">
        <v>497</v>
      </c>
      <c r="D171" s="2" t="s">
        <v>1988</v>
      </c>
      <c r="E171" s="2" t="s">
        <v>1961</v>
      </c>
      <c r="F171" s="2" t="s">
        <v>1989</v>
      </c>
      <c r="G171" s="2" t="s">
        <v>1969</v>
      </c>
      <c r="H171" s="2" t="s">
        <v>97</v>
      </c>
      <c r="I171" s="2">
        <v>380</v>
      </c>
    </row>
    <row r="172" spans="1:9" x14ac:dyDescent="0.25">
      <c r="A172" s="4" t="s">
        <v>19</v>
      </c>
      <c r="B172" s="2" t="s">
        <v>271</v>
      </c>
      <c r="C172" s="2">
        <v>498</v>
      </c>
      <c r="D172" s="2" t="s">
        <v>1993</v>
      </c>
      <c r="E172" s="2" t="s">
        <v>1961</v>
      </c>
      <c r="F172" s="2" t="s">
        <v>1989</v>
      </c>
      <c r="G172" s="2" t="s">
        <v>1969</v>
      </c>
      <c r="H172" s="2" t="s">
        <v>97</v>
      </c>
      <c r="I172" s="2">
        <v>380</v>
      </c>
    </row>
    <row r="173" spans="1:9" x14ac:dyDescent="0.25">
      <c r="A173" s="4" t="s">
        <v>19</v>
      </c>
      <c r="B173" s="2" t="s">
        <v>271</v>
      </c>
      <c r="C173" s="2">
        <v>501</v>
      </c>
      <c r="D173" s="2" t="s">
        <v>2003</v>
      </c>
      <c r="E173" s="2" t="s">
        <v>1961</v>
      </c>
      <c r="F173" s="2" t="s">
        <v>1989</v>
      </c>
      <c r="G173" s="2" t="s">
        <v>1969</v>
      </c>
      <c r="H173" s="2" t="s">
        <v>97</v>
      </c>
      <c r="I173" s="2">
        <v>380</v>
      </c>
    </row>
    <row r="174" spans="1:9" x14ac:dyDescent="0.25">
      <c r="A174" s="4" t="s">
        <v>19</v>
      </c>
      <c r="B174" s="2" t="s">
        <v>271</v>
      </c>
      <c r="C174" s="2">
        <v>587</v>
      </c>
      <c r="D174" s="2" t="s">
        <v>2326</v>
      </c>
      <c r="E174" s="2" t="s">
        <v>1961</v>
      </c>
      <c r="F174" s="2" t="s">
        <v>2327</v>
      </c>
      <c r="G174" s="2" t="s">
        <v>1969</v>
      </c>
      <c r="H174" s="2" t="s">
        <v>97</v>
      </c>
      <c r="I174" s="2">
        <v>380</v>
      </c>
    </row>
    <row r="175" spans="1:9" x14ac:dyDescent="0.25">
      <c r="A175" s="4" t="s">
        <v>19</v>
      </c>
      <c r="B175" s="2" t="s">
        <v>271</v>
      </c>
      <c r="C175" s="2">
        <v>597</v>
      </c>
      <c r="D175" s="2" t="s">
        <v>2361</v>
      </c>
      <c r="E175" s="2" t="s">
        <v>1961</v>
      </c>
      <c r="F175" s="2" t="s">
        <v>2362</v>
      </c>
      <c r="G175" s="2" t="s">
        <v>1969</v>
      </c>
      <c r="H175" s="2" t="s">
        <v>97</v>
      </c>
      <c r="I175" s="2">
        <v>380</v>
      </c>
    </row>
    <row r="176" spans="1:9" x14ac:dyDescent="0.25">
      <c r="A176" s="4" t="s">
        <v>19</v>
      </c>
      <c r="B176" s="2" t="s">
        <v>271</v>
      </c>
      <c r="C176" s="2">
        <v>539</v>
      </c>
      <c r="D176" s="2" t="s">
        <v>2149</v>
      </c>
      <c r="E176" s="2" t="s">
        <v>1961</v>
      </c>
      <c r="F176" s="2" t="s">
        <v>2150</v>
      </c>
      <c r="G176" s="2" t="s">
        <v>1969</v>
      </c>
      <c r="H176" s="2" t="s">
        <v>97</v>
      </c>
      <c r="I176" s="2">
        <v>380</v>
      </c>
    </row>
    <row r="177" spans="1:9" x14ac:dyDescent="0.25">
      <c r="A177" s="4" t="s">
        <v>19</v>
      </c>
      <c r="B177" s="2" t="s">
        <v>271</v>
      </c>
      <c r="C177" s="2">
        <v>541</v>
      </c>
      <c r="D177" s="2" t="s">
        <v>2158</v>
      </c>
      <c r="E177" s="2" t="s">
        <v>1961</v>
      </c>
      <c r="F177" s="2" t="s">
        <v>2150</v>
      </c>
      <c r="G177" s="2" t="s">
        <v>1969</v>
      </c>
      <c r="H177" s="2" t="s">
        <v>97</v>
      </c>
      <c r="I177" s="2">
        <v>380</v>
      </c>
    </row>
    <row r="178" spans="1:9" x14ac:dyDescent="0.25">
      <c r="A178" s="4" t="s">
        <v>19</v>
      </c>
      <c r="B178" s="2" t="s">
        <v>271</v>
      </c>
      <c r="C178" s="2">
        <v>593</v>
      </c>
      <c r="D178" s="2" t="s">
        <v>2348</v>
      </c>
      <c r="E178" s="2" t="s">
        <v>1961</v>
      </c>
      <c r="F178" s="2" t="s">
        <v>2349</v>
      </c>
      <c r="G178" s="2" t="s">
        <v>1969</v>
      </c>
      <c r="H178" s="2" t="s">
        <v>97</v>
      </c>
      <c r="I178" s="2">
        <v>380</v>
      </c>
    </row>
    <row r="179" spans="1:9" x14ac:dyDescent="0.25">
      <c r="A179" s="4" t="s">
        <v>19</v>
      </c>
      <c r="B179" s="2" t="s">
        <v>271</v>
      </c>
      <c r="C179" s="2">
        <v>509</v>
      </c>
      <c r="D179" s="2" t="s">
        <v>2035</v>
      </c>
      <c r="E179" s="2" t="s">
        <v>1961</v>
      </c>
      <c r="F179" s="2" t="s">
        <v>2036</v>
      </c>
      <c r="G179" s="2" t="s">
        <v>1969</v>
      </c>
      <c r="H179" s="2" t="s">
        <v>97</v>
      </c>
      <c r="I179" s="2">
        <v>380</v>
      </c>
    </row>
    <row r="180" spans="1:9" x14ac:dyDescent="0.25">
      <c r="A180" s="4" t="s">
        <v>19</v>
      </c>
      <c r="B180" s="2" t="s">
        <v>271</v>
      </c>
      <c r="C180" s="2">
        <v>545</v>
      </c>
      <c r="D180" s="2" t="s">
        <v>2175</v>
      </c>
      <c r="E180" s="2" t="s">
        <v>1961</v>
      </c>
      <c r="F180" s="2" t="s">
        <v>2176</v>
      </c>
      <c r="G180" s="2" t="s">
        <v>1969</v>
      </c>
      <c r="H180" s="2" t="s">
        <v>97</v>
      </c>
      <c r="I180" s="2">
        <v>380</v>
      </c>
    </row>
    <row r="181" spans="1:9" x14ac:dyDescent="0.25">
      <c r="A181" s="4" t="s">
        <v>19</v>
      </c>
      <c r="B181" s="2" t="s">
        <v>271</v>
      </c>
      <c r="C181" s="2">
        <v>598</v>
      </c>
      <c r="D181" s="2" t="s">
        <v>2365</v>
      </c>
      <c r="E181" s="2" t="s">
        <v>1961</v>
      </c>
      <c r="F181" s="2" t="s">
        <v>2366</v>
      </c>
      <c r="G181" s="2" t="s">
        <v>1969</v>
      </c>
      <c r="H181" s="2" t="s">
        <v>97</v>
      </c>
      <c r="I181" s="2">
        <v>380</v>
      </c>
    </row>
    <row r="182" spans="1:9" x14ac:dyDescent="0.25">
      <c r="A182" s="4" t="s">
        <v>19</v>
      </c>
      <c r="B182" s="2" t="s">
        <v>271</v>
      </c>
      <c r="C182" s="2">
        <v>569</v>
      </c>
      <c r="D182" s="2" t="s">
        <v>2262</v>
      </c>
      <c r="E182" s="2" t="s">
        <v>1961</v>
      </c>
      <c r="F182" s="2" t="s">
        <v>2263</v>
      </c>
      <c r="G182" s="2" t="s">
        <v>1969</v>
      </c>
      <c r="H182" s="2" t="s">
        <v>97</v>
      </c>
      <c r="I182" s="2">
        <v>380</v>
      </c>
    </row>
    <row r="183" spans="1:9" x14ac:dyDescent="0.25">
      <c r="A183" s="4" t="s">
        <v>19</v>
      </c>
      <c r="B183" s="2" t="s">
        <v>271</v>
      </c>
      <c r="C183" s="2">
        <v>580</v>
      </c>
      <c r="D183" s="2" t="s">
        <v>2301</v>
      </c>
      <c r="E183" s="2" t="s">
        <v>1961</v>
      </c>
      <c r="F183" s="2" t="s">
        <v>2302</v>
      </c>
      <c r="G183" s="2" t="s">
        <v>1969</v>
      </c>
      <c r="H183" s="2" t="s">
        <v>97</v>
      </c>
      <c r="I183" s="2">
        <v>380</v>
      </c>
    </row>
    <row r="184" spans="1:9" x14ac:dyDescent="0.25">
      <c r="A184" s="4" t="s">
        <v>19</v>
      </c>
      <c r="B184" s="2" t="s">
        <v>271</v>
      </c>
      <c r="C184" s="2">
        <v>540</v>
      </c>
      <c r="D184" s="2" t="s">
        <v>2153</v>
      </c>
      <c r="E184" s="2" t="s">
        <v>1961</v>
      </c>
      <c r="F184" s="2" t="s">
        <v>2154</v>
      </c>
      <c r="G184" s="2" t="s">
        <v>1969</v>
      </c>
      <c r="H184" s="2" t="s">
        <v>97</v>
      </c>
      <c r="I184" s="2">
        <v>380</v>
      </c>
    </row>
    <row r="185" spans="1:9" x14ac:dyDescent="0.25">
      <c r="A185" s="4" t="s">
        <v>19</v>
      </c>
      <c r="B185" s="2" t="s">
        <v>271</v>
      </c>
      <c r="C185" s="2">
        <v>551</v>
      </c>
      <c r="D185" s="2" t="s">
        <v>2197</v>
      </c>
      <c r="E185" s="2" t="s">
        <v>1961</v>
      </c>
      <c r="F185" s="2" t="s">
        <v>2154</v>
      </c>
      <c r="G185" s="2" t="s">
        <v>1969</v>
      </c>
      <c r="H185" s="2" t="s">
        <v>97</v>
      </c>
      <c r="I185" s="2">
        <v>380</v>
      </c>
    </row>
    <row r="186" spans="1:9" x14ac:dyDescent="0.25">
      <c r="A186" s="4" t="s">
        <v>19</v>
      </c>
      <c r="B186" s="2" t="s">
        <v>271</v>
      </c>
      <c r="C186" s="2">
        <v>572</v>
      </c>
      <c r="D186" s="2" t="s">
        <v>2273</v>
      </c>
      <c r="E186" s="2" t="s">
        <v>1961</v>
      </c>
      <c r="F186" s="2" t="s">
        <v>2154</v>
      </c>
      <c r="G186" s="2" t="s">
        <v>1969</v>
      </c>
      <c r="H186" s="2" t="s">
        <v>97</v>
      </c>
      <c r="I186" s="2">
        <v>380</v>
      </c>
    </row>
    <row r="187" spans="1:9" x14ac:dyDescent="0.25">
      <c r="A187" s="4" t="s">
        <v>19</v>
      </c>
      <c r="B187" s="2" t="s">
        <v>96</v>
      </c>
      <c r="C187" s="2">
        <v>40</v>
      </c>
      <c r="D187" s="2" t="s">
        <v>182</v>
      </c>
      <c r="E187" s="2" t="s">
        <v>86</v>
      </c>
      <c r="F187" s="2" t="s">
        <v>183</v>
      </c>
      <c r="G187" s="2" t="s">
        <v>95</v>
      </c>
      <c r="H187" s="2" t="s">
        <v>97</v>
      </c>
      <c r="I187" s="2">
        <v>1023</v>
      </c>
    </row>
    <row r="188" spans="1:9" x14ac:dyDescent="0.25">
      <c r="A188" s="4" t="s">
        <v>19</v>
      </c>
      <c r="B188" s="2" t="s">
        <v>96</v>
      </c>
      <c r="C188" s="2">
        <v>31</v>
      </c>
      <c r="D188" s="2" t="s">
        <v>146</v>
      </c>
      <c r="E188" s="2" t="s">
        <v>86</v>
      </c>
      <c r="F188" s="2" t="s">
        <v>147</v>
      </c>
      <c r="G188" s="2" t="s">
        <v>95</v>
      </c>
      <c r="H188" s="2" t="s">
        <v>97</v>
      </c>
      <c r="I188" s="2">
        <v>1023</v>
      </c>
    </row>
    <row r="189" spans="1:9" x14ac:dyDescent="0.25">
      <c r="A189" s="4" t="s">
        <v>19</v>
      </c>
      <c r="B189" s="2" t="s">
        <v>96</v>
      </c>
      <c r="C189" s="2">
        <v>43</v>
      </c>
      <c r="D189" s="2" t="s">
        <v>195</v>
      </c>
      <c r="E189" s="2" t="s">
        <v>86</v>
      </c>
      <c r="F189" s="2" t="s">
        <v>196</v>
      </c>
      <c r="G189" s="2" t="s">
        <v>95</v>
      </c>
      <c r="H189" s="2" t="s">
        <v>97</v>
      </c>
      <c r="I189" s="2">
        <v>1023</v>
      </c>
    </row>
    <row r="190" spans="1:9" x14ac:dyDescent="0.25">
      <c r="A190" s="4" t="s">
        <v>19</v>
      </c>
      <c r="B190" s="2" t="s">
        <v>96</v>
      </c>
      <c r="C190" s="2">
        <v>35</v>
      </c>
      <c r="D190" s="2" t="s">
        <v>162</v>
      </c>
      <c r="E190" s="2" t="s">
        <v>86</v>
      </c>
      <c r="F190" s="2" t="s">
        <v>163</v>
      </c>
      <c r="G190" s="2" t="s">
        <v>95</v>
      </c>
      <c r="H190" s="2" t="s">
        <v>97</v>
      </c>
      <c r="I190" s="2">
        <v>1023</v>
      </c>
    </row>
    <row r="191" spans="1:9" x14ac:dyDescent="0.25">
      <c r="A191" s="4" t="s">
        <v>19</v>
      </c>
      <c r="B191" s="2" t="s">
        <v>96</v>
      </c>
      <c r="C191" s="2">
        <v>46</v>
      </c>
      <c r="D191" s="2" t="s">
        <v>209</v>
      </c>
      <c r="E191" s="2" t="s">
        <v>86</v>
      </c>
      <c r="F191" s="2" t="s">
        <v>210</v>
      </c>
      <c r="G191" s="2" t="s">
        <v>95</v>
      </c>
      <c r="H191" s="2" t="s">
        <v>97</v>
      </c>
      <c r="I191" s="2">
        <v>1023</v>
      </c>
    </row>
    <row r="192" spans="1:9" x14ac:dyDescent="0.25">
      <c r="A192" s="4" t="s">
        <v>19</v>
      </c>
      <c r="B192" s="2" t="s">
        <v>96</v>
      </c>
      <c r="C192" s="2">
        <v>41</v>
      </c>
      <c r="D192" s="2" t="s">
        <v>187</v>
      </c>
      <c r="E192" s="2" t="s">
        <v>86</v>
      </c>
      <c r="F192" s="2" t="s">
        <v>188</v>
      </c>
      <c r="G192" s="2" t="s">
        <v>95</v>
      </c>
      <c r="H192" s="2" t="s">
        <v>97</v>
      </c>
      <c r="I192" s="2">
        <v>1023</v>
      </c>
    </row>
    <row r="193" spans="1:9" x14ac:dyDescent="0.25">
      <c r="A193" s="4" t="s">
        <v>19</v>
      </c>
      <c r="B193" s="2" t="s">
        <v>96</v>
      </c>
      <c r="C193" s="2">
        <v>45</v>
      </c>
      <c r="D193" s="2" t="s">
        <v>204</v>
      </c>
      <c r="E193" s="2" t="s">
        <v>86</v>
      </c>
      <c r="F193" s="2" t="s">
        <v>205</v>
      </c>
      <c r="G193" s="2" t="s">
        <v>95</v>
      </c>
      <c r="H193" s="2" t="s">
        <v>97</v>
      </c>
      <c r="I193" s="2">
        <v>1023</v>
      </c>
    </row>
    <row r="194" spans="1:9" x14ac:dyDescent="0.25">
      <c r="A194" s="4" t="s">
        <v>19</v>
      </c>
      <c r="B194" s="2" t="s">
        <v>96</v>
      </c>
      <c r="C194" s="2">
        <v>29</v>
      </c>
      <c r="D194" s="2" t="s">
        <v>136</v>
      </c>
      <c r="E194" s="2" t="s">
        <v>86</v>
      </c>
      <c r="F194" s="2" t="s">
        <v>137</v>
      </c>
      <c r="G194" s="2" t="s">
        <v>95</v>
      </c>
      <c r="H194" s="2" t="s">
        <v>97</v>
      </c>
      <c r="I194" s="2">
        <v>1023</v>
      </c>
    </row>
    <row r="195" spans="1:9" x14ac:dyDescent="0.25">
      <c r="A195" s="4" t="s">
        <v>19</v>
      </c>
      <c r="B195" s="2" t="s">
        <v>96</v>
      </c>
      <c r="C195" s="2">
        <v>30</v>
      </c>
      <c r="D195" s="2" t="s">
        <v>141</v>
      </c>
      <c r="E195" s="2" t="s">
        <v>86</v>
      </c>
      <c r="F195" s="2" t="s">
        <v>142</v>
      </c>
      <c r="G195" s="2" t="s">
        <v>95</v>
      </c>
      <c r="H195" s="2" t="s">
        <v>97</v>
      </c>
      <c r="I195" s="2">
        <v>1023</v>
      </c>
    </row>
    <row r="196" spans="1:9" x14ac:dyDescent="0.25">
      <c r="A196" s="4" t="s">
        <v>19</v>
      </c>
      <c r="B196" s="2" t="s">
        <v>96</v>
      </c>
      <c r="C196" s="2">
        <v>37</v>
      </c>
      <c r="D196" s="2" t="s">
        <v>170</v>
      </c>
      <c r="E196" s="2" t="s">
        <v>86</v>
      </c>
      <c r="F196" s="2" t="s">
        <v>171</v>
      </c>
      <c r="G196" s="2" t="s">
        <v>95</v>
      </c>
      <c r="H196" s="2" t="s">
        <v>97</v>
      </c>
      <c r="I196" s="2">
        <v>1023</v>
      </c>
    </row>
    <row r="197" spans="1:9" x14ac:dyDescent="0.25">
      <c r="A197" s="4" t="s">
        <v>19</v>
      </c>
      <c r="B197" s="2" t="s">
        <v>96</v>
      </c>
      <c r="C197" s="2">
        <v>22</v>
      </c>
      <c r="D197" s="2" t="s">
        <v>108</v>
      </c>
      <c r="E197" s="2" t="s">
        <v>86</v>
      </c>
      <c r="F197" s="2" t="s">
        <v>109</v>
      </c>
      <c r="G197" s="2" t="s">
        <v>95</v>
      </c>
      <c r="H197" s="2" t="s">
        <v>97</v>
      </c>
      <c r="I197" s="2">
        <v>1023</v>
      </c>
    </row>
    <row r="198" spans="1:9" x14ac:dyDescent="0.25">
      <c r="A198" s="4" t="s">
        <v>19</v>
      </c>
      <c r="B198" s="2" t="s">
        <v>96</v>
      </c>
      <c r="C198" s="2">
        <v>34</v>
      </c>
      <c r="D198" s="2" t="s">
        <v>158</v>
      </c>
      <c r="E198" s="2" t="s">
        <v>86</v>
      </c>
      <c r="F198" s="2" t="s">
        <v>109</v>
      </c>
      <c r="G198" s="2" t="s">
        <v>95</v>
      </c>
      <c r="H198" s="2" t="s">
        <v>97</v>
      </c>
      <c r="I198" s="2">
        <v>1023</v>
      </c>
    </row>
    <row r="199" spans="1:9" x14ac:dyDescent="0.25">
      <c r="A199" s="4" t="s">
        <v>19</v>
      </c>
      <c r="B199" s="2" t="s">
        <v>96</v>
      </c>
      <c r="C199" s="2">
        <v>49</v>
      </c>
      <c r="D199" s="2" t="s">
        <v>222</v>
      </c>
      <c r="E199" s="2" t="s">
        <v>86</v>
      </c>
      <c r="F199" s="2" t="s">
        <v>223</v>
      </c>
      <c r="G199" s="2" t="s">
        <v>95</v>
      </c>
      <c r="H199" s="2" t="s">
        <v>97</v>
      </c>
      <c r="I199" s="2">
        <v>1023</v>
      </c>
    </row>
    <row r="200" spans="1:9" x14ac:dyDescent="0.25">
      <c r="A200" s="4" t="s">
        <v>19</v>
      </c>
      <c r="B200" s="2" t="s">
        <v>96</v>
      </c>
      <c r="C200" s="2">
        <v>19</v>
      </c>
      <c r="D200" s="2" t="s">
        <v>91</v>
      </c>
      <c r="E200" s="2" t="s">
        <v>86</v>
      </c>
      <c r="F200" s="2" t="s">
        <v>92</v>
      </c>
      <c r="G200" s="2" t="s">
        <v>95</v>
      </c>
      <c r="H200" s="2" t="s">
        <v>97</v>
      </c>
      <c r="I200" s="2">
        <v>1023</v>
      </c>
    </row>
    <row r="201" spans="1:9" x14ac:dyDescent="0.25">
      <c r="A201" s="4" t="s">
        <v>19</v>
      </c>
      <c r="B201" s="2" t="s">
        <v>96</v>
      </c>
      <c r="C201" s="2">
        <v>47</v>
      </c>
      <c r="D201" s="2" t="s">
        <v>214</v>
      </c>
      <c r="E201" s="2" t="s">
        <v>86</v>
      </c>
      <c r="F201" s="2" t="s">
        <v>92</v>
      </c>
      <c r="G201" s="2" t="s">
        <v>95</v>
      </c>
      <c r="H201" s="2" t="s">
        <v>97</v>
      </c>
      <c r="I201" s="2">
        <v>1023</v>
      </c>
    </row>
    <row r="202" spans="1:9" x14ac:dyDescent="0.25">
      <c r="A202" s="4" t="s">
        <v>19</v>
      </c>
      <c r="B202" s="2" t="s">
        <v>96</v>
      </c>
      <c r="C202" s="2">
        <v>599</v>
      </c>
      <c r="D202" s="2" t="s">
        <v>2369</v>
      </c>
      <c r="E202" s="2" t="s">
        <v>1961</v>
      </c>
      <c r="F202" s="2" t="s">
        <v>2370</v>
      </c>
      <c r="G202" s="2" t="s">
        <v>1969</v>
      </c>
      <c r="H202" s="2" t="s">
        <v>97</v>
      </c>
      <c r="I202" s="2">
        <v>380</v>
      </c>
    </row>
    <row r="203" spans="1:9" x14ac:dyDescent="0.25">
      <c r="A203" s="4" t="s">
        <v>19</v>
      </c>
      <c r="B203" s="2" t="s">
        <v>96</v>
      </c>
      <c r="C203" s="2">
        <v>505</v>
      </c>
      <c r="D203" s="2" t="s">
        <v>2017</v>
      </c>
      <c r="E203" s="2" t="s">
        <v>1961</v>
      </c>
      <c r="F203" s="2" t="s">
        <v>2018</v>
      </c>
      <c r="G203" s="2" t="s">
        <v>1969</v>
      </c>
      <c r="H203" s="2" t="s">
        <v>97</v>
      </c>
      <c r="I203" s="2">
        <v>380</v>
      </c>
    </row>
    <row r="204" spans="1:9" x14ac:dyDescent="0.25">
      <c r="A204" s="4" t="s">
        <v>19</v>
      </c>
      <c r="B204" s="2" t="s">
        <v>96</v>
      </c>
      <c r="C204" s="2">
        <v>547</v>
      </c>
      <c r="D204" s="2" t="s">
        <v>2183</v>
      </c>
      <c r="E204" s="2" t="s">
        <v>1961</v>
      </c>
      <c r="F204" s="2" t="s">
        <v>2184</v>
      </c>
      <c r="G204" s="2" t="s">
        <v>1969</v>
      </c>
      <c r="H204" s="2" t="s">
        <v>97</v>
      </c>
      <c r="I204" s="2">
        <v>380</v>
      </c>
    </row>
    <row r="205" spans="1:9" x14ac:dyDescent="0.25">
      <c r="A205" s="4" t="s">
        <v>19</v>
      </c>
      <c r="B205" s="2" t="s">
        <v>96</v>
      </c>
      <c r="C205" s="2">
        <v>520</v>
      </c>
      <c r="D205" s="2" t="s">
        <v>2079</v>
      </c>
      <c r="E205" s="2" t="s">
        <v>1961</v>
      </c>
      <c r="F205" s="2" t="s">
        <v>2080</v>
      </c>
      <c r="G205" s="2" t="s">
        <v>1969</v>
      </c>
      <c r="H205" s="2" t="s">
        <v>97</v>
      </c>
      <c r="I205" s="2">
        <v>380</v>
      </c>
    </row>
    <row r="206" spans="1:9" x14ac:dyDescent="0.25">
      <c r="A206" s="4" t="s">
        <v>19</v>
      </c>
      <c r="B206" s="2" t="s">
        <v>96</v>
      </c>
      <c r="C206" s="2">
        <v>535</v>
      </c>
      <c r="D206" s="2" t="s">
        <v>2132</v>
      </c>
      <c r="E206" s="2" t="s">
        <v>1961</v>
      </c>
      <c r="F206" s="2" t="s">
        <v>2133</v>
      </c>
      <c r="G206" s="2" t="s">
        <v>1969</v>
      </c>
      <c r="H206" s="2" t="s">
        <v>97</v>
      </c>
      <c r="I206" s="2">
        <v>380</v>
      </c>
    </row>
    <row r="207" spans="1:9" x14ac:dyDescent="0.25">
      <c r="A207" s="4" t="s">
        <v>19</v>
      </c>
      <c r="B207" s="2" t="s">
        <v>96</v>
      </c>
      <c r="C207" s="2">
        <v>553</v>
      </c>
      <c r="D207" s="2" t="s">
        <v>2203</v>
      </c>
      <c r="E207" s="2" t="s">
        <v>1961</v>
      </c>
      <c r="F207" s="2" t="s">
        <v>2204</v>
      </c>
      <c r="G207" s="2" t="s">
        <v>1969</v>
      </c>
      <c r="H207" s="2" t="s">
        <v>97</v>
      </c>
      <c r="I207" s="2">
        <v>380</v>
      </c>
    </row>
    <row r="208" spans="1:9" x14ac:dyDescent="0.25">
      <c r="A208" s="4" t="s">
        <v>19</v>
      </c>
      <c r="B208" s="2" t="s">
        <v>96</v>
      </c>
      <c r="C208" s="2">
        <v>559</v>
      </c>
      <c r="D208" s="2" t="s">
        <v>2226</v>
      </c>
      <c r="E208" s="2" t="s">
        <v>1961</v>
      </c>
      <c r="F208" s="2" t="s">
        <v>2204</v>
      </c>
      <c r="G208" s="2" t="s">
        <v>1969</v>
      </c>
      <c r="H208" s="2" t="s">
        <v>97</v>
      </c>
      <c r="I208" s="2">
        <v>380</v>
      </c>
    </row>
    <row r="209" spans="1:9" x14ac:dyDescent="0.25">
      <c r="A209" s="4" t="s">
        <v>19</v>
      </c>
      <c r="B209" s="2" t="s">
        <v>96</v>
      </c>
      <c r="C209" s="2">
        <v>561</v>
      </c>
      <c r="D209" s="2" t="s">
        <v>2232</v>
      </c>
      <c r="E209" s="2" t="s">
        <v>1961</v>
      </c>
      <c r="F209" s="2" t="s">
        <v>2204</v>
      </c>
      <c r="G209" s="2" t="s">
        <v>1969</v>
      </c>
      <c r="H209" s="2" t="s">
        <v>97</v>
      </c>
      <c r="I209" s="2">
        <v>380</v>
      </c>
    </row>
    <row r="210" spans="1:9" x14ac:dyDescent="0.25">
      <c r="A210" s="4" t="s">
        <v>19</v>
      </c>
      <c r="B210" s="2" t="s">
        <v>96</v>
      </c>
      <c r="C210" s="2">
        <v>574</v>
      </c>
      <c r="D210" s="2" t="s">
        <v>2280</v>
      </c>
      <c r="E210" s="2" t="s">
        <v>1961</v>
      </c>
      <c r="F210" s="2" t="s">
        <v>394</v>
      </c>
      <c r="G210" s="2" t="s">
        <v>1969</v>
      </c>
      <c r="H210" s="2" t="s">
        <v>97</v>
      </c>
      <c r="I210" s="2">
        <v>380</v>
      </c>
    </row>
    <row r="211" spans="1:9" x14ac:dyDescent="0.25">
      <c r="A211" s="4" t="s">
        <v>19</v>
      </c>
      <c r="B211" s="2" t="s">
        <v>96</v>
      </c>
      <c r="C211" s="2">
        <v>664</v>
      </c>
      <c r="D211" s="2" t="s">
        <v>2630</v>
      </c>
      <c r="E211" s="2" t="s">
        <v>2374</v>
      </c>
      <c r="F211" s="2" t="s">
        <v>2631</v>
      </c>
      <c r="G211" s="2" t="s">
        <v>1969</v>
      </c>
      <c r="H211" s="2" t="s">
        <v>97</v>
      </c>
      <c r="I211" s="2">
        <v>417</v>
      </c>
    </row>
    <row r="212" spans="1:9" x14ac:dyDescent="0.25">
      <c r="A212" s="4" t="s">
        <v>19</v>
      </c>
      <c r="B212" s="2" t="s">
        <v>96</v>
      </c>
      <c r="C212" s="2">
        <v>610</v>
      </c>
      <c r="D212" s="2" t="s">
        <v>2415</v>
      </c>
      <c r="E212" s="2" t="s">
        <v>2374</v>
      </c>
      <c r="F212" s="2" t="s">
        <v>2416</v>
      </c>
      <c r="G212" s="2" t="s">
        <v>1969</v>
      </c>
      <c r="H212" s="2" t="s">
        <v>97</v>
      </c>
      <c r="I212" s="2">
        <v>417</v>
      </c>
    </row>
    <row r="213" spans="1:9" x14ac:dyDescent="0.25">
      <c r="A213" s="4" t="s">
        <v>19</v>
      </c>
      <c r="B213" s="2" t="s">
        <v>96</v>
      </c>
      <c r="C213" s="2">
        <v>624</v>
      </c>
      <c r="D213" s="2" t="s">
        <v>2476</v>
      </c>
      <c r="E213" s="2" t="s">
        <v>2374</v>
      </c>
      <c r="F213" s="2" t="s">
        <v>2416</v>
      </c>
      <c r="G213" s="2" t="s">
        <v>1969</v>
      </c>
      <c r="H213" s="2" t="s">
        <v>97</v>
      </c>
      <c r="I213" s="2">
        <v>417</v>
      </c>
    </row>
    <row r="214" spans="1:9" x14ac:dyDescent="0.25">
      <c r="A214" s="4" t="s">
        <v>19</v>
      </c>
      <c r="B214" s="2" t="s">
        <v>96</v>
      </c>
      <c r="C214" s="2">
        <v>676</v>
      </c>
      <c r="D214" s="2" t="s">
        <v>2676</v>
      </c>
      <c r="E214" s="2" t="s">
        <v>2374</v>
      </c>
      <c r="F214" s="2" t="s">
        <v>2416</v>
      </c>
      <c r="G214" s="2" t="s">
        <v>1969</v>
      </c>
      <c r="H214" s="2" t="s">
        <v>97</v>
      </c>
      <c r="I214" s="2">
        <v>417</v>
      </c>
    </row>
    <row r="215" spans="1:9" x14ac:dyDescent="0.25">
      <c r="A215" s="4" t="s">
        <v>19</v>
      </c>
      <c r="B215" s="2" t="s">
        <v>96</v>
      </c>
      <c r="C215" s="2">
        <v>612</v>
      </c>
      <c r="D215" s="2" t="s">
        <v>2423</v>
      </c>
      <c r="E215" s="2" t="s">
        <v>2374</v>
      </c>
      <c r="F215" s="2" t="s">
        <v>2424</v>
      </c>
      <c r="G215" s="2" t="s">
        <v>1969</v>
      </c>
      <c r="H215" s="2" t="s">
        <v>97</v>
      </c>
      <c r="I215" s="2">
        <v>417</v>
      </c>
    </row>
    <row r="216" spans="1:9" x14ac:dyDescent="0.25">
      <c r="A216" s="4" t="s">
        <v>19</v>
      </c>
      <c r="B216" s="2" t="s">
        <v>96</v>
      </c>
      <c r="C216" s="2">
        <v>662</v>
      </c>
      <c r="D216" s="2" t="s">
        <v>2624</v>
      </c>
      <c r="E216" s="2" t="s">
        <v>2374</v>
      </c>
      <c r="F216" s="2" t="s">
        <v>2424</v>
      </c>
      <c r="G216" s="2" t="s">
        <v>1969</v>
      </c>
      <c r="H216" s="2" t="s">
        <v>97</v>
      </c>
      <c r="I216" s="2">
        <v>417</v>
      </c>
    </row>
    <row r="217" spans="1:9" x14ac:dyDescent="0.25">
      <c r="A217" s="4" t="s">
        <v>19</v>
      </c>
      <c r="B217" s="2" t="s">
        <v>96</v>
      </c>
      <c r="C217" s="2">
        <v>611</v>
      </c>
      <c r="D217" s="2" t="s">
        <v>2419</v>
      </c>
      <c r="E217" s="2" t="s">
        <v>2374</v>
      </c>
      <c r="F217" s="2" t="s">
        <v>2420</v>
      </c>
      <c r="G217" s="2" t="s">
        <v>1969</v>
      </c>
      <c r="H217" s="2" t="s">
        <v>97</v>
      </c>
      <c r="I217" s="2">
        <v>417</v>
      </c>
    </row>
    <row r="218" spans="1:9" x14ac:dyDescent="0.25">
      <c r="A218" s="4" t="s">
        <v>19</v>
      </c>
      <c r="B218" s="2" t="s">
        <v>96</v>
      </c>
      <c r="C218" s="2">
        <v>601</v>
      </c>
      <c r="D218" s="2" t="s">
        <v>2380</v>
      </c>
      <c r="E218" s="2" t="s">
        <v>2374</v>
      </c>
      <c r="F218" s="2" t="s">
        <v>2381</v>
      </c>
      <c r="G218" s="2" t="s">
        <v>1969</v>
      </c>
      <c r="H218" s="2" t="s">
        <v>97</v>
      </c>
      <c r="I218" s="2">
        <v>417</v>
      </c>
    </row>
    <row r="219" spans="1:9" x14ac:dyDescent="0.25">
      <c r="A219" s="4" t="s">
        <v>19</v>
      </c>
      <c r="B219" s="2" t="s">
        <v>96</v>
      </c>
      <c r="C219" s="2">
        <v>620</v>
      </c>
      <c r="D219" s="2" t="s">
        <v>2460</v>
      </c>
      <c r="E219" s="2" t="s">
        <v>2374</v>
      </c>
      <c r="F219" s="2" t="s">
        <v>2461</v>
      </c>
      <c r="G219" s="2" t="s">
        <v>1969</v>
      </c>
      <c r="H219" s="2" t="s">
        <v>97</v>
      </c>
      <c r="I219" s="2">
        <v>417</v>
      </c>
    </row>
    <row r="220" spans="1:9" x14ac:dyDescent="0.25">
      <c r="A220" s="4" t="s">
        <v>19</v>
      </c>
      <c r="B220" s="2" t="s">
        <v>96</v>
      </c>
      <c r="C220" s="2">
        <v>668</v>
      </c>
      <c r="D220" s="2" t="s">
        <v>2645</v>
      </c>
      <c r="E220" s="2" t="s">
        <v>2374</v>
      </c>
      <c r="F220" s="2" t="s">
        <v>2646</v>
      </c>
      <c r="G220" s="2" t="s">
        <v>1969</v>
      </c>
      <c r="H220" s="2" t="s">
        <v>97</v>
      </c>
      <c r="I220" s="2">
        <v>417</v>
      </c>
    </row>
    <row r="221" spans="1:9" x14ac:dyDescent="0.25">
      <c r="A221" s="4" t="s">
        <v>19</v>
      </c>
      <c r="B221" s="2" t="s">
        <v>96</v>
      </c>
      <c r="C221" s="2">
        <v>655</v>
      </c>
      <c r="D221" s="2" t="s">
        <v>2599</v>
      </c>
      <c r="E221" s="2" t="s">
        <v>2374</v>
      </c>
      <c r="F221" s="2" t="s">
        <v>2600</v>
      </c>
      <c r="G221" s="2" t="s">
        <v>1969</v>
      </c>
      <c r="H221" s="2" t="s">
        <v>97</v>
      </c>
      <c r="I221" s="2">
        <v>417</v>
      </c>
    </row>
    <row r="222" spans="1:9" x14ac:dyDescent="0.25">
      <c r="A222" s="4" t="s">
        <v>19</v>
      </c>
      <c r="B222" s="2" t="s">
        <v>96</v>
      </c>
      <c r="C222" s="2">
        <v>623</v>
      </c>
      <c r="D222" s="2" t="s">
        <v>2472</v>
      </c>
      <c r="E222" s="2" t="s">
        <v>2374</v>
      </c>
      <c r="F222" s="2" t="s">
        <v>2473</v>
      </c>
      <c r="G222" s="2" t="s">
        <v>1969</v>
      </c>
      <c r="H222" s="2" t="s">
        <v>97</v>
      </c>
      <c r="I222" s="2">
        <v>417</v>
      </c>
    </row>
    <row r="223" spans="1:9" x14ac:dyDescent="0.25">
      <c r="A223" s="4" t="s">
        <v>19</v>
      </c>
      <c r="B223" s="2" t="s">
        <v>96</v>
      </c>
      <c r="C223" s="2">
        <v>666</v>
      </c>
      <c r="D223" s="2" t="s">
        <v>2638</v>
      </c>
      <c r="E223" s="2" t="s">
        <v>2374</v>
      </c>
      <c r="F223" s="2" t="s">
        <v>2639</v>
      </c>
      <c r="G223" s="2" t="s">
        <v>1969</v>
      </c>
      <c r="H223" s="2" t="s">
        <v>97</v>
      </c>
      <c r="I223" s="2">
        <v>417</v>
      </c>
    </row>
    <row r="224" spans="1:9" x14ac:dyDescent="0.25">
      <c r="A224" s="4" t="s">
        <v>19</v>
      </c>
      <c r="B224" s="2" t="s">
        <v>96</v>
      </c>
      <c r="C224" s="2">
        <v>630</v>
      </c>
      <c r="D224" s="2" t="s">
        <v>2499</v>
      </c>
      <c r="E224" s="2" t="s">
        <v>2374</v>
      </c>
      <c r="F224" s="2" t="s">
        <v>2500</v>
      </c>
      <c r="G224" s="2" t="s">
        <v>1969</v>
      </c>
      <c r="H224" s="2" t="s">
        <v>97</v>
      </c>
      <c r="I224" s="2">
        <v>417</v>
      </c>
    </row>
    <row r="225" spans="1:9" x14ac:dyDescent="0.25">
      <c r="A225" s="4" t="s">
        <v>19</v>
      </c>
      <c r="B225" s="2" t="s">
        <v>96</v>
      </c>
      <c r="C225" s="2">
        <v>637</v>
      </c>
      <c r="D225" s="2" t="s">
        <v>2529</v>
      </c>
      <c r="E225" s="2" t="s">
        <v>2374</v>
      </c>
      <c r="F225" s="2" t="s">
        <v>2530</v>
      </c>
      <c r="G225" s="2" t="s">
        <v>1969</v>
      </c>
      <c r="H225" s="2" t="s">
        <v>97</v>
      </c>
      <c r="I225" s="2">
        <v>417</v>
      </c>
    </row>
    <row r="226" spans="1:9" x14ac:dyDescent="0.25">
      <c r="A226" s="4" t="s">
        <v>19</v>
      </c>
      <c r="B226" s="2" t="s">
        <v>96</v>
      </c>
      <c r="C226" s="2">
        <v>636</v>
      </c>
      <c r="D226" s="2" t="s">
        <v>2524</v>
      </c>
      <c r="E226" s="2" t="s">
        <v>2374</v>
      </c>
      <c r="F226" s="2" t="s">
        <v>2525</v>
      </c>
      <c r="G226" s="2" t="s">
        <v>1969</v>
      </c>
      <c r="H226" s="2" t="s">
        <v>97</v>
      </c>
      <c r="I226" s="2">
        <v>417</v>
      </c>
    </row>
    <row r="227" spans="1:9" x14ac:dyDescent="0.25">
      <c r="A227" s="4" t="s">
        <v>19</v>
      </c>
      <c r="B227" s="2" t="s">
        <v>96</v>
      </c>
      <c r="C227" s="2">
        <v>663</v>
      </c>
      <c r="D227" s="2" t="s">
        <v>2626</v>
      </c>
      <c r="E227" s="2" t="s">
        <v>2374</v>
      </c>
      <c r="F227" s="2" t="s">
        <v>2525</v>
      </c>
      <c r="G227" s="2" t="s">
        <v>1969</v>
      </c>
      <c r="H227" s="2" t="s">
        <v>97</v>
      </c>
      <c r="I227" s="2">
        <v>417</v>
      </c>
    </row>
    <row r="228" spans="1:9" x14ac:dyDescent="0.25">
      <c r="A228" s="4" t="s">
        <v>19</v>
      </c>
      <c r="B228" s="2" t="s">
        <v>96</v>
      </c>
      <c r="C228" s="2">
        <v>615</v>
      </c>
      <c r="D228" s="2" t="s">
        <v>2438</v>
      </c>
      <c r="E228" s="2" t="s">
        <v>2374</v>
      </c>
      <c r="F228" s="2" t="s">
        <v>2439</v>
      </c>
      <c r="G228" s="2" t="s">
        <v>1969</v>
      </c>
      <c r="H228" s="2" t="s">
        <v>97</v>
      </c>
      <c r="I228" s="2">
        <v>417</v>
      </c>
    </row>
    <row r="229" spans="1:9" x14ac:dyDescent="0.25">
      <c r="A229" s="4" t="s">
        <v>19</v>
      </c>
      <c r="B229" s="2" t="s">
        <v>96</v>
      </c>
      <c r="C229" s="2">
        <v>639</v>
      </c>
      <c r="D229" s="2" t="s">
        <v>2537</v>
      </c>
      <c r="E229" s="2" t="s">
        <v>2374</v>
      </c>
      <c r="F229" s="2" t="s">
        <v>2538</v>
      </c>
      <c r="G229" s="2" t="s">
        <v>1969</v>
      </c>
      <c r="H229" s="2" t="s">
        <v>97</v>
      </c>
      <c r="I229" s="2">
        <v>417</v>
      </c>
    </row>
    <row r="230" spans="1:9" x14ac:dyDescent="0.25">
      <c r="A230" s="4" t="s">
        <v>19</v>
      </c>
      <c r="B230" s="2" t="s">
        <v>96</v>
      </c>
      <c r="C230" s="2">
        <v>644</v>
      </c>
      <c r="D230" s="2" t="s">
        <v>2556</v>
      </c>
      <c r="E230" s="2" t="s">
        <v>2374</v>
      </c>
      <c r="F230" s="2" t="s">
        <v>2557</v>
      </c>
      <c r="G230" s="2" t="s">
        <v>1969</v>
      </c>
      <c r="H230" s="2" t="s">
        <v>97</v>
      </c>
      <c r="I230" s="2">
        <v>417</v>
      </c>
    </row>
    <row r="231" spans="1:9" x14ac:dyDescent="0.25">
      <c r="A231" s="4" t="s">
        <v>19</v>
      </c>
      <c r="B231" s="2" t="s">
        <v>96</v>
      </c>
      <c r="C231" s="2">
        <v>656</v>
      </c>
      <c r="D231" s="2" t="s">
        <v>2604</v>
      </c>
      <c r="E231" s="2" t="s">
        <v>2374</v>
      </c>
      <c r="F231" s="2" t="s">
        <v>2557</v>
      </c>
      <c r="G231" s="2" t="s">
        <v>1969</v>
      </c>
      <c r="H231" s="2" t="s">
        <v>97</v>
      </c>
      <c r="I231" s="2">
        <v>417</v>
      </c>
    </row>
    <row r="232" spans="1:9" x14ac:dyDescent="0.25">
      <c r="A232" s="4" t="s">
        <v>19</v>
      </c>
      <c r="B232" s="2" t="s">
        <v>96</v>
      </c>
      <c r="C232" s="2">
        <v>616</v>
      </c>
      <c r="D232" s="2" t="s">
        <v>2443</v>
      </c>
      <c r="E232" s="2" t="s">
        <v>2374</v>
      </c>
      <c r="F232" s="2" t="s">
        <v>2444</v>
      </c>
      <c r="G232" s="2" t="s">
        <v>1969</v>
      </c>
      <c r="H232" s="2" t="s">
        <v>97</v>
      </c>
      <c r="I232" s="2">
        <v>417</v>
      </c>
    </row>
    <row r="233" spans="1:9" x14ac:dyDescent="0.25">
      <c r="A233" s="4" t="s">
        <v>19</v>
      </c>
      <c r="B233" s="2" t="s">
        <v>96</v>
      </c>
      <c r="C233" s="2">
        <v>607</v>
      </c>
      <c r="D233" s="2" t="s">
        <v>2404</v>
      </c>
      <c r="E233" s="2" t="s">
        <v>2374</v>
      </c>
      <c r="F233" s="2" t="s">
        <v>2405</v>
      </c>
      <c r="G233" s="2" t="s">
        <v>1969</v>
      </c>
      <c r="H233" s="2" t="s">
        <v>97</v>
      </c>
      <c r="I233" s="2">
        <v>417</v>
      </c>
    </row>
    <row r="234" spans="1:9" x14ac:dyDescent="0.25">
      <c r="A234" s="4" t="s">
        <v>19</v>
      </c>
      <c r="B234" s="2" t="s">
        <v>96</v>
      </c>
      <c r="C234" s="2">
        <v>627</v>
      </c>
      <c r="D234" s="2" t="s">
        <v>2487</v>
      </c>
      <c r="E234" s="2" t="s">
        <v>2374</v>
      </c>
      <c r="F234" s="2" t="s">
        <v>2488</v>
      </c>
      <c r="G234" s="2" t="s">
        <v>1969</v>
      </c>
      <c r="H234" s="2" t="s">
        <v>97</v>
      </c>
      <c r="I234" s="2">
        <v>417</v>
      </c>
    </row>
    <row r="235" spans="1:9" x14ac:dyDescent="0.25">
      <c r="A235" s="4" t="s">
        <v>19</v>
      </c>
      <c r="B235" s="2" t="s">
        <v>96</v>
      </c>
      <c r="C235" s="2">
        <v>605</v>
      </c>
      <c r="D235" s="2" t="s">
        <v>2397</v>
      </c>
      <c r="E235" s="2" t="s">
        <v>2374</v>
      </c>
      <c r="F235" s="2" t="s">
        <v>2398</v>
      </c>
      <c r="G235" s="2" t="s">
        <v>1969</v>
      </c>
      <c r="H235" s="2" t="s">
        <v>97</v>
      </c>
      <c r="I235" s="2">
        <v>417</v>
      </c>
    </row>
    <row r="236" spans="1:9" x14ac:dyDescent="0.25">
      <c r="A236" s="4" t="s">
        <v>19</v>
      </c>
      <c r="B236" s="2" t="s">
        <v>96</v>
      </c>
      <c r="C236" s="2">
        <v>633</v>
      </c>
      <c r="D236" s="2" t="s">
        <v>2512</v>
      </c>
      <c r="E236" s="2" t="s">
        <v>2374</v>
      </c>
      <c r="F236" s="2" t="s">
        <v>2398</v>
      </c>
      <c r="G236" s="2" t="s">
        <v>1969</v>
      </c>
      <c r="H236" s="2" t="s">
        <v>97</v>
      </c>
      <c r="I236" s="2">
        <v>417</v>
      </c>
    </row>
    <row r="237" spans="1:9" x14ac:dyDescent="0.25">
      <c r="A237" s="4" t="s">
        <v>19</v>
      </c>
      <c r="B237" s="2" t="s">
        <v>96</v>
      </c>
      <c r="C237" s="2">
        <v>653</v>
      </c>
      <c r="D237" s="2" t="s">
        <v>2592</v>
      </c>
      <c r="E237" s="2" t="s">
        <v>2374</v>
      </c>
      <c r="F237" s="2" t="s">
        <v>2398</v>
      </c>
      <c r="G237" s="2" t="s">
        <v>1969</v>
      </c>
      <c r="H237" s="2" t="s">
        <v>97</v>
      </c>
      <c r="I237" s="2">
        <v>417</v>
      </c>
    </row>
    <row r="238" spans="1:9" x14ac:dyDescent="0.25">
      <c r="A238" s="4" t="s">
        <v>1723</v>
      </c>
      <c r="B238" s="2" t="s">
        <v>21</v>
      </c>
      <c r="C238" s="2">
        <v>446</v>
      </c>
      <c r="D238" s="2" t="s">
        <v>1791</v>
      </c>
      <c r="E238" s="2" t="s">
        <v>1719</v>
      </c>
      <c r="F238" s="2" t="s">
        <v>1792</v>
      </c>
      <c r="G238" s="2" t="s">
        <v>20</v>
      </c>
      <c r="H238" s="2" t="s">
        <v>22</v>
      </c>
      <c r="I238" s="2">
        <v>7</v>
      </c>
    </row>
    <row r="239" spans="1:9" x14ac:dyDescent="0.25">
      <c r="A239" s="4" t="s">
        <v>1723</v>
      </c>
      <c r="B239" s="2" t="s">
        <v>21</v>
      </c>
      <c r="C239" s="2">
        <v>460</v>
      </c>
      <c r="D239" s="2" t="s">
        <v>1842</v>
      </c>
      <c r="E239" s="2" t="s">
        <v>1719</v>
      </c>
      <c r="F239" s="2" t="s">
        <v>1792</v>
      </c>
      <c r="G239" s="2" t="s">
        <v>20</v>
      </c>
      <c r="H239" s="2" t="s">
        <v>22</v>
      </c>
      <c r="I239" s="2">
        <v>7</v>
      </c>
    </row>
    <row r="240" spans="1:9" x14ac:dyDescent="0.25">
      <c r="A240" s="4" t="s">
        <v>1723</v>
      </c>
      <c r="B240" s="2" t="s">
        <v>21</v>
      </c>
      <c r="C240" s="2">
        <v>472</v>
      </c>
      <c r="D240" s="2" t="s">
        <v>1887</v>
      </c>
      <c r="E240" s="2" t="s">
        <v>1719</v>
      </c>
      <c r="F240" s="2" t="s">
        <v>1792</v>
      </c>
      <c r="G240" s="2" t="s">
        <v>20</v>
      </c>
      <c r="H240" s="2" t="s">
        <v>22</v>
      </c>
      <c r="I240" s="2">
        <v>7</v>
      </c>
    </row>
    <row r="241" spans="1:9" x14ac:dyDescent="0.25">
      <c r="A241" s="4" t="s">
        <v>1723</v>
      </c>
      <c r="B241" s="2" t="s">
        <v>21</v>
      </c>
      <c r="C241" s="2">
        <v>430</v>
      </c>
      <c r="D241" s="2" t="s">
        <v>1717</v>
      </c>
      <c r="E241" s="2" t="s">
        <v>1719</v>
      </c>
      <c r="F241" s="2" t="s">
        <v>1720</v>
      </c>
      <c r="G241" s="2" t="s">
        <v>20</v>
      </c>
      <c r="H241" s="2" t="s">
        <v>22</v>
      </c>
      <c r="I241" s="2">
        <v>7</v>
      </c>
    </row>
    <row r="242" spans="1:9" x14ac:dyDescent="0.25">
      <c r="A242" s="4" t="s">
        <v>1723</v>
      </c>
      <c r="B242" s="2" t="s">
        <v>21</v>
      </c>
      <c r="C242" s="2">
        <v>432</v>
      </c>
      <c r="D242" s="2" t="s">
        <v>1730</v>
      </c>
      <c r="E242" s="2" t="s">
        <v>1719</v>
      </c>
      <c r="F242" s="2" t="s">
        <v>1720</v>
      </c>
      <c r="G242" s="2" t="s">
        <v>20</v>
      </c>
      <c r="H242" s="2" t="s">
        <v>22</v>
      </c>
      <c r="I242" s="2">
        <v>7</v>
      </c>
    </row>
    <row r="243" spans="1:9" x14ac:dyDescent="0.25">
      <c r="A243" s="4" t="s">
        <v>1723</v>
      </c>
      <c r="B243" s="2" t="s">
        <v>21</v>
      </c>
      <c r="C243" s="2">
        <v>449</v>
      </c>
      <c r="D243" s="2" t="s">
        <v>1804</v>
      </c>
      <c r="E243" s="2" t="s">
        <v>1719</v>
      </c>
      <c r="F243" s="2" t="s">
        <v>1720</v>
      </c>
      <c r="G243" s="2" t="s">
        <v>20</v>
      </c>
      <c r="H243" s="2" t="s">
        <v>22</v>
      </c>
      <c r="I243" s="2">
        <v>7</v>
      </c>
    </row>
    <row r="244" spans="1:9" x14ac:dyDescent="0.25">
      <c r="A244" s="4" t="s">
        <v>1723</v>
      </c>
      <c r="B244" s="2" t="s">
        <v>21</v>
      </c>
      <c r="C244" s="2">
        <v>454</v>
      </c>
      <c r="D244" s="2" t="s">
        <v>1824</v>
      </c>
      <c r="E244" s="2" t="s">
        <v>1719</v>
      </c>
      <c r="F244" s="2" t="s">
        <v>1720</v>
      </c>
      <c r="G244" s="2" t="s">
        <v>20</v>
      </c>
      <c r="H244" s="2" t="s">
        <v>22</v>
      </c>
      <c r="I244" s="2">
        <v>7</v>
      </c>
    </row>
    <row r="245" spans="1:9" x14ac:dyDescent="0.25">
      <c r="A245" s="4" t="s">
        <v>1723</v>
      </c>
      <c r="B245" s="2" t="s">
        <v>21</v>
      </c>
      <c r="C245" s="2">
        <v>467</v>
      </c>
      <c r="D245" s="2" t="s">
        <v>1867</v>
      </c>
      <c r="E245" s="2" t="s">
        <v>1719</v>
      </c>
      <c r="F245" s="2" t="s">
        <v>1868</v>
      </c>
      <c r="G245" s="2" t="s">
        <v>95</v>
      </c>
      <c r="H245" s="2" t="s">
        <v>97</v>
      </c>
      <c r="I245" s="2">
        <v>7</v>
      </c>
    </row>
    <row r="246" spans="1:9" x14ac:dyDescent="0.25">
      <c r="A246" s="4" t="s">
        <v>1723</v>
      </c>
      <c r="B246" s="2" t="s">
        <v>21</v>
      </c>
      <c r="C246" s="2">
        <v>474</v>
      </c>
      <c r="D246" s="2" t="s">
        <v>1894</v>
      </c>
      <c r="E246" s="2" t="s">
        <v>1719</v>
      </c>
      <c r="F246" s="2" t="s">
        <v>1868</v>
      </c>
      <c r="G246" s="2" t="s">
        <v>95</v>
      </c>
      <c r="H246" s="2" t="s">
        <v>97</v>
      </c>
      <c r="I246" s="2">
        <v>7</v>
      </c>
    </row>
    <row r="247" spans="1:9" x14ac:dyDescent="0.25">
      <c r="A247" s="4" t="s">
        <v>1723</v>
      </c>
      <c r="B247" s="2" t="s">
        <v>21</v>
      </c>
      <c r="C247" s="2">
        <v>473</v>
      </c>
      <c r="D247" s="2" t="s">
        <v>1891</v>
      </c>
      <c r="E247" s="2" t="s">
        <v>1719</v>
      </c>
      <c r="F247" s="2" t="s">
        <v>1892</v>
      </c>
      <c r="G247" s="2" t="s">
        <v>95</v>
      </c>
      <c r="H247" s="2" t="s">
        <v>97</v>
      </c>
      <c r="I247" s="2">
        <v>7</v>
      </c>
    </row>
    <row r="248" spans="1:9" x14ac:dyDescent="0.25">
      <c r="A248" s="4" t="s">
        <v>1723</v>
      </c>
      <c r="B248" s="2" t="s">
        <v>21</v>
      </c>
      <c r="C248" s="2">
        <v>447</v>
      </c>
      <c r="D248" s="2" t="s">
        <v>1796</v>
      </c>
      <c r="E248" s="2" t="s">
        <v>1719</v>
      </c>
      <c r="F248" s="2" t="s">
        <v>1797</v>
      </c>
      <c r="G248" s="2" t="s">
        <v>95</v>
      </c>
      <c r="H248" s="2" t="s">
        <v>97</v>
      </c>
      <c r="I248" s="2">
        <v>7</v>
      </c>
    </row>
    <row r="249" spans="1:9" x14ac:dyDescent="0.25">
      <c r="A249" s="4" t="s">
        <v>1723</v>
      </c>
      <c r="B249" s="2" t="s">
        <v>21</v>
      </c>
      <c r="C249" s="2">
        <v>458</v>
      </c>
      <c r="D249" s="2" t="s">
        <v>1836</v>
      </c>
      <c r="E249" s="2" t="s">
        <v>1719</v>
      </c>
      <c r="F249" s="2" t="s">
        <v>1797</v>
      </c>
      <c r="G249" s="2" t="s">
        <v>95</v>
      </c>
      <c r="H249" s="2" t="s">
        <v>97</v>
      </c>
      <c r="I249" s="2">
        <v>7</v>
      </c>
    </row>
    <row r="250" spans="1:9" x14ac:dyDescent="0.25">
      <c r="A250" s="4" t="s">
        <v>1723</v>
      </c>
      <c r="B250" s="2" t="s">
        <v>21</v>
      </c>
      <c r="C250" s="2">
        <v>490</v>
      </c>
      <c r="D250" s="2" t="s">
        <v>1958</v>
      </c>
      <c r="E250" s="2" t="s">
        <v>1719</v>
      </c>
      <c r="F250" s="2" t="s">
        <v>1797</v>
      </c>
      <c r="G250" s="2" t="s">
        <v>95</v>
      </c>
      <c r="H250" s="2" t="s">
        <v>97</v>
      </c>
      <c r="I250" s="2">
        <v>7</v>
      </c>
    </row>
    <row r="251" spans="1:9" x14ac:dyDescent="0.25">
      <c r="A251" s="4" t="s">
        <v>1723</v>
      </c>
      <c r="B251" s="2" t="s">
        <v>21</v>
      </c>
      <c r="C251" s="2">
        <v>438</v>
      </c>
      <c r="D251" s="2" t="s">
        <v>1757</v>
      </c>
      <c r="E251" s="2" t="s">
        <v>1719</v>
      </c>
      <c r="F251" s="2" t="s">
        <v>1758</v>
      </c>
      <c r="G251" s="2" t="s">
        <v>95</v>
      </c>
      <c r="H251" s="2" t="s">
        <v>97</v>
      </c>
      <c r="I251" s="2">
        <v>7</v>
      </c>
    </row>
    <row r="252" spans="1:9" x14ac:dyDescent="0.25">
      <c r="A252" s="4" t="s">
        <v>1723</v>
      </c>
      <c r="B252" s="2" t="s">
        <v>21</v>
      </c>
      <c r="C252" s="2">
        <v>433</v>
      </c>
      <c r="D252" s="2" t="s">
        <v>1734</v>
      </c>
      <c r="E252" s="2" t="s">
        <v>1719</v>
      </c>
      <c r="F252" s="2" t="s">
        <v>1735</v>
      </c>
      <c r="G252" s="2" t="s">
        <v>95</v>
      </c>
      <c r="H252" s="2" t="s">
        <v>97</v>
      </c>
      <c r="I252" s="2">
        <v>7</v>
      </c>
    </row>
    <row r="253" spans="1:9" x14ac:dyDescent="0.25">
      <c r="A253" s="4" t="s">
        <v>1723</v>
      </c>
      <c r="B253" s="2" t="s">
        <v>244</v>
      </c>
      <c r="C253" s="2">
        <v>455</v>
      </c>
      <c r="D253" s="2" t="s">
        <v>1827</v>
      </c>
      <c r="E253" s="2" t="s">
        <v>1719</v>
      </c>
      <c r="F253" s="2" t="s">
        <v>1735</v>
      </c>
      <c r="G253" s="2" t="s">
        <v>95</v>
      </c>
      <c r="H253" s="2" t="s">
        <v>97</v>
      </c>
      <c r="I253" s="2">
        <v>7</v>
      </c>
    </row>
    <row r="254" spans="1:9" x14ac:dyDescent="0.25">
      <c r="A254" s="4" t="s">
        <v>1723</v>
      </c>
      <c r="B254" s="2" t="s">
        <v>244</v>
      </c>
      <c r="C254" s="2">
        <v>486</v>
      </c>
      <c r="D254" s="2" t="s">
        <v>1942</v>
      </c>
      <c r="E254" s="2" t="s">
        <v>1719</v>
      </c>
      <c r="F254" s="2" t="s">
        <v>1735</v>
      </c>
      <c r="G254" s="2" t="s">
        <v>95</v>
      </c>
      <c r="H254" s="2" t="s">
        <v>97</v>
      </c>
      <c r="I254" s="2">
        <v>7</v>
      </c>
    </row>
    <row r="255" spans="1:9" x14ac:dyDescent="0.25">
      <c r="A255" s="4" t="s">
        <v>1723</v>
      </c>
      <c r="B255" s="2" t="s">
        <v>244</v>
      </c>
      <c r="C255" s="2">
        <v>461</v>
      </c>
      <c r="D255" s="2" t="s">
        <v>1846</v>
      </c>
      <c r="E255" s="2" t="s">
        <v>1719</v>
      </c>
      <c r="F255" s="2" t="s">
        <v>1847</v>
      </c>
      <c r="G255" s="2" t="s">
        <v>95</v>
      </c>
      <c r="H255" s="2" t="s">
        <v>97</v>
      </c>
      <c r="I255" s="2">
        <v>7</v>
      </c>
    </row>
    <row r="256" spans="1:9" x14ac:dyDescent="0.25">
      <c r="A256" s="4" t="s">
        <v>1723</v>
      </c>
      <c r="B256" s="2" t="s">
        <v>244</v>
      </c>
      <c r="C256" s="2">
        <v>462</v>
      </c>
      <c r="D256" s="2" t="s">
        <v>1851</v>
      </c>
      <c r="E256" s="2" t="s">
        <v>1719</v>
      </c>
      <c r="F256" s="2" t="s">
        <v>1847</v>
      </c>
      <c r="G256" s="2" t="s">
        <v>95</v>
      </c>
      <c r="H256" s="2" t="s">
        <v>97</v>
      </c>
      <c r="I256" s="2">
        <v>7</v>
      </c>
    </row>
    <row r="257" spans="1:9" x14ac:dyDescent="0.25">
      <c r="A257" s="4" t="s">
        <v>1723</v>
      </c>
      <c r="B257" s="2" t="s">
        <v>244</v>
      </c>
      <c r="C257" s="2">
        <v>478</v>
      </c>
      <c r="D257" s="2" t="s">
        <v>1906</v>
      </c>
      <c r="E257" s="2" t="s">
        <v>1719</v>
      </c>
      <c r="F257" s="2" t="s">
        <v>1847</v>
      </c>
      <c r="G257" s="2" t="s">
        <v>95</v>
      </c>
      <c r="H257" s="2" t="s">
        <v>97</v>
      </c>
      <c r="I257" s="2">
        <v>7</v>
      </c>
    </row>
    <row r="258" spans="1:9" x14ac:dyDescent="0.25">
      <c r="A258" s="4" t="s">
        <v>1723</v>
      </c>
      <c r="B258" s="2" t="s">
        <v>244</v>
      </c>
      <c r="C258" s="2">
        <v>435</v>
      </c>
      <c r="D258" s="2" t="s">
        <v>1743</v>
      </c>
      <c r="E258" s="2" t="s">
        <v>1719</v>
      </c>
      <c r="F258" s="2" t="s">
        <v>1744</v>
      </c>
      <c r="G258" s="2" t="s">
        <v>95</v>
      </c>
      <c r="H258" s="2" t="s">
        <v>97</v>
      </c>
      <c r="I258" s="2">
        <v>7</v>
      </c>
    </row>
    <row r="259" spans="1:9" x14ac:dyDescent="0.25">
      <c r="A259" s="4" t="s">
        <v>1723</v>
      </c>
      <c r="B259" s="2" t="s">
        <v>244</v>
      </c>
      <c r="C259" s="2">
        <v>463</v>
      </c>
      <c r="D259" s="2" t="s">
        <v>1855</v>
      </c>
      <c r="E259" s="2" t="s">
        <v>1719</v>
      </c>
      <c r="F259" s="2" t="s">
        <v>1744</v>
      </c>
      <c r="G259" s="2" t="s">
        <v>95</v>
      </c>
      <c r="H259" s="2" t="s">
        <v>97</v>
      </c>
      <c r="I259" s="2">
        <v>7</v>
      </c>
    </row>
    <row r="260" spans="1:9" x14ac:dyDescent="0.25">
      <c r="A260" s="4" t="s">
        <v>1723</v>
      </c>
      <c r="B260" s="2" t="s">
        <v>244</v>
      </c>
      <c r="C260" s="2">
        <v>468</v>
      </c>
      <c r="D260" s="2" t="s">
        <v>1871</v>
      </c>
      <c r="E260" s="2" t="s">
        <v>1719</v>
      </c>
      <c r="F260" s="2" t="s">
        <v>1744</v>
      </c>
      <c r="G260" s="2" t="s">
        <v>95</v>
      </c>
      <c r="H260" s="2" t="s">
        <v>97</v>
      </c>
      <c r="I260" s="2">
        <v>7</v>
      </c>
    </row>
    <row r="261" spans="1:9" x14ac:dyDescent="0.25">
      <c r="A261" s="4" t="s">
        <v>1723</v>
      </c>
      <c r="B261" s="2" t="s">
        <v>244</v>
      </c>
      <c r="C261" s="2">
        <v>482</v>
      </c>
      <c r="D261" s="2" t="s">
        <v>1924</v>
      </c>
      <c r="E261" s="2" t="s">
        <v>1719</v>
      </c>
      <c r="F261" s="2" t="s">
        <v>1925</v>
      </c>
      <c r="G261" s="2" t="s">
        <v>95</v>
      </c>
      <c r="H261" s="2" t="s">
        <v>97</v>
      </c>
      <c r="I261" s="2">
        <v>7</v>
      </c>
    </row>
    <row r="262" spans="1:9" x14ac:dyDescent="0.25">
      <c r="A262" s="4" t="s">
        <v>1723</v>
      </c>
      <c r="B262" s="2" t="s">
        <v>244</v>
      </c>
      <c r="C262" s="2">
        <v>480</v>
      </c>
      <c r="D262" s="2" t="s">
        <v>1915</v>
      </c>
      <c r="E262" s="2" t="s">
        <v>1719</v>
      </c>
      <c r="F262" s="2" t="s">
        <v>1916</v>
      </c>
      <c r="G262" s="2" t="s">
        <v>95</v>
      </c>
      <c r="H262" s="2" t="s">
        <v>97</v>
      </c>
      <c r="I262" s="2">
        <v>7</v>
      </c>
    </row>
    <row r="263" spans="1:9" x14ac:dyDescent="0.25">
      <c r="A263" s="4" t="s">
        <v>1723</v>
      </c>
      <c r="B263" s="2" t="s">
        <v>244</v>
      </c>
      <c r="C263" s="2">
        <v>485</v>
      </c>
      <c r="D263" s="2" t="s">
        <v>1939</v>
      </c>
      <c r="E263" s="2" t="s">
        <v>1719</v>
      </c>
      <c r="F263" s="2" t="s">
        <v>1916</v>
      </c>
      <c r="G263" s="2" t="s">
        <v>95</v>
      </c>
      <c r="H263" s="2" t="s">
        <v>97</v>
      </c>
      <c r="I263" s="2">
        <v>7</v>
      </c>
    </row>
    <row r="264" spans="1:9" x14ac:dyDescent="0.25">
      <c r="A264" s="4" t="s">
        <v>1723</v>
      </c>
      <c r="B264" s="2" t="s">
        <v>244</v>
      </c>
      <c r="C264" s="2">
        <v>442</v>
      </c>
      <c r="D264" s="2" t="s">
        <v>1773</v>
      </c>
      <c r="E264" s="2" t="s">
        <v>1719</v>
      </c>
      <c r="F264" s="2" t="s">
        <v>1774</v>
      </c>
      <c r="G264" s="2" t="s">
        <v>95</v>
      </c>
      <c r="H264" s="2" t="s">
        <v>97</v>
      </c>
      <c r="I264" s="2">
        <v>7</v>
      </c>
    </row>
    <row r="265" spans="1:9" x14ac:dyDescent="0.25">
      <c r="A265" s="4" t="s">
        <v>1723</v>
      </c>
      <c r="B265" s="2" t="s">
        <v>244</v>
      </c>
      <c r="C265" s="2">
        <v>489</v>
      </c>
      <c r="D265" s="2" t="s">
        <v>1954</v>
      </c>
      <c r="E265" s="2" t="s">
        <v>1719</v>
      </c>
      <c r="F265" s="2" t="s">
        <v>1955</v>
      </c>
      <c r="G265" s="2" t="s">
        <v>95</v>
      </c>
      <c r="H265" s="2" t="s">
        <v>97</v>
      </c>
      <c r="I265" s="2">
        <v>7</v>
      </c>
    </row>
    <row r="266" spans="1:9" x14ac:dyDescent="0.25">
      <c r="A266" s="4" t="s">
        <v>1723</v>
      </c>
      <c r="B266" s="2" t="s">
        <v>244</v>
      </c>
      <c r="C266" s="2">
        <v>440</v>
      </c>
      <c r="D266" s="2" t="s">
        <v>1764</v>
      </c>
      <c r="E266" s="2" t="s">
        <v>1719</v>
      </c>
      <c r="F266" s="2" t="s">
        <v>1765</v>
      </c>
      <c r="G266" s="2" t="s">
        <v>95</v>
      </c>
      <c r="H266" s="2" t="s">
        <v>97</v>
      </c>
      <c r="I266" s="2">
        <v>7</v>
      </c>
    </row>
    <row r="267" spans="1:9" x14ac:dyDescent="0.25">
      <c r="A267" s="4" t="s">
        <v>1723</v>
      </c>
      <c r="B267" s="2" t="s">
        <v>244</v>
      </c>
      <c r="C267" s="2">
        <v>487</v>
      </c>
      <c r="D267" s="2" t="s">
        <v>1946</v>
      </c>
      <c r="E267" s="2" t="s">
        <v>1719</v>
      </c>
      <c r="F267" s="2" t="s">
        <v>1947</v>
      </c>
      <c r="G267" s="2" t="s">
        <v>95</v>
      </c>
      <c r="H267" s="2" t="s">
        <v>97</v>
      </c>
      <c r="I267" s="2">
        <v>7</v>
      </c>
    </row>
    <row r="268" spans="1:9" x14ac:dyDescent="0.25">
      <c r="A268" s="4" t="s">
        <v>1723</v>
      </c>
      <c r="B268" s="2" t="s">
        <v>271</v>
      </c>
      <c r="C268" s="2">
        <v>465</v>
      </c>
      <c r="D268" s="2" t="s">
        <v>1860</v>
      </c>
      <c r="E268" s="2" t="s">
        <v>1719</v>
      </c>
      <c r="F268" s="2" t="s">
        <v>1861</v>
      </c>
      <c r="G268" s="2" t="s">
        <v>95</v>
      </c>
      <c r="H268" s="2" t="s">
        <v>97</v>
      </c>
      <c r="I268" s="2">
        <v>7</v>
      </c>
    </row>
    <row r="269" spans="1:9" x14ac:dyDescent="0.25">
      <c r="A269" s="4" t="s">
        <v>1723</v>
      </c>
      <c r="B269" s="2" t="s">
        <v>271</v>
      </c>
      <c r="C269" s="2">
        <v>445</v>
      </c>
      <c r="D269" s="2" t="s">
        <v>1786</v>
      </c>
      <c r="E269" s="2" t="s">
        <v>1719</v>
      </c>
      <c r="F269" s="2" t="s">
        <v>1787</v>
      </c>
      <c r="G269" s="2" t="s">
        <v>95</v>
      </c>
      <c r="H269" s="2" t="s">
        <v>97</v>
      </c>
      <c r="I269" s="2">
        <v>7</v>
      </c>
    </row>
    <row r="270" spans="1:9" x14ac:dyDescent="0.25">
      <c r="A270" s="4" t="s">
        <v>1723</v>
      </c>
      <c r="B270" s="2" t="s">
        <v>271</v>
      </c>
      <c r="C270" s="2">
        <v>476</v>
      </c>
      <c r="D270" s="2" t="s">
        <v>1898</v>
      </c>
      <c r="E270" s="2" t="s">
        <v>1719</v>
      </c>
      <c r="F270" s="2" t="s">
        <v>1899</v>
      </c>
      <c r="G270" s="2" t="s">
        <v>95</v>
      </c>
      <c r="H270" s="2" t="s">
        <v>97</v>
      </c>
      <c r="I270" s="2">
        <v>7</v>
      </c>
    </row>
    <row r="271" spans="1:9" x14ac:dyDescent="0.25">
      <c r="A271" s="4" t="s">
        <v>1723</v>
      </c>
      <c r="B271" s="2" t="s">
        <v>271</v>
      </c>
      <c r="C271" s="2">
        <v>434</v>
      </c>
      <c r="D271" s="2" t="s">
        <v>1739</v>
      </c>
      <c r="E271" s="2" t="s">
        <v>1719</v>
      </c>
      <c r="F271" s="2" t="s">
        <v>1740</v>
      </c>
      <c r="G271" s="2" t="s">
        <v>95</v>
      </c>
      <c r="H271" s="2" t="s">
        <v>97</v>
      </c>
      <c r="I271" s="2">
        <v>7</v>
      </c>
    </row>
    <row r="272" spans="1:9" x14ac:dyDescent="0.25">
      <c r="A272" s="4" t="s">
        <v>1723</v>
      </c>
      <c r="B272" s="2" t="s">
        <v>271</v>
      </c>
      <c r="C272" s="2">
        <v>436</v>
      </c>
      <c r="D272" s="2" t="s">
        <v>1748</v>
      </c>
      <c r="E272" s="2" t="s">
        <v>1719</v>
      </c>
      <c r="F272" s="2" t="s">
        <v>1740</v>
      </c>
      <c r="G272" s="2" t="s">
        <v>95</v>
      </c>
      <c r="H272" s="2" t="s">
        <v>97</v>
      </c>
      <c r="I272" s="2">
        <v>7</v>
      </c>
    </row>
    <row r="273" spans="1:9" x14ac:dyDescent="0.25">
      <c r="A273" s="4" t="s">
        <v>1723</v>
      </c>
      <c r="B273" s="2" t="s">
        <v>271</v>
      </c>
      <c r="C273" s="2">
        <v>439</v>
      </c>
      <c r="D273" s="2" t="s">
        <v>1761</v>
      </c>
      <c r="E273" s="2" t="s">
        <v>1719</v>
      </c>
      <c r="F273" s="2" t="s">
        <v>1740</v>
      </c>
      <c r="G273" s="2" t="s">
        <v>95</v>
      </c>
      <c r="H273" s="2" t="s">
        <v>97</v>
      </c>
      <c r="I273" s="2">
        <v>7</v>
      </c>
    </row>
    <row r="274" spans="1:9" x14ac:dyDescent="0.25">
      <c r="A274" s="4" t="s">
        <v>1723</v>
      </c>
      <c r="B274" s="2" t="s">
        <v>271</v>
      </c>
      <c r="C274" s="2">
        <v>452</v>
      </c>
      <c r="D274" s="2" t="s">
        <v>1816</v>
      </c>
      <c r="E274" s="2" t="s">
        <v>1719</v>
      </c>
      <c r="F274" s="2" t="s">
        <v>1740</v>
      </c>
      <c r="G274" s="2" t="s">
        <v>95</v>
      </c>
      <c r="H274" s="2" t="s">
        <v>97</v>
      </c>
      <c r="I274" s="2">
        <v>7</v>
      </c>
    </row>
    <row r="275" spans="1:9" x14ac:dyDescent="0.25">
      <c r="A275" s="4" t="s">
        <v>1723</v>
      </c>
      <c r="B275" s="2" t="s">
        <v>271</v>
      </c>
      <c r="C275" s="2">
        <v>456</v>
      </c>
      <c r="D275" s="2" t="s">
        <v>1831</v>
      </c>
      <c r="E275" s="2" t="s">
        <v>1719</v>
      </c>
      <c r="F275" s="2" t="s">
        <v>1740</v>
      </c>
      <c r="G275" s="2" t="s">
        <v>95</v>
      </c>
      <c r="H275" s="2" t="s">
        <v>97</v>
      </c>
      <c r="I275" s="2">
        <v>7</v>
      </c>
    </row>
    <row r="276" spans="1:9" x14ac:dyDescent="0.25">
      <c r="A276" s="4" t="s">
        <v>1723</v>
      </c>
      <c r="B276" s="2" t="s">
        <v>271</v>
      </c>
      <c r="C276" s="2">
        <v>466</v>
      </c>
      <c r="D276" s="2" t="s">
        <v>1864</v>
      </c>
      <c r="E276" s="2" t="s">
        <v>1719</v>
      </c>
      <c r="F276" s="2" t="s">
        <v>1740</v>
      </c>
      <c r="G276" s="2" t="s">
        <v>95</v>
      </c>
      <c r="H276" s="2" t="s">
        <v>97</v>
      </c>
      <c r="I276" s="2">
        <v>7</v>
      </c>
    </row>
    <row r="277" spans="1:9" x14ac:dyDescent="0.25">
      <c r="A277" s="4" t="s">
        <v>1723</v>
      </c>
      <c r="B277" s="2" t="s">
        <v>271</v>
      </c>
      <c r="C277" s="2">
        <v>471</v>
      </c>
      <c r="D277" s="2" t="s">
        <v>1884</v>
      </c>
      <c r="E277" s="2" t="s">
        <v>1719</v>
      </c>
      <c r="F277" s="2" t="s">
        <v>1740</v>
      </c>
      <c r="G277" s="2" t="s">
        <v>95</v>
      </c>
      <c r="H277" s="2" t="s">
        <v>97</v>
      </c>
      <c r="I277" s="2">
        <v>7</v>
      </c>
    </row>
    <row r="278" spans="1:9" x14ac:dyDescent="0.25">
      <c r="A278" s="4" t="s">
        <v>1723</v>
      </c>
      <c r="B278" s="2" t="s">
        <v>271</v>
      </c>
      <c r="C278" s="2">
        <v>488</v>
      </c>
      <c r="D278" s="2" t="s">
        <v>1950</v>
      </c>
      <c r="E278" s="2" t="s">
        <v>1719</v>
      </c>
      <c r="F278" s="2" t="s">
        <v>1740</v>
      </c>
      <c r="G278" s="2" t="s">
        <v>95</v>
      </c>
      <c r="H278" s="2" t="s">
        <v>97</v>
      </c>
      <c r="I278" s="2">
        <v>7</v>
      </c>
    </row>
    <row r="279" spans="1:9" x14ac:dyDescent="0.25">
      <c r="A279" s="4" t="s">
        <v>1723</v>
      </c>
      <c r="B279" s="2" t="s">
        <v>271</v>
      </c>
      <c r="C279" s="2">
        <v>441</v>
      </c>
      <c r="D279" s="2" t="s">
        <v>1769</v>
      </c>
      <c r="E279" s="2" t="s">
        <v>1719</v>
      </c>
      <c r="F279" s="2" t="s">
        <v>1770</v>
      </c>
      <c r="G279" s="2" t="s">
        <v>95</v>
      </c>
      <c r="H279" s="2" t="s">
        <v>97</v>
      </c>
      <c r="I279" s="2">
        <v>7</v>
      </c>
    </row>
    <row r="280" spans="1:9" x14ac:dyDescent="0.25">
      <c r="A280" s="4" t="s">
        <v>1723</v>
      </c>
      <c r="B280" s="2" t="s">
        <v>271</v>
      </c>
      <c r="C280" s="2">
        <v>483</v>
      </c>
      <c r="D280" s="2" t="s">
        <v>1929</v>
      </c>
      <c r="E280" s="2" t="s">
        <v>1719</v>
      </c>
      <c r="F280" s="2" t="s">
        <v>1930</v>
      </c>
      <c r="G280" s="2" t="s">
        <v>95</v>
      </c>
      <c r="H280" s="2" t="s">
        <v>97</v>
      </c>
      <c r="I280" s="2">
        <v>7</v>
      </c>
    </row>
    <row r="281" spans="1:9" x14ac:dyDescent="0.25">
      <c r="A281" s="4" t="s">
        <v>1723</v>
      </c>
      <c r="B281" s="2" t="s">
        <v>271</v>
      </c>
      <c r="C281" s="2">
        <v>470</v>
      </c>
      <c r="D281" s="2" t="s">
        <v>1879</v>
      </c>
      <c r="E281" s="2" t="s">
        <v>1719</v>
      </c>
      <c r="F281" s="2" t="s">
        <v>1880</v>
      </c>
      <c r="G281" s="2" t="s">
        <v>95</v>
      </c>
      <c r="H281" s="2" t="s">
        <v>97</v>
      </c>
      <c r="I281" s="2">
        <v>7</v>
      </c>
    </row>
    <row r="282" spans="1:9" x14ac:dyDescent="0.25">
      <c r="A282" s="4" t="s">
        <v>1723</v>
      </c>
      <c r="B282" s="2" t="s">
        <v>271</v>
      </c>
      <c r="C282" s="2">
        <v>469</v>
      </c>
      <c r="D282" s="2" t="s">
        <v>1875</v>
      </c>
      <c r="E282" s="2" t="s">
        <v>1719</v>
      </c>
      <c r="F282" s="2" t="s">
        <v>1876</v>
      </c>
      <c r="G282" s="2" t="s">
        <v>95</v>
      </c>
      <c r="H282" s="2" t="s">
        <v>97</v>
      </c>
      <c r="I282" s="2">
        <v>7</v>
      </c>
    </row>
    <row r="283" spans="1:9" x14ac:dyDescent="0.25">
      <c r="A283" s="4" t="s">
        <v>1723</v>
      </c>
      <c r="B283" s="2" t="s">
        <v>96</v>
      </c>
      <c r="C283" s="2">
        <v>451</v>
      </c>
      <c r="D283" s="2" t="s">
        <v>1812</v>
      </c>
      <c r="E283" s="2" t="s">
        <v>1719</v>
      </c>
      <c r="F283" s="2" t="s">
        <v>1813</v>
      </c>
      <c r="G283" s="2" t="s">
        <v>95</v>
      </c>
      <c r="H283" s="2" t="s">
        <v>97</v>
      </c>
      <c r="I283" s="2">
        <v>7</v>
      </c>
    </row>
    <row r="284" spans="1:9" x14ac:dyDescent="0.25">
      <c r="A284" s="4" t="s">
        <v>1723</v>
      </c>
      <c r="B284" s="2" t="s">
        <v>96</v>
      </c>
      <c r="C284" s="2">
        <v>477</v>
      </c>
      <c r="D284" s="2" t="s">
        <v>1902</v>
      </c>
      <c r="E284" s="2" t="s">
        <v>1719</v>
      </c>
      <c r="F284" s="2" t="s">
        <v>1903</v>
      </c>
      <c r="G284" s="2" t="s">
        <v>95</v>
      </c>
      <c r="H284" s="2" t="s">
        <v>97</v>
      </c>
      <c r="I284" s="2">
        <v>7</v>
      </c>
    </row>
    <row r="285" spans="1:9" x14ac:dyDescent="0.25">
      <c r="A285" s="4" t="s">
        <v>1723</v>
      </c>
      <c r="B285" s="2" t="s">
        <v>96</v>
      </c>
      <c r="C285" s="2">
        <v>450</v>
      </c>
      <c r="D285" s="2" t="s">
        <v>1808</v>
      </c>
      <c r="E285" s="2" t="s">
        <v>1719</v>
      </c>
      <c r="F285" s="2" t="s">
        <v>1809</v>
      </c>
      <c r="G285" s="2" t="s">
        <v>95</v>
      </c>
      <c r="H285" s="2" t="s">
        <v>97</v>
      </c>
      <c r="I285" s="2">
        <v>7</v>
      </c>
    </row>
    <row r="286" spans="1:9" x14ac:dyDescent="0.25">
      <c r="A286" s="4" t="s">
        <v>1723</v>
      </c>
      <c r="B286" s="2" t="s">
        <v>96</v>
      </c>
      <c r="C286" s="2">
        <v>437</v>
      </c>
      <c r="D286" s="2" t="s">
        <v>1752</v>
      </c>
      <c r="E286" s="2" t="s">
        <v>1719</v>
      </c>
      <c r="F286" s="2" t="s">
        <v>1753</v>
      </c>
      <c r="G286" s="2" t="s">
        <v>95</v>
      </c>
      <c r="H286" s="2" t="s">
        <v>97</v>
      </c>
      <c r="I286" s="2">
        <v>7</v>
      </c>
    </row>
    <row r="287" spans="1:9" x14ac:dyDescent="0.25">
      <c r="A287" s="4" t="s">
        <v>1723</v>
      </c>
      <c r="B287" s="2" t="s">
        <v>96</v>
      </c>
      <c r="C287" s="2">
        <v>448</v>
      </c>
      <c r="D287" s="2" t="s">
        <v>1800</v>
      </c>
      <c r="E287" s="2" t="s">
        <v>1719</v>
      </c>
      <c r="F287" s="2" t="s">
        <v>1753</v>
      </c>
      <c r="G287" s="2" t="s">
        <v>95</v>
      </c>
      <c r="H287" s="2" t="s">
        <v>97</v>
      </c>
      <c r="I287" s="2">
        <v>7</v>
      </c>
    </row>
    <row r="288" spans="1:9" x14ac:dyDescent="0.25">
      <c r="A288" s="4" t="s">
        <v>1723</v>
      </c>
      <c r="B288" s="2" t="s">
        <v>96</v>
      </c>
      <c r="C288" s="2">
        <v>453</v>
      </c>
      <c r="D288" s="2" t="s">
        <v>1820</v>
      </c>
      <c r="E288" s="2" t="s">
        <v>1719</v>
      </c>
      <c r="F288" s="2" t="s">
        <v>1753</v>
      </c>
      <c r="G288" s="2" t="s">
        <v>95</v>
      </c>
      <c r="H288" s="2" t="s">
        <v>97</v>
      </c>
      <c r="I288" s="2">
        <v>7</v>
      </c>
    </row>
    <row r="289" spans="1:9" x14ac:dyDescent="0.25">
      <c r="A289" s="4" t="s">
        <v>1723</v>
      </c>
      <c r="B289" s="2" t="s">
        <v>96</v>
      </c>
      <c r="C289" s="2">
        <v>457</v>
      </c>
      <c r="D289" s="2" t="s">
        <v>1834</v>
      </c>
      <c r="E289" s="2" t="s">
        <v>1719</v>
      </c>
      <c r="F289" s="2" t="s">
        <v>1753</v>
      </c>
      <c r="G289" s="2" t="s">
        <v>95</v>
      </c>
      <c r="H289" s="2" t="s">
        <v>97</v>
      </c>
      <c r="I289" s="2">
        <v>7</v>
      </c>
    </row>
    <row r="290" spans="1:9" x14ac:dyDescent="0.25">
      <c r="A290" s="4" t="s">
        <v>1723</v>
      </c>
      <c r="B290" s="2" t="s">
        <v>96</v>
      </c>
      <c r="C290" s="2">
        <v>443</v>
      </c>
      <c r="D290" s="2" t="s">
        <v>1778</v>
      </c>
      <c r="E290" s="2" t="s">
        <v>1719</v>
      </c>
      <c r="F290" s="2" t="s">
        <v>1779</v>
      </c>
      <c r="G290" s="2" t="s">
        <v>95</v>
      </c>
      <c r="H290" s="2" t="s">
        <v>97</v>
      </c>
      <c r="I290" s="2">
        <v>7</v>
      </c>
    </row>
    <row r="291" spans="1:9" x14ac:dyDescent="0.25">
      <c r="A291" s="4" t="s">
        <v>1723</v>
      </c>
      <c r="B291" s="2" t="s">
        <v>96</v>
      </c>
      <c r="C291" s="2">
        <v>459</v>
      </c>
      <c r="D291" s="2" t="s">
        <v>1838</v>
      </c>
      <c r="E291" s="2" t="s">
        <v>1719</v>
      </c>
      <c r="F291" s="2" t="s">
        <v>1839</v>
      </c>
      <c r="G291" s="2" t="s">
        <v>95</v>
      </c>
      <c r="H291" s="2" t="s">
        <v>97</v>
      </c>
      <c r="I291" s="2">
        <v>7</v>
      </c>
    </row>
    <row r="292" spans="1:9" x14ac:dyDescent="0.25">
      <c r="A292" s="4" t="s">
        <v>1723</v>
      </c>
      <c r="B292" s="2" t="s">
        <v>96</v>
      </c>
      <c r="C292" s="2">
        <v>464</v>
      </c>
      <c r="D292" s="2" t="s">
        <v>1858</v>
      </c>
      <c r="E292" s="2" t="s">
        <v>1719</v>
      </c>
      <c r="F292" s="2" t="s">
        <v>1839</v>
      </c>
      <c r="G292" s="2" t="s">
        <v>95</v>
      </c>
      <c r="H292" s="2" t="s">
        <v>97</v>
      </c>
      <c r="I292" s="2">
        <v>7</v>
      </c>
    </row>
    <row r="293" spans="1:9" x14ac:dyDescent="0.25">
      <c r="A293" s="4" t="s">
        <v>1723</v>
      </c>
      <c r="B293" s="2" t="s">
        <v>96</v>
      </c>
      <c r="C293" s="2">
        <v>475</v>
      </c>
      <c r="D293" s="2" t="s">
        <v>1896</v>
      </c>
      <c r="E293" s="2" t="s">
        <v>1719</v>
      </c>
      <c r="F293" s="2" t="s">
        <v>1839</v>
      </c>
      <c r="G293" s="2" t="s">
        <v>95</v>
      </c>
      <c r="H293" s="2" t="s">
        <v>97</v>
      </c>
      <c r="I293" s="2">
        <v>7</v>
      </c>
    </row>
    <row r="294" spans="1:9" x14ac:dyDescent="0.25">
      <c r="A294" s="4" t="s">
        <v>1723</v>
      </c>
      <c r="B294" s="2" t="s">
        <v>96</v>
      </c>
      <c r="C294" s="2">
        <v>479</v>
      </c>
      <c r="D294" s="2" t="s">
        <v>1910</v>
      </c>
      <c r="E294" s="2" t="s">
        <v>1719</v>
      </c>
      <c r="F294" s="2" t="s">
        <v>1911</v>
      </c>
      <c r="G294" s="2" t="s">
        <v>95</v>
      </c>
      <c r="H294" s="2" t="s">
        <v>97</v>
      </c>
      <c r="I294" s="2">
        <v>7</v>
      </c>
    </row>
    <row r="295" spans="1:9" x14ac:dyDescent="0.25">
      <c r="A295" s="4" t="s">
        <v>1723</v>
      </c>
      <c r="B295" s="2" t="s">
        <v>96</v>
      </c>
      <c r="C295" s="2">
        <v>484</v>
      </c>
      <c r="D295" s="2" t="s">
        <v>1934</v>
      </c>
      <c r="E295" s="2" t="s">
        <v>1719</v>
      </c>
      <c r="F295" s="2" t="s">
        <v>1935</v>
      </c>
      <c r="G295" s="2" t="s">
        <v>95</v>
      </c>
      <c r="H295" s="2" t="s">
        <v>97</v>
      </c>
      <c r="I295" s="2">
        <v>7</v>
      </c>
    </row>
    <row r="296" spans="1:9" x14ac:dyDescent="0.25">
      <c r="A296" s="4" t="s">
        <v>1723</v>
      </c>
      <c r="B296" s="2" t="s">
        <v>96</v>
      </c>
      <c r="C296" s="2">
        <v>431</v>
      </c>
      <c r="D296" s="2" t="s">
        <v>1725</v>
      </c>
      <c r="E296" s="2" t="s">
        <v>1719</v>
      </c>
      <c r="F296" s="2" t="s">
        <v>1726</v>
      </c>
      <c r="G296" s="2" t="s">
        <v>95</v>
      </c>
      <c r="H296" s="2" t="s">
        <v>97</v>
      </c>
      <c r="I296" s="2">
        <v>7</v>
      </c>
    </row>
    <row r="297" spans="1:9" x14ac:dyDescent="0.25">
      <c r="A297" s="4" t="s">
        <v>1723</v>
      </c>
      <c r="B297" s="2" t="s">
        <v>96</v>
      </c>
      <c r="C297" s="2">
        <v>444</v>
      </c>
      <c r="D297" s="2" t="s">
        <v>1782</v>
      </c>
      <c r="E297" s="2" t="s">
        <v>1719</v>
      </c>
      <c r="F297" s="2" t="s">
        <v>1726</v>
      </c>
      <c r="G297" s="2" t="s">
        <v>95</v>
      </c>
      <c r="H297" s="2" t="s">
        <v>97</v>
      </c>
      <c r="I297" s="2">
        <v>7</v>
      </c>
    </row>
    <row r="298" spans="1:9" x14ac:dyDescent="0.25">
      <c r="A298" s="4" t="s">
        <v>1723</v>
      </c>
      <c r="B298" s="2" t="s">
        <v>96</v>
      </c>
      <c r="C298" s="2">
        <v>481</v>
      </c>
      <c r="D298" s="2" t="s">
        <v>1920</v>
      </c>
      <c r="E298" s="2" t="s">
        <v>1719</v>
      </c>
      <c r="F298" s="2" t="s">
        <v>1726</v>
      </c>
      <c r="G298" s="2" t="s">
        <v>95</v>
      </c>
      <c r="H298" s="2" t="s">
        <v>97</v>
      </c>
      <c r="I298" s="2">
        <v>7</v>
      </c>
    </row>
    <row r="299" spans="1:9" x14ac:dyDescent="0.25">
      <c r="A299" s="4" t="s">
        <v>2690</v>
      </c>
      <c r="B299" s="2" t="s">
        <v>21</v>
      </c>
      <c r="C299" s="2">
        <v>735</v>
      </c>
      <c r="D299" s="2" t="s">
        <v>2928</v>
      </c>
      <c r="E299" s="2" t="s">
        <v>2680</v>
      </c>
      <c r="F299" s="2" t="s">
        <v>2929</v>
      </c>
      <c r="G299" s="2" t="s">
        <v>20</v>
      </c>
      <c r="H299" s="2" t="s">
        <v>22</v>
      </c>
      <c r="I299" s="2">
        <v>748</v>
      </c>
    </row>
    <row r="300" spans="1:9" x14ac:dyDescent="0.25">
      <c r="A300" s="4" t="s">
        <v>2690</v>
      </c>
      <c r="B300" s="2" t="s">
        <v>21</v>
      </c>
      <c r="C300" s="2">
        <v>757</v>
      </c>
      <c r="D300" s="2" t="s">
        <v>3020</v>
      </c>
      <c r="E300" s="2" t="s">
        <v>2680</v>
      </c>
      <c r="F300" s="2" t="s">
        <v>2929</v>
      </c>
      <c r="G300" s="2" t="s">
        <v>20</v>
      </c>
      <c r="H300" s="2" t="s">
        <v>22</v>
      </c>
      <c r="I300" s="2">
        <v>748</v>
      </c>
    </row>
    <row r="301" spans="1:9" x14ac:dyDescent="0.25">
      <c r="A301" s="4" t="s">
        <v>2690</v>
      </c>
      <c r="B301" s="2" t="s">
        <v>21</v>
      </c>
      <c r="C301" s="2">
        <v>685</v>
      </c>
      <c r="D301" s="2" t="s">
        <v>2715</v>
      </c>
      <c r="E301" s="2" t="s">
        <v>2680</v>
      </c>
      <c r="F301" s="2" t="s">
        <v>2716</v>
      </c>
      <c r="G301" s="2" t="s">
        <v>20</v>
      </c>
      <c r="H301" s="2" t="s">
        <v>22</v>
      </c>
      <c r="I301" s="2">
        <v>748</v>
      </c>
    </row>
    <row r="302" spans="1:9" x14ac:dyDescent="0.25">
      <c r="A302" s="4" t="s">
        <v>2690</v>
      </c>
      <c r="B302" s="2" t="s">
        <v>21</v>
      </c>
      <c r="C302" s="2">
        <v>678</v>
      </c>
      <c r="D302" s="2" t="s">
        <v>2686</v>
      </c>
      <c r="E302" s="2" t="s">
        <v>2680</v>
      </c>
      <c r="F302" s="2" t="s">
        <v>2687</v>
      </c>
      <c r="G302" s="2" t="s">
        <v>20</v>
      </c>
      <c r="H302" s="2" t="s">
        <v>22</v>
      </c>
      <c r="I302" s="2">
        <v>748</v>
      </c>
    </row>
    <row r="303" spans="1:9" x14ac:dyDescent="0.25">
      <c r="A303" s="4" t="s">
        <v>2690</v>
      </c>
      <c r="B303" s="2" t="s">
        <v>21</v>
      </c>
      <c r="C303" s="2">
        <v>710</v>
      </c>
      <c r="D303" s="2" t="s">
        <v>2825</v>
      </c>
      <c r="E303" s="2" t="s">
        <v>2680</v>
      </c>
      <c r="F303" s="2" t="s">
        <v>2826</v>
      </c>
      <c r="G303" s="2" t="s">
        <v>20</v>
      </c>
      <c r="H303" s="2" t="s">
        <v>22</v>
      </c>
      <c r="I303" s="2">
        <v>748</v>
      </c>
    </row>
    <row r="304" spans="1:9" x14ac:dyDescent="0.25">
      <c r="A304" s="4" t="s">
        <v>2690</v>
      </c>
      <c r="B304" s="2" t="s">
        <v>21</v>
      </c>
      <c r="C304" s="2">
        <v>726</v>
      </c>
      <c r="D304" s="2" t="s">
        <v>2891</v>
      </c>
      <c r="E304" s="2" t="s">
        <v>2680</v>
      </c>
      <c r="F304" s="2" t="s">
        <v>2892</v>
      </c>
      <c r="G304" s="2" t="s">
        <v>20</v>
      </c>
      <c r="H304" s="2" t="s">
        <v>22</v>
      </c>
      <c r="I304" s="2">
        <v>748</v>
      </c>
    </row>
    <row r="305" spans="1:9" x14ac:dyDescent="0.25">
      <c r="A305" s="4" t="s">
        <v>2690</v>
      </c>
      <c r="B305" s="2" t="s">
        <v>21</v>
      </c>
      <c r="C305" s="2">
        <v>706</v>
      </c>
      <c r="D305" s="2" t="s">
        <v>2809</v>
      </c>
      <c r="E305" s="2" t="s">
        <v>2680</v>
      </c>
      <c r="F305" s="2" t="s">
        <v>2810</v>
      </c>
      <c r="G305" s="2" t="s">
        <v>1985</v>
      </c>
      <c r="H305" s="2" t="s">
        <v>1986</v>
      </c>
      <c r="I305" s="2">
        <v>748</v>
      </c>
    </row>
    <row r="306" spans="1:9" x14ac:dyDescent="0.25">
      <c r="A306" s="4" t="s">
        <v>2690</v>
      </c>
      <c r="B306" s="2" t="s">
        <v>21</v>
      </c>
      <c r="C306" s="2">
        <v>701</v>
      </c>
      <c r="D306" s="2" t="s">
        <v>2785</v>
      </c>
      <c r="E306" s="2" t="s">
        <v>2680</v>
      </c>
      <c r="F306" s="2" t="s">
        <v>2786</v>
      </c>
      <c r="G306" s="2" t="s">
        <v>1985</v>
      </c>
      <c r="H306" s="2" t="s">
        <v>1986</v>
      </c>
      <c r="I306" s="2">
        <v>748</v>
      </c>
    </row>
    <row r="307" spans="1:9" x14ac:dyDescent="0.25">
      <c r="A307" s="4" t="s">
        <v>2690</v>
      </c>
      <c r="B307" s="2" t="s">
        <v>21</v>
      </c>
      <c r="C307" s="2">
        <v>730</v>
      </c>
      <c r="D307" s="2" t="s">
        <v>2907</v>
      </c>
      <c r="E307" s="2" t="s">
        <v>2680</v>
      </c>
      <c r="F307" s="2" t="s">
        <v>2786</v>
      </c>
      <c r="G307" s="2" t="s">
        <v>1985</v>
      </c>
      <c r="H307" s="2" t="s">
        <v>1986</v>
      </c>
      <c r="I307" s="2">
        <v>748</v>
      </c>
    </row>
    <row r="308" spans="1:9" x14ac:dyDescent="0.25">
      <c r="A308" s="4" t="s">
        <v>2690</v>
      </c>
      <c r="B308" s="2" t="s">
        <v>21</v>
      </c>
      <c r="C308" s="2">
        <v>747</v>
      </c>
      <c r="D308" s="2" t="s">
        <v>2982</v>
      </c>
      <c r="E308" s="2" t="s">
        <v>2680</v>
      </c>
      <c r="F308" s="2" t="s">
        <v>2786</v>
      </c>
      <c r="G308" s="2" t="s">
        <v>1985</v>
      </c>
      <c r="H308" s="2" t="s">
        <v>1986</v>
      </c>
      <c r="I308" s="2">
        <v>748</v>
      </c>
    </row>
    <row r="309" spans="1:9" x14ac:dyDescent="0.25">
      <c r="A309" s="4" t="s">
        <v>2690</v>
      </c>
      <c r="B309" s="2" t="s">
        <v>244</v>
      </c>
      <c r="C309" s="2">
        <v>761</v>
      </c>
      <c r="D309" s="2" t="s">
        <v>3036</v>
      </c>
      <c r="E309" s="2" t="s">
        <v>2680</v>
      </c>
      <c r="F309" s="2" t="s">
        <v>2786</v>
      </c>
      <c r="G309" s="2" t="s">
        <v>1985</v>
      </c>
      <c r="H309" s="2" t="s">
        <v>1986</v>
      </c>
      <c r="I309" s="2">
        <v>748</v>
      </c>
    </row>
    <row r="310" spans="1:9" x14ac:dyDescent="0.25">
      <c r="A310" s="4" t="s">
        <v>2690</v>
      </c>
      <c r="B310" s="2" t="s">
        <v>244</v>
      </c>
      <c r="C310" s="2">
        <v>778</v>
      </c>
      <c r="D310" s="2" t="s">
        <v>3105</v>
      </c>
      <c r="E310" s="2" t="s">
        <v>2680</v>
      </c>
      <c r="F310" s="2" t="s">
        <v>3106</v>
      </c>
      <c r="G310" s="2" t="s">
        <v>1985</v>
      </c>
      <c r="H310" s="2" t="s">
        <v>1986</v>
      </c>
      <c r="I310" s="2">
        <v>748</v>
      </c>
    </row>
    <row r="311" spans="1:9" x14ac:dyDescent="0.25">
      <c r="A311" s="4" t="s">
        <v>2690</v>
      </c>
      <c r="B311" s="2" t="s">
        <v>244</v>
      </c>
      <c r="C311" s="2">
        <v>707</v>
      </c>
      <c r="D311" s="2" t="s">
        <v>2814</v>
      </c>
      <c r="E311" s="2" t="s">
        <v>2680</v>
      </c>
      <c r="F311" s="2" t="s">
        <v>2815</v>
      </c>
      <c r="G311" s="2" t="s">
        <v>1985</v>
      </c>
      <c r="H311" s="2" t="s">
        <v>1986</v>
      </c>
      <c r="I311" s="2">
        <v>748</v>
      </c>
    </row>
    <row r="312" spans="1:9" x14ac:dyDescent="0.25">
      <c r="A312" s="4" t="s">
        <v>2690</v>
      </c>
      <c r="B312" s="2" t="s">
        <v>244</v>
      </c>
      <c r="C312" s="2">
        <v>691</v>
      </c>
      <c r="D312" s="2" t="s">
        <v>2742</v>
      </c>
      <c r="E312" s="2" t="s">
        <v>2680</v>
      </c>
      <c r="F312" s="2" t="s">
        <v>2743</v>
      </c>
      <c r="G312" s="2" t="s">
        <v>1985</v>
      </c>
      <c r="H312" s="2" t="s">
        <v>1986</v>
      </c>
      <c r="I312" s="2">
        <v>748</v>
      </c>
    </row>
    <row r="313" spans="1:9" x14ac:dyDescent="0.25">
      <c r="A313" s="4" t="s">
        <v>2690</v>
      </c>
      <c r="B313" s="2" t="s">
        <v>244</v>
      </c>
      <c r="C313" s="2">
        <v>746</v>
      </c>
      <c r="D313" s="2" t="s">
        <v>2978</v>
      </c>
      <c r="E313" s="2" t="s">
        <v>2680</v>
      </c>
      <c r="F313" s="2" t="s">
        <v>2743</v>
      </c>
      <c r="G313" s="2" t="s">
        <v>1985</v>
      </c>
      <c r="H313" s="2" t="s">
        <v>1986</v>
      </c>
      <c r="I313" s="2">
        <v>748</v>
      </c>
    </row>
    <row r="314" spans="1:9" x14ac:dyDescent="0.25">
      <c r="A314" s="4" t="s">
        <v>2690</v>
      </c>
      <c r="B314" s="2" t="s">
        <v>244</v>
      </c>
      <c r="C314" s="2">
        <v>688</v>
      </c>
      <c r="D314" s="2" t="s">
        <v>2729</v>
      </c>
      <c r="E314" s="2" t="s">
        <v>2680</v>
      </c>
      <c r="F314" s="2" t="s">
        <v>2730</v>
      </c>
      <c r="G314" s="2" t="s">
        <v>1985</v>
      </c>
      <c r="H314" s="2" t="s">
        <v>1986</v>
      </c>
      <c r="I314" s="2">
        <v>748</v>
      </c>
    </row>
    <row r="315" spans="1:9" x14ac:dyDescent="0.25">
      <c r="A315" s="4" t="s">
        <v>2690</v>
      </c>
      <c r="B315" s="2" t="s">
        <v>244</v>
      </c>
      <c r="C315" s="2">
        <v>766</v>
      </c>
      <c r="D315" s="2" t="s">
        <v>3055</v>
      </c>
      <c r="E315" s="2" t="s">
        <v>2680</v>
      </c>
      <c r="F315" s="2" t="s">
        <v>2730</v>
      </c>
      <c r="G315" s="2" t="s">
        <v>1985</v>
      </c>
      <c r="H315" s="2" t="s">
        <v>1986</v>
      </c>
      <c r="I315" s="2">
        <v>748</v>
      </c>
    </row>
    <row r="316" spans="1:9" x14ac:dyDescent="0.25">
      <c r="A316" s="4" t="s">
        <v>2690</v>
      </c>
      <c r="B316" s="2" t="s">
        <v>244</v>
      </c>
      <c r="C316" s="2">
        <v>773</v>
      </c>
      <c r="D316" s="2" t="s">
        <v>3085</v>
      </c>
      <c r="E316" s="2" t="s">
        <v>2680</v>
      </c>
      <c r="F316" s="2" t="s">
        <v>2730</v>
      </c>
      <c r="G316" s="2" t="s">
        <v>1985</v>
      </c>
      <c r="H316" s="2" t="s">
        <v>1986</v>
      </c>
      <c r="I316" s="2">
        <v>748</v>
      </c>
    </row>
    <row r="317" spans="1:9" x14ac:dyDescent="0.25">
      <c r="A317" s="4" t="s">
        <v>2690</v>
      </c>
      <c r="B317" s="2" t="s">
        <v>244</v>
      </c>
      <c r="C317" s="2">
        <v>775</v>
      </c>
      <c r="D317" s="2" t="s">
        <v>3093</v>
      </c>
      <c r="E317" s="2" t="s">
        <v>2680</v>
      </c>
      <c r="F317" s="2" t="s">
        <v>2730</v>
      </c>
      <c r="G317" s="2" t="s">
        <v>1985</v>
      </c>
      <c r="H317" s="2" t="s">
        <v>1986</v>
      </c>
      <c r="I317" s="2">
        <v>748</v>
      </c>
    </row>
    <row r="318" spans="1:9" x14ac:dyDescent="0.25">
      <c r="A318" s="4" t="s">
        <v>2690</v>
      </c>
      <c r="B318" s="2" t="s">
        <v>244</v>
      </c>
      <c r="C318" s="2">
        <v>780</v>
      </c>
      <c r="D318" s="2" t="s">
        <v>3114</v>
      </c>
      <c r="E318" s="2" t="s">
        <v>2680</v>
      </c>
      <c r="F318" s="2" t="s">
        <v>2730</v>
      </c>
      <c r="G318" s="2" t="s">
        <v>1985</v>
      </c>
      <c r="H318" s="2" t="s">
        <v>1986</v>
      </c>
      <c r="I318" s="2">
        <v>748</v>
      </c>
    </row>
    <row r="319" spans="1:9" x14ac:dyDescent="0.25">
      <c r="A319" s="4" t="s">
        <v>2690</v>
      </c>
      <c r="B319" s="2" t="s">
        <v>271</v>
      </c>
      <c r="C319" s="2">
        <v>714</v>
      </c>
      <c r="D319" s="2" t="s">
        <v>2842</v>
      </c>
      <c r="E319" s="2" t="s">
        <v>2680</v>
      </c>
      <c r="F319" s="2" t="s">
        <v>2843</v>
      </c>
      <c r="G319" s="2" t="s">
        <v>1969</v>
      </c>
      <c r="H319" s="2" t="s">
        <v>97</v>
      </c>
      <c r="I319" s="2">
        <v>748</v>
      </c>
    </row>
    <row r="320" spans="1:9" x14ac:dyDescent="0.25">
      <c r="A320" s="4" t="s">
        <v>2690</v>
      </c>
      <c r="B320" s="2" t="s">
        <v>271</v>
      </c>
      <c r="C320" s="2">
        <v>755</v>
      </c>
      <c r="D320" s="2" t="s">
        <v>3012</v>
      </c>
      <c r="E320" s="2" t="s">
        <v>2680</v>
      </c>
      <c r="F320" s="2" t="s">
        <v>3013</v>
      </c>
      <c r="G320" s="2" t="s">
        <v>1969</v>
      </c>
      <c r="H320" s="2" t="s">
        <v>97</v>
      </c>
      <c r="I320" s="2">
        <v>748</v>
      </c>
    </row>
    <row r="321" spans="1:9" x14ac:dyDescent="0.25">
      <c r="A321" s="4" t="s">
        <v>2690</v>
      </c>
      <c r="B321" s="2" t="s">
        <v>271</v>
      </c>
      <c r="C321" s="2">
        <v>720</v>
      </c>
      <c r="D321" s="2" t="s">
        <v>2866</v>
      </c>
      <c r="E321" s="2" t="s">
        <v>2680</v>
      </c>
      <c r="F321" s="2" t="s">
        <v>2867</v>
      </c>
      <c r="G321" s="2" t="s">
        <v>1969</v>
      </c>
      <c r="H321" s="2" t="s">
        <v>97</v>
      </c>
      <c r="I321" s="2">
        <v>748</v>
      </c>
    </row>
    <row r="322" spans="1:9" x14ac:dyDescent="0.25">
      <c r="A322" s="4" t="s">
        <v>2690</v>
      </c>
      <c r="B322" s="2" t="s">
        <v>271</v>
      </c>
      <c r="C322" s="2">
        <v>692</v>
      </c>
      <c r="D322" s="2" t="s">
        <v>2747</v>
      </c>
      <c r="E322" s="2" t="s">
        <v>2680</v>
      </c>
      <c r="F322" s="2" t="s">
        <v>2748</v>
      </c>
      <c r="G322" s="2" t="s">
        <v>1969</v>
      </c>
      <c r="H322" s="2" t="s">
        <v>97</v>
      </c>
      <c r="I322" s="2">
        <v>748</v>
      </c>
    </row>
    <row r="323" spans="1:9" x14ac:dyDescent="0.25">
      <c r="A323" s="4" t="s">
        <v>2690</v>
      </c>
      <c r="B323" s="2" t="s">
        <v>271</v>
      </c>
      <c r="C323" s="2">
        <v>727</v>
      </c>
      <c r="D323" s="2" t="s">
        <v>2895</v>
      </c>
      <c r="E323" s="2" t="s">
        <v>2680</v>
      </c>
      <c r="F323" s="2" t="s">
        <v>2896</v>
      </c>
      <c r="G323" s="2" t="s">
        <v>1969</v>
      </c>
      <c r="H323" s="2" t="s">
        <v>97</v>
      </c>
      <c r="I323" s="2">
        <v>748</v>
      </c>
    </row>
    <row r="324" spans="1:9" x14ac:dyDescent="0.25">
      <c r="A324" s="4" t="s">
        <v>2690</v>
      </c>
      <c r="B324" s="2" t="s">
        <v>271</v>
      </c>
      <c r="C324" s="2">
        <v>719</v>
      </c>
      <c r="D324" s="2" t="s">
        <v>2747</v>
      </c>
      <c r="E324" s="2" t="s">
        <v>2680</v>
      </c>
      <c r="F324" s="2" t="s">
        <v>2862</v>
      </c>
      <c r="G324" s="2" t="s">
        <v>1969</v>
      </c>
      <c r="H324" s="2" t="s">
        <v>97</v>
      </c>
      <c r="I324" s="2">
        <v>748</v>
      </c>
    </row>
    <row r="325" spans="1:9" x14ac:dyDescent="0.25">
      <c r="A325" s="4" t="s">
        <v>2690</v>
      </c>
      <c r="B325" s="2" t="s">
        <v>271</v>
      </c>
      <c r="C325" s="2">
        <v>699</v>
      </c>
      <c r="D325" s="2" t="s">
        <v>2777</v>
      </c>
      <c r="E325" s="2" t="s">
        <v>2680</v>
      </c>
      <c r="F325" s="2" t="s">
        <v>2778</v>
      </c>
      <c r="G325" s="2" t="s">
        <v>1969</v>
      </c>
      <c r="H325" s="2" t="s">
        <v>97</v>
      </c>
      <c r="I325" s="2">
        <v>748</v>
      </c>
    </row>
    <row r="326" spans="1:9" x14ac:dyDescent="0.25">
      <c r="A326" s="4" t="s">
        <v>2690</v>
      </c>
      <c r="B326" s="2" t="s">
        <v>271</v>
      </c>
      <c r="C326" s="2">
        <v>763</v>
      </c>
      <c r="D326" s="2" t="s">
        <v>3042</v>
      </c>
      <c r="E326" s="2" t="s">
        <v>2680</v>
      </c>
      <c r="F326" s="2" t="s">
        <v>3043</v>
      </c>
      <c r="G326" s="2" t="s">
        <v>1969</v>
      </c>
      <c r="H326" s="2" t="s">
        <v>97</v>
      </c>
      <c r="I326" s="2">
        <v>748</v>
      </c>
    </row>
    <row r="327" spans="1:9" x14ac:dyDescent="0.25">
      <c r="A327" s="4" t="s">
        <v>2690</v>
      </c>
      <c r="B327" s="2" t="s">
        <v>271</v>
      </c>
      <c r="C327" s="2">
        <v>743</v>
      </c>
      <c r="D327" s="2" t="s">
        <v>2963</v>
      </c>
      <c r="E327" s="2" t="s">
        <v>2680</v>
      </c>
      <c r="F327" s="2" t="s">
        <v>2964</v>
      </c>
      <c r="G327" s="2" t="s">
        <v>1969</v>
      </c>
      <c r="H327" s="2" t="s">
        <v>97</v>
      </c>
      <c r="I327" s="2">
        <v>748</v>
      </c>
    </row>
    <row r="328" spans="1:9" x14ac:dyDescent="0.25">
      <c r="A328" s="4" t="s">
        <v>2690</v>
      </c>
      <c r="B328" s="2" t="s">
        <v>271</v>
      </c>
      <c r="C328" s="2">
        <v>725</v>
      </c>
      <c r="D328" s="2" t="s">
        <v>2886</v>
      </c>
      <c r="E328" s="2" t="s">
        <v>2680</v>
      </c>
      <c r="F328" s="2" t="s">
        <v>2887</v>
      </c>
      <c r="G328" s="2" t="s">
        <v>1969</v>
      </c>
      <c r="H328" s="2" t="s">
        <v>97</v>
      </c>
      <c r="I328" s="2">
        <v>748</v>
      </c>
    </row>
    <row r="329" spans="1:9" x14ac:dyDescent="0.25">
      <c r="A329" s="4" t="s">
        <v>2690</v>
      </c>
      <c r="B329" s="2" t="s">
        <v>96</v>
      </c>
      <c r="C329" s="2">
        <v>705</v>
      </c>
      <c r="D329" s="2" t="s">
        <v>2804</v>
      </c>
      <c r="E329" s="2" t="s">
        <v>2680</v>
      </c>
      <c r="F329" s="2" t="s">
        <v>2805</v>
      </c>
      <c r="G329" s="2" t="s">
        <v>1969</v>
      </c>
      <c r="H329" s="2" t="s">
        <v>97</v>
      </c>
      <c r="I329" s="2">
        <v>748</v>
      </c>
    </row>
    <row r="330" spans="1:9" x14ac:dyDescent="0.25">
      <c r="A330" s="4" t="s">
        <v>2690</v>
      </c>
      <c r="B330" s="2" t="s">
        <v>96</v>
      </c>
      <c r="C330" s="2">
        <v>749</v>
      </c>
      <c r="D330" s="2" t="s">
        <v>2988</v>
      </c>
      <c r="E330" s="2" t="s">
        <v>2680</v>
      </c>
      <c r="F330" s="2" t="s">
        <v>2989</v>
      </c>
      <c r="G330" s="2" t="s">
        <v>1969</v>
      </c>
      <c r="H330" s="2" t="s">
        <v>97</v>
      </c>
      <c r="I330" s="2">
        <v>748</v>
      </c>
    </row>
    <row r="331" spans="1:9" x14ac:dyDescent="0.25">
      <c r="A331" s="4" t="s">
        <v>2690</v>
      </c>
      <c r="B331" s="2" t="s">
        <v>96</v>
      </c>
      <c r="C331" s="2">
        <v>711</v>
      </c>
      <c r="D331" s="2" t="s">
        <v>2829</v>
      </c>
      <c r="E331" s="2" t="s">
        <v>2680</v>
      </c>
      <c r="F331" s="2" t="s">
        <v>2830</v>
      </c>
      <c r="G331" s="2" t="s">
        <v>1969</v>
      </c>
      <c r="H331" s="2" t="s">
        <v>97</v>
      </c>
      <c r="I331" s="2">
        <v>748</v>
      </c>
    </row>
    <row r="332" spans="1:9" x14ac:dyDescent="0.25">
      <c r="A332" s="4" t="s">
        <v>2690</v>
      </c>
      <c r="B332" s="2" t="s">
        <v>96</v>
      </c>
      <c r="C332" s="2">
        <v>767</v>
      </c>
      <c r="D332" s="2" t="s">
        <v>3059</v>
      </c>
      <c r="E332" s="2" t="s">
        <v>2680</v>
      </c>
      <c r="F332" s="2" t="s">
        <v>3060</v>
      </c>
      <c r="G332" s="2" t="s">
        <v>1969</v>
      </c>
      <c r="H332" s="2" t="s">
        <v>97</v>
      </c>
      <c r="I332" s="2">
        <v>748</v>
      </c>
    </row>
    <row r="333" spans="1:9" x14ac:dyDescent="0.25">
      <c r="A333" s="4" t="s">
        <v>2690</v>
      </c>
      <c r="B333" s="2" t="s">
        <v>96</v>
      </c>
      <c r="C333" s="2">
        <v>777</v>
      </c>
      <c r="D333" s="2" t="s">
        <v>3101</v>
      </c>
      <c r="E333" s="2" t="s">
        <v>2680</v>
      </c>
      <c r="F333" s="2" t="s">
        <v>3060</v>
      </c>
      <c r="G333" s="2" t="s">
        <v>1969</v>
      </c>
      <c r="H333" s="2" t="s">
        <v>97</v>
      </c>
      <c r="I333" s="2">
        <v>748</v>
      </c>
    </row>
    <row r="334" spans="1:9" x14ac:dyDescent="0.25">
      <c r="A334" s="4" t="s">
        <v>2690</v>
      </c>
      <c r="B334" s="2" t="s">
        <v>96</v>
      </c>
      <c r="C334" s="2">
        <v>732</v>
      </c>
      <c r="D334" s="2" t="s">
        <v>2915</v>
      </c>
      <c r="E334" s="2" t="s">
        <v>2680</v>
      </c>
      <c r="F334" s="2" t="s">
        <v>2916</v>
      </c>
      <c r="G334" s="2" t="s">
        <v>1969</v>
      </c>
      <c r="H334" s="2" t="s">
        <v>97</v>
      </c>
      <c r="I334" s="2">
        <v>748</v>
      </c>
    </row>
    <row r="335" spans="1:9" x14ac:dyDescent="0.25">
      <c r="A335" s="4" t="s">
        <v>2690</v>
      </c>
      <c r="B335" s="2" t="s">
        <v>96</v>
      </c>
      <c r="C335" s="2">
        <v>734</v>
      </c>
      <c r="D335" s="2" t="s">
        <v>2924</v>
      </c>
      <c r="E335" s="2" t="s">
        <v>2680</v>
      </c>
      <c r="F335" s="2" t="s">
        <v>2925</v>
      </c>
      <c r="G335" s="2" t="s">
        <v>1969</v>
      </c>
      <c r="H335" s="2" t="s">
        <v>97</v>
      </c>
      <c r="I335" s="2">
        <v>748</v>
      </c>
    </row>
    <row r="336" spans="1:9" x14ac:dyDescent="0.25">
      <c r="A336" s="4" t="s">
        <v>2690</v>
      </c>
      <c r="B336" s="2" t="s">
        <v>96</v>
      </c>
      <c r="C336" s="2">
        <v>728</v>
      </c>
      <c r="D336" s="2" t="s">
        <v>2899</v>
      </c>
      <c r="E336" s="2" t="s">
        <v>2680</v>
      </c>
      <c r="F336" s="2" t="s">
        <v>2900</v>
      </c>
      <c r="G336" s="2" t="s">
        <v>1969</v>
      </c>
      <c r="H336" s="2" t="s">
        <v>97</v>
      </c>
      <c r="I336" s="2">
        <v>748</v>
      </c>
    </row>
    <row r="337" spans="1:9" x14ac:dyDescent="0.25">
      <c r="A337" s="4" t="s">
        <v>2690</v>
      </c>
      <c r="B337" s="2" t="s">
        <v>96</v>
      </c>
      <c r="C337" s="2">
        <v>739</v>
      </c>
      <c r="D337" s="2" t="s">
        <v>2946</v>
      </c>
      <c r="E337" s="2" t="s">
        <v>2680</v>
      </c>
      <c r="F337" s="2" t="s">
        <v>2947</v>
      </c>
      <c r="G337" s="2" t="s">
        <v>1969</v>
      </c>
      <c r="H337" s="2" t="s">
        <v>97</v>
      </c>
      <c r="I337" s="2">
        <v>748</v>
      </c>
    </row>
    <row r="338" spans="1:9" x14ac:dyDescent="0.25">
      <c r="A338" s="4" t="s">
        <v>2690</v>
      </c>
      <c r="B338" s="2" t="s">
        <v>96</v>
      </c>
      <c r="C338" s="2">
        <v>744</v>
      </c>
      <c r="D338" s="2" t="s">
        <v>2968</v>
      </c>
      <c r="E338" s="2" t="s">
        <v>2680</v>
      </c>
      <c r="F338" s="2" t="s">
        <v>2969</v>
      </c>
      <c r="G338" s="2" t="s">
        <v>1969</v>
      </c>
      <c r="H338" s="2" t="s">
        <v>97</v>
      </c>
      <c r="I338" s="2">
        <v>748</v>
      </c>
    </row>
    <row r="339" spans="1:9" x14ac:dyDescent="0.25">
      <c r="A339" s="4" t="s">
        <v>2690</v>
      </c>
      <c r="B339" s="2" t="s">
        <v>96</v>
      </c>
      <c r="C339" s="2">
        <v>754</v>
      </c>
      <c r="D339" s="2" t="s">
        <v>3008</v>
      </c>
      <c r="E339" s="2" t="s">
        <v>2680</v>
      </c>
      <c r="F339" s="2" t="s">
        <v>3009</v>
      </c>
      <c r="G339" s="2" t="s">
        <v>1969</v>
      </c>
      <c r="H339" s="2" t="s">
        <v>97</v>
      </c>
      <c r="I339" s="2">
        <v>748</v>
      </c>
    </row>
    <row r="340" spans="1:9" x14ac:dyDescent="0.25">
      <c r="A340" s="4" t="s">
        <v>2684</v>
      </c>
      <c r="B340" s="2" t="s">
        <v>21</v>
      </c>
      <c r="C340" s="2">
        <v>683</v>
      </c>
      <c r="D340" s="2" t="s">
        <v>2708</v>
      </c>
      <c r="E340" s="2" t="s">
        <v>2680</v>
      </c>
      <c r="F340" s="2" t="s">
        <v>2709</v>
      </c>
      <c r="G340" s="2" t="s">
        <v>20</v>
      </c>
      <c r="H340" s="2" t="s">
        <v>22</v>
      </c>
      <c r="I340" s="2">
        <v>0</v>
      </c>
    </row>
    <row r="341" spans="1:9" x14ac:dyDescent="0.25">
      <c r="A341" s="4" t="s">
        <v>2684</v>
      </c>
      <c r="B341" s="2" t="s">
        <v>21</v>
      </c>
      <c r="C341" s="2">
        <v>684</v>
      </c>
      <c r="D341" s="2" t="s">
        <v>2713</v>
      </c>
      <c r="E341" s="2" t="s">
        <v>2680</v>
      </c>
      <c r="F341" s="2" t="s">
        <v>2709</v>
      </c>
      <c r="G341" s="2" t="s">
        <v>20</v>
      </c>
      <c r="H341" s="2" t="s">
        <v>22</v>
      </c>
      <c r="I341" s="2">
        <v>0</v>
      </c>
    </row>
    <row r="342" spans="1:9" x14ac:dyDescent="0.25">
      <c r="A342" s="4" t="s">
        <v>2684</v>
      </c>
      <c r="B342" s="2" t="s">
        <v>21</v>
      </c>
      <c r="C342" s="2">
        <v>694</v>
      </c>
      <c r="D342" s="2" t="s">
        <v>2757</v>
      </c>
      <c r="E342" s="2" t="s">
        <v>2680</v>
      </c>
      <c r="F342" s="2" t="s">
        <v>2709</v>
      </c>
      <c r="G342" s="2" t="s">
        <v>20</v>
      </c>
      <c r="H342" s="2" t="s">
        <v>22</v>
      </c>
      <c r="I342" s="2">
        <v>0</v>
      </c>
    </row>
    <row r="343" spans="1:9" x14ac:dyDescent="0.25">
      <c r="A343" s="4" t="s">
        <v>2684</v>
      </c>
      <c r="B343" s="2" t="s">
        <v>21</v>
      </c>
      <c r="C343" s="2">
        <v>698</v>
      </c>
      <c r="D343" s="2" t="s">
        <v>2773</v>
      </c>
      <c r="E343" s="2" t="s">
        <v>2680</v>
      </c>
      <c r="F343" s="2" t="s">
        <v>2709</v>
      </c>
      <c r="G343" s="2" t="s">
        <v>20</v>
      </c>
      <c r="H343" s="2" t="s">
        <v>22</v>
      </c>
      <c r="I343" s="2">
        <v>0</v>
      </c>
    </row>
    <row r="344" spans="1:9" x14ac:dyDescent="0.25">
      <c r="A344" s="4" t="s">
        <v>2684</v>
      </c>
      <c r="B344" s="2" t="s">
        <v>21</v>
      </c>
      <c r="C344" s="2">
        <v>716</v>
      </c>
      <c r="D344" s="2" t="s">
        <v>2850</v>
      </c>
      <c r="E344" s="2" t="s">
        <v>2680</v>
      </c>
      <c r="F344" s="2" t="s">
        <v>2709</v>
      </c>
      <c r="G344" s="2" t="s">
        <v>20</v>
      </c>
      <c r="H344" s="2" t="s">
        <v>22</v>
      </c>
      <c r="I344" s="2">
        <v>0</v>
      </c>
    </row>
    <row r="345" spans="1:9" x14ac:dyDescent="0.25">
      <c r="A345" s="4" t="s">
        <v>2684</v>
      </c>
      <c r="B345" s="2" t="s">
        <v>21</v>
      </c>
      <c r="C345" s="2">
        <v>718</v>
      </c>
      <c r="D345" s="2" t="s">
        <v>2858</v>
      </c>
      <c r="E345" s="2" t="s">
        <v>2680</v>
      </c>
      <c r="F345" s="2" t="s">
        <v>2709</v>
      </c>
      <c r="G345" s="2" t="s">
        <v>20</v>
      </c>
      <c r="H345" s="2" t="s">
        <v>22</v>
      </c>
      <c r="I345" s="2">
        <v>0</v>
      </c>
    </row>
    <row r="346" spans="1:9" x14ac:dyDescent="0.25">
      <c r="A346" s="4" t="s">
        <v>2684</v>
      </c>
      <c r="B346" s="2" t="s">
        <v>21</v>
      </c>
      <c r="C346" s="2">
        <v>721</v>
      </c>
      <c r="D346" s="2" t="s">
        <v>2871</v>
      </c>
      <c r="E346" s="2" t="s">
        <v>2680</v>
      </c>
      <c r="F346" s="2" t="s">
        <v>2709</v>
      </c>
      <c r="G346" s="2" t="s">
        <v>20</v>
      </c>
      <c r="H346" s="2" t="s">
        <v>22</v>
      </c>
      <c r="I346" s="2">
        <v>0</v>
      </c>
    </row>
    <row r="347" spans="1:9" x14ac:dyDescent="0.25">
      <c r="A347" s="4" t="s">
        <v>2684</v>
      </c>
      <c r="B347" s="2" t="s">
        <v>21</v>
      </c>
      <c r="C347" s="2">
        <v>736</v>
      </c>
      <c r="D347" s="2" t="s">
        <v>2933</v>
      </c>
      <c r="E347" s="2" t="s">
        <v>2680</v>
      </c>
      <c r="F347" s="2" t="s">
        <v>2709</v>
      </c>
      <c r="G347" s="2" t="s">
        <v>20</v>
      </c>
      <c r="H347" s="2" t="s">
        <v>22</v>
      </c>
      <c r="I347" s="2">
        <v>0</v>
      </c>
    </row>
    <row r="348" spans="1:9" x14ac:dyDescent="0.25">
      <c r="A348" s="4" t="s">
        <v>2684</v>
      </c>
      <c r="B348" s="2" t="s">
        <v>21</v>
      </c>
      <c r="C348" s="2">
        <v>742</v>
      </c>
      <c r="D348" s="2" t="s">
        <v>2959</v>
      </c>
      <c r="E348" s="2" t="s">
        <v>2680</v>
      </c>
      <c r="F348" s="2" t="s">
        <v>2709</v>
      </c>
      <c r="G348" s="2" t="s">
        <v>20</v>
      </c>
      <c r="H348" s="2" t="s">
        <v>22</v>
      </c>
      <c r="I348" s="2">
        <v>0</v>
      </c>
    </row>
    <row r="349" spans="1:9" x14ac:dyDescent="0.25">
      <c r="A349" s="4" t="s">
        <v>2684</v>
      </c>
      <c r="B349" s="2" t="s">
        <v>21</v>
      </c>
      <c r="C349" s="2">
        <v>751</v>
      </c>
      <c r="D349" s="2" t="s">
        <v>2997</v>
      </c>
      <c r="E349" s="2" t="s">
        <v>2680</v>
      </c>
      <c r="F349" s="2" t="s">
        <v>2709</v>
      </c>
      <c r="G349" s="2" t="s">
        <v>20</v>
      </c>
      <c r="H349" s="2" t="s">
        <v>22</v>
      </c>
      <c r="I349" s="2">
        <v>0</v>
      </c>
    </row>
    <row r="350" spans="1:9" x14ac:dyDescent="0.25">
      <c r="A350" s="4" t="s">
        <v>2684</v>
      </c>
      <c r="B350" s="2" t="s">
        <v>21</v>
      </c>
      <c r="C350" s="2">
        <v>762</v>
      </c>
      <c r="D350" s="2" t="s">
        <v>3039</v>
      </c>
      <c r="E350" s="2" t="s">
        <v>2680</v>
      </c>
      <c r="F350" s="2" t="s">
        <v>2709</v>
      </c>
      <c r="G350" s="2" t="s">
        <v>20</v>
      </c>
      <c r="H350" s="2" t="s">
        <v>22</v>
      </c>
      <c r="I350" s="2">
        <v>0</v>
      </c>
    </row>
    <row r="351" spans="1:9" x14ac:dyDescent="0.25">
      <c r="A351" s="4" t="s">
        <v>2684</v>
      </c>
      <c r="B351" s="2" t="s">
        <v>21</v>
      </c>
      <c r="C351" s="2">
        <v>772</v>
      </c>
      <c r="D351" s="2" t="s">
        <v>3081</v>
      </c>
      <c r="E351" s="2" t="s">
        <v>2680</v>
      </c>
      <c r="F351" s="2" t="s">
        <v>2709</v>
      </c>
      <c r="G351" s="2" t="s">
        <v>20</v>
      </c>
      <c r="H351" s="2" t="s">
        <v>22</v>
      </c>
      <c r="I351" s="2">
        <v>0</v>
      </c>
    </row>
    <row r="352" spans="1:9" x14ac:dyDescent="0.25">
      <c r="A352" s="4" t="s">
        <v>2684</v>
      </c>
      <c r="B352" s="2" t="s">
        <v>21</v>
      </c>
      <c r="C352" s="2">
        <v>776</v>
      </c>
      <c r="D352" s="2" t="s">
        <v>3097</v>
      </c>
      <c r="E352" s="2" t="s">
        <v>2680</v>
      </c>
      <c r="F352" s="2" t="s">
        <v>2709</v>
      </c>
      <c r="G352" s="2" t="s">
        <v>20</v>
      </c>
      <c r="H352" s="2" t="s">
        <v>22</v>
      </c>
      <c r="I352" s="2">
        <v>0</v>
      </c>
    </row>
    <row r="353" spans="1:9" x14ac:dyDescent="0.25">
      <c r="A353" s="4" t="s">
        <v>2684</v>
      </c>
      <c r="B353" s="2" t="s">
        <v>21</v>
      </c>
      <c r="C353" s="2">
        <v>779</v>
      </c>
      <c r="D353" s="2" t="s">
        <v>3110</v>
      </c>
      <c r="E353" s="2" t="s">
        <v>2680</v>
      </c>
      <c r="F353" s="2" t="s">
        <v>2709</v>
      </c>
      <c r="G353" s="2" t="s">
        <v>20</v>
      </c>
      <c r="H353" s="2" t="s">
        <v>22</v>
      </c>
      <c r="I353" s="2">
        <v>0</v>
      </c>
    </row>
    <row r="354" spans="1:9" x14ac:dyDescent="0.25">
      <c r="A354" s="4" t="s">
        <v>2684</v>
      </c>
      <c r="B354" s="2" t="s">
        <v>21</v>
      </c>
      <c r="C354" s="2">
        <v>677</v>
      </c>
      <c r="D354" s="2" t="s">
        <v>2679</v>
      </c>
      <c r="E354" s="2" t="s">
        <v>2680</v>
      </c>
      <c r="F354" s="2" t="s">
        <v>2681</v>
      </c>
      <c r="G354" s="2" t="s">
        <v>20</v>
      </c>
      <c r="H354" s="2" t="s">
        <v>22</v>
      </c>
      <c r="I354" s="2">
        <v>0</v>
      </c>
    </row>
    <row r="355" spans="1:9" x14ac:dyDescent="0.25">
      <c r="A355" s="4" t="s">
        <v>2684</v>
      </c>
      <c r="B355" s="2" t="s">
        <v>244</v>
      </c>
      <c r="C355" s="2">
        <v>680</v>
      </c>
      <c r="D355" s="2" t="s">
        <v>2697</v>
      </c>
      <c r="E355" s="2" t="s">
        <v>2680</v>
      </c>
      <c r="F355" s="2" t="s">
        <v>2681</v>
      </c>
      <c r="G355" s="2" t="s">
        <v>20</v>
      </c>
      <c r="H355" s="2" t="s">
        <v>22</v>
      </c>
      <c r="I355" s="2">
        <v>0</v>
      </c>
    </row>
    <row r="356" spans="1:9" x14ac:dyDescent="0.25">
      <c r="A356" s="4" t="s">
        <v>2684</v>
      </c>
      <c r="B356" s="2" t="s">
        <v>244</v>
      </c>
      <c r="C356" s="2">
        <v>681</v>
      </c>
      <c r="D356" s="2" t="s">
        <v>2700</v>
      </c>
      <c r="E356" s="2" t="s">
        <v>2680</v>
      </c>
      <c r="F356" s="2" t="s">
        <v>2681</v>
      </c>
      <c r="G356" s="2" t="s">
        <v>20</v>
      </c>
      <c r="H356" s="2" t="s">
        <v>22</v>
      </c>
      <c r="I356" s="2">
        <v>0</v>
      </c>
    </row>
    <row r="357" spans="1:9" x14ac:dyDescent="0.25">
      <c r="A357" s="4" t="s">
        <v>2684</v>
      </c>
      <c r="B357" s="2" t="s">
        <v>244</v>
      </c>
      <c r="C357" s="2">
        <v>682</v>
      </c>
      <c r="D357" s="2" t="s">
        <v>2704</v>
      </c>
      <c r="E357" s="2" t="s">
        <v>2680</v>
      </c>
      <c r="F357" s="2" t="s">
        <v>2681</v>
      </c>
      <c r="G357" s="2" t="s">
        <v>20</v>
      </c>
      <c r="H357" s="2" t="s">
        <v>22</v>
      </c>
      <c r="I357" s="2">
        <v>0</v>
      </c>
    </row>
    <row r="358" spans="1:9" x14ac:dyDescent="0.25">
      <c r="A358" s="4" t="s">
        <v>2684</v>
      </c>
      <c r="B358" s="2" t="s">
        <v>244</v>
      </c>
      <c r="C358" s="2">
        <v>686</v>
      </c>
      <c r="D358" s="2" t="s">
        <v>2720</v>
      </c>
      <c r="E358" s="2" t="s">
        <v>2680</v>
      </c>
      <c r="F358" s="2" t="s">
        <v>2681</v>
      </c>
      <c r="G358" s="2" t="s">
        <v>20</v>
      </c>
      <c r="H358" s="2" t="s">
        <v>22</v>
      </c>
      <c r="I358" s="2">
        <v>0</v>
      </c>
    </row>
    <row r="359" spans="1:9" x14ac:dyDescent="0.25">
      <c r="A359" s="4" t="s">
        <v>2684</v>
      </c>
      <c r="B359" s="2" t="s">
        <v>244</v>
      </c>
      <c r="C359" s="2">
        <v>690</v>
      </c>
      <c r="D359" s="2" t="s">
        <v>2738</v>
      </c>
      <c r="E359" s="2" t="s">
        <v>2680</v>
      </c>
      <c r="F359" s="2" t="s">
        <v>2681</v>
      </c>
      <c r="G359" s="2" t="s">
        <v>20</v>
      </c>
      <c r="H359" s="2" t="s">
        <v>22</v>
      </c>
      <c r="I359" s="2">
        <v>0</v>
      </c>
    </row>
    <row r="360" spans="1:9" x14ac:dyDescent="0.25">
      <c r="A360" s="4" t="s">
        <v>2684</v>
      </c>
      <c r="B360" s="2" t="s">
        <v>244</v>
      </c>
      <c r="C360" s="2">
        <v>696</v>
      </c>
      <c r="D360" s="2" t="s">
        <v>2765</v>
      </c>
      <c r="E360" s="2" t="s">
        <v>2680</v>
      </c>
      <c r="F360" s="2" t="s">
        <v>2681</v>
      </c>
      <c r="G360" s="2" t="s">
        <v>20</v>
      </c>
      <c r="H360" s="2" t="s">
        <v>22</v>
      </c>
      <c r="I360" s="2">
        <v>0</v>
      </c>
    </row>
    <row r="361" spans="1:9" x14ac:dyDescent="0.25">
      <c r="A361" s="4" t="s">
        <v>2684</v>
      </c>
      <c r="B361" s="2" t="s">
        <v>244</v>
      </c>
      <c r="C361" s="2">
        <v>697</v>
      </c>
      <c r="D361" s="2" t="s">
        <v>2769</v>
      </c>
      <c r="E361" s="2" t="s">
        <v>2680</v>
      </c>
      <c r="F361" s="2" t="s">
        <v>2681</v>
      </c>
      <c r="G361" s="2" t="s">
        <v>20</v>
      </c>
      <c r="H361" s="2" t="s">
        <v>22</v>
      </c>
      <c r="I361" s="2">
        <v>0</v>
      </c>
    </row>
    <row r="362" spans="1:9" x14ac:dyDescent="0.25">
      <c r="A362" s="4" t="s">
        <v>2684</v>
      </c>
      <c r="B362" s="2" t="s">
        <v>244</v>
      </c>
      <c r="C362" s="2">
        <v>700</v>
      </c>
      <c r="D362" s="2" t="s">
        <v>2781</v>
      </c>
      <c r="E362" s="2" t="s">
        <v>2680</v>
      </c>
      <c r="F362" s="2" t="s">
        <v>2681</v>
      </c>
      <c r="G362" s="2" t="s">
        <v>20</v>
      </c>
      <c r="H362" s="2" t="s">
        <v>22</v>
      </c>
      <c r="I362" s="2">
        <v>0</v>
      </c>
    </row>
    <row r="363" spans="1:9" x14ac:dyDescent="0.25">
      <c r="A363" s="4" t="s">
        <v>2684</v>
      </c>
      <c r="B363" s="2" t="s">
        <v>244</v>
      </c>
      <c r="C363" s="2">
        <v>704</v>
      </c>
      <c r="D363" s="2" t="s">
        <v>2800</v>
      </c>
      <c r="E363" s="2" t="s">
        <v>2680</v>
      </c>
      <c r="F363" s="2" t="s">
        <v>2681</v>
      </c>
      <c r="G363" s="2" t="s">
        <v>20</v>
      </c>
      <c r="H363" s="2" t="s">
        <v>22</v>
      </c>
      <c r="I363" s="2">
        <v>0</v>
      </c>
    </row>
    <row r="364" spans="1:9" x14ac:dyDescent="0.25">
      <c r="A364" s="4" t="s">
        <v>2684</v>
      </c>
      <c r="B364" s="2" t="s">
        <v>244</v>
      </c>
      <c r="C364" s="2">
        <v>708</v>
      </c>
      <c r="D364" s="2" t="s">
        <v>2819</v>
      </c>
      <c r="E364" s="2" t="s">
        <v>2680</v>
      </c>
      <c r="F364" s="2" t="s">
        <v>2681</v>
      </c>
      <c r="G364" s="2" t="s">
        <v>20</v>
      </c>
      <c r="H364" s="2" t="s">
        <v>22</v>
      </c>
      <c r="I364" s="2">
        <v>0</v>
      </c>
    </row>
    <row r="365" spans="1:9" x14ac:dyDescent="0.25">
      <c r="A365" s="4" t="s">
        <v>2684</v>
      </c>
      <c r="B365" s="2" t="s">
        <v>244</v>
      </c>
      <c r="C365" s="2">
        <v>709</v>
      </c>
      <c r="D365" s="2" t="s">
        <v>2822</v>
      </c>
      <c r="E365" s="2" t="s">
        <v>2680</v>
      </c>
      <c r="F365" s="2" t="s">
        <v>2681</v>
      </c>
      <c r="G365" s="2" t="s">
        <v>20</v>
      </c>
      <c r="H365" s="2" t="s">
        <v>22</v>
      </c>
      <c r="I365" s="2">
        <v>0</v>
      </c>
    </row>
    <row r="366" spans="1:9" x14ac:dyDescent="0.25">
      <c r="A366" s="4" t="s">
        <v>2684</v>
      </c>
      <c r="B366" s="2" t="s">
        <v>244</v>
      </c>
      <c r="C366" s="2">
        <v>713</v>
      </c>
      <c r="D366" s="2" t="s">
        <v>2838</v>
      </c>
      <c r="E366" s="2" t="s">
        <v>2680</v>
      </c>
      <c r="F366" s="2" t="s">
        <v>2681</v>
      </c>
      <c r="G366" s="2" t="s">
        <v>20</v>
      </c>
      <c r="H366" s="2" t="s">
        <v>22</v>
      </c>
      <c r="I366" s="2">
        <v>0</v>
      </c>
    </row>
    <row r="367" spans="1:9" x14ac:dyDescent="0.25">
      <c r="A367" s="4" t="s">
        <v>2684</v>
      </c>
      <c r="B367" s="2" t="s">
        <v>244</v>
      </c>
      <c r="C367" s="2">
        <v>715</v>
      </c>
      <c r="D367" s="2" t="s">
        <v>2847</v>
      </c>
      <c r="E367" s="2" t="s">
        <v>2680</v>
      </c>
      <c r="F367" s="2" t="s">
        <v>2681</v>
      </c>
      <c r="G367" s="2" t="s">
        <v>20</v>
      </c>
      <c r="H367" s="2" t="s">
        <v>22</v>
      </c>
      <c r="I367" s="2">
        <v>0</v>
      </c>
    </row>
    <row r="368" spans="1:9" x14ac:dyDescent="0.25">
      <c r="A368" s="4" t="s">
        <v>2684</v>
      </c>
      <c r="B368" s="2" t="s">
        <v>244</v>
      </c>
      <c r="C368" s="2">
        <v>717</v>
      </c>
      <c r="D368" s="2" t="s">
        <v>2854</v>
      </c>
      <c r="E368" s="2" t="s">
        <v>2680</v>
      </c>
      <c r="F368" s="2" t="s">
        <v>2681</v>
      </c>
      <c r="G368" s="2" t="s">
        <v>20</v>
      </c>
      <c r="H368" s="2" t="s">
        <v>22</v>
      </c>
      <c r="I368" s="2">
        <v>0</v>
      </c>
    </row>
    <row r="369" spans="1:9" x14ac:dyDescent="0.25">
      <c r="A369" s="4" t="s">
        <v>2684</v>
      </c>
      <c r="B369" s="2" t="s">
        <v>244</v>
      </c>
      <c r="C369" s="2">
        <v>722</v>
      </c>
      <c r="D369" s="2" t="s">
        <v>2875</v>
      </c>
      <c r="E369" s="2" t="s">
        <v>2680</v>
      </c>
      <c r="F369" s="2" t="s">
        <v>2681</v>
      </c>
      <c r="G369" s="2" t="s">
        <v>20</v>
      </c>
      <c r="H369" s="2" t="s">
        <v>22</v>
      </c>
      <c r="I369" s="2">
        <v>0</v>
      </c>
    </row>
    <row r="370" spans="1:9" x14ac:dyDescent="0.25">
      <c r="A370" s="4" t="s">
        <v>2684</v>
      </c>
      <c r="B370" s="2" t="s">
        <v>271</v>
      </c>
      <c r="C370" s="2">
        <v>723</v>
      </c>
      <c r="D370" s="2" t="s">
        <v>2878</v>
      </c>
      <c r="E370" s="2" t="s">
        <v>2680</v>
      </c>
      <c r="F370" s="2" t="s">
        <v>2681</v>
      </c>
      <c r="G370" s="2" t="s">
        <v>20</v>
      </c>
      <c r="H370" s="2" t="s">
        <v>22</v>
      </c>
      <c r="I370" s="2">
        <v>0</v>
      </c>
    </row>
    <row r="371" spans="1:9" x14ac:dyDescent="0.25">
      <c r="A371" s="4" t="s">
        <v>2684</v>
      </c>
      <c r="B371" s="2" t="s">
        <v>271</v>
      </c>
      <c r="C371" s="2">
        <v>724</v>
      </c>
      <c r="D371" s="2" t="s">
        <v>2882</v>
      </c>
      <c r="E371" s="2" t="s">
        <v>2680</v>
      </c>
      <c r="F371" s="2" t="s">
        <v>2681</v>
      </c>
      <c r="G371" s="2" t="s">
        <v>20</v>
      </c>
      <c r="H371" s="2" t="s">
        <v>22</v>
      </c>
      <c r="I371" s="2">
        <v>0</v>
      </c>
    </row>
    <row r="372" spans="1:9" x14ac:dyDescent="0.25">
      <c r="A372" s="4" t="s">
        <v>2684</v>
      </c>
      <c r="B372" s="2" t="s">
        <v>271</v>
      </c>
      <c r="C372" s="2">
        <v>729</v>
      </c>
      <c r="D372" s="2" t="s">
        <v>2903</v>
      </c>
      <c r="E372" s="2" t="s">
        <v>2680</v>
      </c>
      <c r="F372" s="2" t="s">
        <v>2681</v>
      </c>
      <c r="G372" s="2" t="s">
        <v>20</v>
      </c>
      <c r="H372" s="2" t="s">
        <v>22</v>
      </c>
      <c r="I372" s="2">
        <v>0</v>
      </c>
    </row>
    <row r="373" spans="1:9" x14ac:dyDescent="0.25">
      <c r="A373" s="4" t="s">
        <v>2684</v>
      </c>
      <c r="B373" s="2" t="s">
        <v>271</v>
      </c>
      <c r="C373" s="2">
        <v>731</v>
      </c>
      <c r="D373" s="2" t="s">
        <v>2911</v>
      </c>
      <c r="E373" s="2" t="s">
        <v>2680</v>
      </c>
      <c r="F373" s="2" t="s">
        <v>2681</v>
      </c>
      <c r="G373" s="2" t="s">
        <v>20</v>
      </c>
      <c r="H373" s="2" t="s">
        <v>22</v>
      </c>
      <c r="I373" s="2">
        <v>0</v>
      </c>
    </row>
    <row r="374" spans="1:9" x14ac:dyDescent="0.25">
      <c r="A374" s="4" t="s">
        <v>2684</v>
      </c>
      <c r="B374" s="2" t="s">
        <v>271</v>
      </c>
      <c r="C374" s="2">
        <v>752</v>
      </c>
      <c r="D374" s="2" t="s">
        <v>3000</v>
      </c>
      <c r="E374" s="2" t="s">
        <v>2680</v>
      </c>
      <c r="F374" s="2" t="s">
        <v>2681</v>
      </c>
      <c r="G374" s="2" t="s">
        <v>20</v>
      </c>
      <c r="H374" s="2" t="s">
        <v>22</v>
      </c>
      <c r="I374" s="2">
        <v>0</v>
      </c>
    </row>
    <row r="375" spans="1:9" x14ac:dyDescent="0.25">
      <c r="A375" s="4" t="s">
        <v>2684</v>
      </c>
      <c r="B375" s="2" t="s">
        <v>271</v>
      </c>
      <c r="C375" s="2">
        <v>758</v>
      </c>
      <c r="D375" s="2" t="s">
        <v>3024</v>
      </c>
      <c r="E375" s="2" t="s">
        <v>2680</v>
      </c>
      <c r="F375" s="2" t="s">
        <v>2681</v>
      </c>
      <c r="G375" s="2" t="s">
        <v>20</v>
      </c>
      <c r="H375" s="2" t="s">
        <v>22</v>
      </c>
      <c r="I375" s="2">
        <v>0</v>
      </c>
    </row>
    <row r="376" spans="1:9" x14ac:dyDescent="0.25">
      <c r="A376" s="4" t="s">
        <v>2684</v>
      </c>
      <c r="B376" s="2" t="s">
        <v>271</v>
      </c>
      <c r="C376" s="2">
        <v>771</v>
      </c>
      <c r="D376" s="2" t="s">
        <v>3077</v>
      </c>
      <c r="E376" s="2" t="s">
        <v>2680</v>
      </c>
      <c r="F376" s="2" t="s">
        <v>2681</v>
      </c>
      <c r="G376" s="2" t="s">
        <v>20</v>
      </c>
      <c r="H376" s="2" t="s">
        <v>22</v>
      </c>
      <c r="I376" s="2">
        <v>0</v>
      </c>
    </row>
    <row r="377" spans="1:9" x14ac:dyDescent="0.25">
      <c r="A377" s="4" t="s">
        <v>2684</v>
      </c>
      <c r="B377" s="2" t="s">
        <v>271</v>
      </c>
      <c r="C377" s="2">
        <v>765</v>
      </c>
      <c r="D377" s="2" t="s">
        <v>3051</v>
      </c>
      <c r="E377" s="2" t="s">
        <v>2680</v>
      </c>
      <c r="F377" s="2" t="s">
        <v>3052</v>
      </c>
      <c r="G377" s="2" t="s">
        <v>1985</v>
      </c>
      <c r="H377" s="2" t="s">
        <v>1986</v>
      </c>
      <c r="I377" s="2">
        <v>0</v>
      </c>
    </row>
    <row r="378" spans="1:9" x14ac:dyDescent="0.25">
      <c r="A378" s="4" t="s">
        <v>2684</v>
      </c>
      <c r="B378" s="2" t="s">
        <v>271</v>
      </c>
      <c r="C378" s="2">
        <v>745</v>
      </c>
      <c r="D378" s="2" t="s">
        <v>2973</v>
      </c>
      <c r="E378" s="2" t="s">
        <v>2680</v>
      </c>
      <c r="F378" s="2" t="s">
        <v>2974</v>
      </c>
      <c r="G378" s="2" t="s">
        <v>1985</v>
      </c>
      <c r="H378" s="2" t="s">
        <v>1986</v>
      </c>
      <c r="I378" s="2">
        <v>0</v>
      </c>
    </row>
    <row r="379" spans="1:9" x14ac:dyDescent="0.25">
      <c r="A379" s="4" t="s">
        <v>2684</v>
      </c>
      <c r="B379" s="2" t="s">
        <v>271</v>
      </c>
      <c r="C379" s="2">
        <v>759</v>
      </c>
      <c r="D379" s="2" t="s">
        <v>3027</v>
      </c>
      <c r="E379" s="2" t="s">
        <v>2680</v>
      </c>
      <c r="F379" s="2" t="s">
        <v>2974</v>
      </c>
      <c r="G379" s="2" t="s">
        <v>1985</v>
      </c>
      <c r="H379" s="2" t="s">
        <v>1986</v>
      </c>
      <c r="I379" s="2">
        <v>0</v>
      </c>
    </row>
    <row r="380" spans="1:9" x14ac:dyDescent="0.25">
      <c r="A380" s="4" t="s">
        <v>2684</v>
      </c>
      <c r="B380" s="2" t="s">
        <v>271</v>
      </c>
      <c r="C380" s="2">
        <v>740</v>
      </c>
      <c r="D380" s="2" t="s">
        <v>2950</v>
      </c>
      <c r="E380" s="2" t="s">
        <v>2680</v>
      </c>
      <c r="F380" s="2" t="s">
        <v>2951</v>
      </c>
      <c r="G380" s="2" t="s">
        <v>1969</v>
      </c>
      <c r="H380" s="2" t="s">
        <v>97</v>
      </c>
      <c r="I380" s="2">
        <v>0</v>
      </c>
    </row>
    <row r="381" spans="1:9" x14ac:dyDescent="0.25">
      <c r="A381" s="4" t="s">
        <v>2684</v>
      </c>
      <c r="B381" s="2" t="s">
        <v>271</v>
      </c>
      <c r="C381" s="2">
        <v>679</v>
      </c>
      <c r="D381" s="2" t="s">
        <v>2692</v>
      </c>
      <c r="E381" s="2" t="s">
        <v>2680</v>
      </c>
      <c r="F381" s="2" t="s">
        <v>2693</v>
      </c>
      <c r="G381" s="2" t="s">
        <v>1969</v>
      </c>
      <c r="H381" s="2" t="s">
        <v>97</v>
      </c>
      <c r="I381" s="2">
        <v>0</v>
      </c>
    </row>
    <row r="382" spans="1:9" x14ac:dyDescent="0.25">
      <c r="A382" s="4" t="s">
        <v>2684</v>
      </c>
      <c r="B382" s="2" t="s">
        <v>271</v>
      </c>
      <c r="C382" s="2">
        <v>774</v>
      </c>
      <c r="D382" s="2" t="s">
        <v>3089</v>
      </c>
      <c r="E382" s="2" t="s">
        <v>2680</v>
      </c>
      <c r="F382" s="2" t="s">
        <v>3090</v>
      </c>
      <c r="G382" s="2" t="s">
        <v>1969</v>
      </c>
      <c r="H382" s="2" t="s">
        <v>97</v>
      </c>
      <c r="I382" s="2">
        <v>0</v>
      </c>
    </row>
    <row r="383" spans="1:9" x14ac:dyDescent="0.25">
      <c r="A383" s="4" t="s">
        <v>2684</v>
      </c>
      <c r="B383" s="2" t="s">
        <v>271</v>
      </c>
      <c r="C383" s="2">
        <v>770</v>
      </c>
      <c r="D383" s="2" t="s">
        <v>3072</v>
      </c>
      <c r="E383" s="2" t="s">
        <v>2680</v>
      </c>
      <c r="F383" s="2" t="s">
        <v>3073</v>
      </c>
      <c r="G383" s="2" t="s">
        <v>1969</v>
      </c>
      <c r="H383" s="2" t="s">
        <v>97</v>
      </c>
      <c r="I383" s="2">
        <v>0</v>
      </c>
    </row>
    <row r="384" spans="1:9" x14ac:dyDescent="0.25">
      <c r="A384" s="4" t="s">
        <v>2684</v>
      </c>
      <c r="B384" s="2" t="s">
        <v>271</v>
      </c>
      <c r="C384" s="2">
        <v>769</v>
      </c>
      <c r="D384" s="2" t="s">
        <v>3067</v>
      </c>
      <c r="E384" s="2" t="s">
        <v>2680</v>
      </c>
      <c r="F384" s="2" t="s">
        <v>3068</v>
      </c>
      <c r="G384" s="2" t="s">
        <v>1969</v>
      </c>
      <c r="H384" s="2" t="s">
        <v>97</v>
      </c>
      <c r="I384" s="2">
        <v>0</v>
      </c>
    </row>
    <row r="385" spans="1:9" x14ac:dyDescent="0.25">
      <c r="A385" s="4" t="s">
        <v>2684</v>
      </c>
      <c r="B385" s="2" t="s">
        <v>96</v>
      </c>
      <c r="C385" s="2">
        <v>768</v>
      </c>
      <c r="D385" s="2" t="s">
        <v>3063</v>
      </c>
      <c r="E385" s="2" t="s">
        <v>2680</v>
      </c>
      <c r="F385" s="2" t="s">
        <v>3064</v>
      </c>
      <c r="G385" s="2" t="s">
        <v>1969</v>
      </c>
      <c r="H385" s="2" t="s">
        <v>97</v>
      </c>
      <c r="I385" s="2">
        <v>0</v>
      </c>
    </row>
    <row r="386" spans="1:9" x14ac:dyDescent="0.25">
      <c r="A386" s="4" t="s">
        <v>2684</v>
      </c>
      <c r="B386" s="2" t="s">
        <v>96</v>
      </c>
      <c r="C386" s="2">
        <v>702</v>
      </c>
      <c r="D386" s="2" t="s">
        <v>2790</v>
      </c>
      <c r="E386" s="2" t="s">
        <v>2680</v>
      </c>
      <c r="F386" s="2" t="s">
        <v>2791</v>
      </c>
      <c r="G386" s="2" t="s">
        <v>1969</v>
      </c>
      <c r="H386" s="2" t="s">
        <v>97</v>
      </c>
      <c r="I386" s="2">
        <v>0</v>
      </c>
    </row>
    <row r="387" spans="1:9" x14ac:dyDescent="0.25">
      <c r="A387" s="4" t="s">
        <v>2684</v>
      </c>
      <c r="B387" s="2" t="s">
        <v>96</v>
      </c>
      <c r="C387" s="2">
        <v>748</v>
      </c>
      <c r="D387" s="2" t="s">
        <v>2985</v>
      </c>
      <c r="E387" s="2" t="s">
        <v>2680</v>
      </c>
      <c r="F387" s="2" t="s">
        <v>2791</v>
      </c>
      <c r="G387" s="2" t="s">
        <v>1969</v>
      </c>
      <c r="H387" s="2" t="s">
        <v>97</v>
      </c>
      <c r="I387" s="2">
        <v>0</v>
      </c>
    </row>
    <row r="388" spans="1:9" x14ac:dyDescent="0.25">
      <c r="A388" s="4" t="s">
        <v>2684</v>
      </c>
      <c r="B388" s="2" t="s">
        <v>96</v>
      </c>
      <c r="C388" s="2">
        <v>689</v>
      </c>
      <c r="D388" s="2" t="s">
        <v>2734</v>
      </c>
      <c r="E388" s="2" t="s">
        <v>2680</v>
      </c>
      <c r="F388" s="2" t="s">
        <v>2735</v>
      </c>
      <c r="G388" s="2" t="s">
        <v>1969</v>
      </c>
      <c r="H388" s="2" t="s">
        <v>97</v>
      </c>
      <c r="I388" s="2">
        <v>0</v>
      </c>
    </row>
    <row r="389" spans="1:9" x14ac:dyDescent="0.25">
      <c r="A389" s="4" t="s">
        <v>2684</v>
      </c>
      <c r="B389" s="2" t="s">
        <v>96</v>
      </c>
      <c r="C389" s="2">
        <v>733</v>
      </c>
      <c r="D389" s="2" t="s">
        <v>2920</v>
      </c>
      <c r="E389" s="2" t="s">
        <v>2680</v>
      </c>
      <c r="F389" s="2" t="s">
        <v>2921</v>
      </c>
      <c r="G389" s="2" t="s">
        <v>1969</v>
      </c>
      <c r="H389" s="2" t="s">
        <v>97</v>
      </c>
      <c r="I389" s="2">
        <v>0</v>
      </c>
    </row>
    <row r="390" spans="1:9" x14ac:dyDescent="0.25">
      <c r="A390" s="4" t="s">
        <v>2684</v>
      </c>
      <c r="B390" s="2" t="s">
        <v>96</v>
      </c>
      <c r="C390" s="2">
        <v>753</v>
      </c>
      <c r="D390" s="2" t="s">
        <v>3004</v>
      </c>
      <c r="E390" s="2" t="s">
        <v>2680</v>
      </c>
      <c r="F390" s="2" t="s">
        <v>3005</v>
      </c>
      <c r="G390" s="2" t="s">
        <v>1969</v>
      </c>
      <c r="H390" s="2" t="s">
        <v>97</v>
      </c>
      <c r="I390" s="2">
        <v>0</v>
      </c>
    </row>
    <row r="391" spans="1:9" x14ac:dyDescent="0.25">
      <c r="A391" s="4" t="s">
        <v>2684</v>
      </c>
      <c r="B391" s="2" t="s">
        <v>96</v>
      </c>
      <c r="C391" s="2">
        <v>764</v>
      </c>
      <c r="D391" s="2" t="s">
        <v>3047</v>
      </c>
      <c r="E391" s="2" t="s">
        <v>2680</v>
      </c>
      <c r="F391" s="2" t="s">
        <v>3048</v>
      </c>
      <c r="G391" s="2" t="s">
        <v>1969</v>
      </c>
      <c r="H391" s="2" t="s">
        <v>97</v>
      </c>
      <c r="I391" s="2">
        <v>0</v>
      </c>
    </row>
    <row r="392" spans="1:9" x14ac:dyDescent="0.25">
      <c r="A392" s="4" t="s">
        <v>2684</v>
      </c>
      <c r="B392" s="2" t="s">
        <v>96</v>
      </c>
      <c r="C392" s="2">
        <v>712</v>
      </c>
      <c r="D392" s="2" t="s">
        <v>2833</v>
      </c>
      <c r="E392" s="2" t="s">
        <v>2680</v>
      </c>
      <c r="F392" s="2" t="s">
        <v>2834</v>
      </c>
      <c r="G392" s="2" t="s">
        <v>1969</v>
      </c>
      <c r="H392" s="2" t="s">
        <v>97</v>
      </c>
      <c r="I392" s="2">
        <v>0</v>
      </c>
    </row>
    <row r="393" spans="1:9" x14ac:dyDescent="0.25">
      <c r="A393" s="4" t="s">
        <v>2684</v>
      </c>
      <c r="B393" s="2" t="s">
        <v>96</v>
      </c>
      <c r="C393" s="2">
        <v>687</v>
      </c>
      <c r="D393" s="2" t="s">
        <v>2724</v>
      </c>
      <c r="E393" s="2" t="s">
        <v>2680</v>
      </c>
      <c r="F393" s="2" t="s">
        <v>2725</v>
      </c>
      <c r="G393" s="2" t="s">
        <v>1969</v>
      </c>
      <c r="H393" s="2" t="s">
        <v>97</v>
      </c>
      <c r="I393" s="2">
        <v>0</v>
      </c>
    </row>
    <row r="394" spans="1:9" x14ac:dyDescent="0.25">
      <c r="A394" s="4" t="s">
        <v>2684</v>
      </c>
      <c r="B394" s="2" t="s">
        <v>96</v>
      </c>
      <c r="C394" s="2">
        <v>760</v>
      </c>
      <c r="D394" s="2" t="s">
        <v>3031</v>
      </c>
      <c r="E394" s="2" t="s">
        <v>2680</v>
      </c>
      <c r="F394" s="2" t="s">
        <v>3032</v>
      </c>
      <c r="G394" s="2" t="s">
        <v>1969</v>
      </c>
      <c r="H394" s="2" t="s">
        <v>97</v>
      </c>
      <c r="I394" s="2">
        <v>0</v>
      </c>
    </row>
    <row r="395" spans="1:9" x14ac:dyDescent="0.25">
      <c r="A395" s="4" t="s">
        <v>2684</v>
      </c>
      <c r="B395" s="2" t="s">
        <v>96</v>
      </c>
      <c r="C395" s="2">
        <v>738</v>
      </c>
      <c r="D395" s="2" t="s">
        <v>2942</v>
      </c>
      <c r="E395" s="2" t="s">
        <v>2680</v>
      </c>
      <c r="F395" s="2" t="s">
        <v>2943</v>
      </c>
      <c r="G395" s="2" t="s">
        <v>1969</v>
      </c>
      <c r="H395" s="2" t="s">
        <v>97</v>
      </c>
      <c r="I395" s="2">
        <v>0</v>
      </c>
    </row>
    <row r="396" spans="1:9" x14ac:dyDescent="0.25">
      <c r="A396" s="4" t="s">
        <v>2684</v>
      </c>
      <c r="B396" s="2" t="s">
        <v>96</v>
      </c>
      <c r="C396" s="2">
        <v>741</v>
      </c>
      <c r="D396" s="2" t="s">
        <v>2954</v>
      </c>
      <c r="E396" s="2" t="s">
        <v>2680</v>
      </c>
      <c r="F396" s="2" t="s">
        <v>2955</v>
      </c>
      <c r="G396" s="2" t="s">
        <v>1969</v>
      </c>
      <c r="H396" s="2" t="s">
        <v>97</v>
      </c>
      <c r="I396" s="2">
        <v>0</v>
      </c>
    </row>
    <row r="397" spans="1:9" x14ac:dyDescent="0.25">
      <c r="A397" s="4" t="s">
        <v>2684</v>
      </c>
      <c r="B397" s="2" t="s">
        <v>96</v>
      </c>
      <c r="C397" s="2">
        <v>737</v>
      </c>
      <c r="D397" s="2" t="s">
        <v>2937</v>
      </c>
      <c r="E397" s="2" t="s">
        <v>2680</v>
      </c>
      <c r="F397" s="2" t="s">
        <v>2938</v>
      </c>
      <c r="G397" s="2" t="s">
        <v>1969</v>
      </c>
      <c r="H397" s="2" t="s">
        <v>97</v>
      </c>
      <c r="I397" s="2">
        <v>0</v>
      </c>
    </row>
    <row r="398" spans="1:9" x14ac:dyDescent="0.25">
      <c r="A398" s="4" t="s">
        <v>2684</v>
      </c>
      <c r="B398" s="2" t="s">
        <v>96</v>
      </c>
      <c r="C398" s="2">
        <v>750</v>
      </c>
      <c r="D398" s="2" t="s">
        <v>2992</v>
      </c>
      <c r="E398" s="2" t="s">
        <v>2680</v>
      </c>
      <c r="F398" s="2" t="s">
        <v>2993</v>
      </c>
      <c r="G398" s="2" t="s">
        <v>1969</v>
      </c>
      <c r="H398" s="2" t="s">
        <v>97</v>
      </c>
      <c r="I398" s="2">
        <v>0</v>
      </c>
    </row>
    <row r="399" spans="1:9" x14ac:dyDescent="0.25">
      <c r="A399" s="4" t="s">
        <v>2684</v>
      </c>
      <c r="B399" s="2" t="s">
        <v>96</v>
      </c>
      <c r="C399" s="2">
        <v>703</v>
      </c>
      <c r="D399" s="2" t="s">
        <v>2795</v>
      </c>
      <c r="E399" s="2" t="s">
        <v>2680</v>
      </c>
      <c r="F399" s="2" t="s">
        <v>2796</v>
      </c>
      <c r="G399" s="2" t="s">
        <v>1969</v>
      </c>
      <c r="H399" s="2" t="s">
        <v>97</v>
      </c>
      <c r="I399" s="2">
        <v>0</v>
      </c>
    </row>
    <row r="400" spans="1:9" x14ac:dyDescent="0.25">
      <c r="A400" s="4" t="s">
        <v>2684</v>
      </c>
      <c r="B400" s="2" t="s">
        <v>96</v>
      </c>
      <c r="C400" s="2">
        <v>695</v>
      </c>
      <c r="D400" s="2" t="s">
        <v>2761</v>
      </c>
      <c r="E400" s="2" t="s">
        <v>2680</v>
      </c>
      <c r="F400" s="2" t="s">
        <v>2762</v>
      </c>
      <c r="G400" s="2" t="s">
        <v>1969</v>
      </c>
      <c r="H400" s="2" t="s">
        <v>97</v>
      </c>
      <c r="I400" s="2">
        <v>0</v>
      </c>
    </row>
    <row r="401" spans="1:9" x14ac:dyDescent="0.25">
      <c r="A401" s="4" t="s">
        <v>2684</v>
      </c>
      <c r="B401" s="2" t="s">
        <v>96</v>
      </c>
      <c r="C401" s="2">
        <v>756</v>
      </c>
      <c r="D401" s="2" t="s">
        <v>3016</v>
      </c>
      <c r="E401" s="2" t="s">
        <v>2680</v>
      </c>
      <c r="F401" s="2" t="s">
        <v>3017</v>
      </c>
      <c r="G401" s="2" t="s">
        <v>1969</v>
      </c>
      <c r="H401" s="2" t="s">
        <v>97</v>
      </c>
      <c r="I401" s="2">
        <v>0</v>
      </c>
    </row>
    <row r="402" spans="1:9" x14ac:dyDescent="0.25">
      <c r="A402" s="4" t="s">
        <v>2684</v>
      </c>
      <c r="B402" s="2" t="s">
        <v>96</v>
      </c>
      <c r="C402" s="2">
        <v>693</v>
      </c>
      <c r="D402" s="2" t="s">
        <v>2752</v>
      </c>
      <c r="E402" s="2" t="s">
        <v>2680</v>
      </c>
      <c r="F402" s="2" t="s">
        <v>2753</v>
      </c>
      <c r="G402" s="2" t="s">
        <v>1969</v>
      </c>
      <c r="H402" s="2" t="s">
        <v>97</v>
      </c>
      <c r="I402" s="2">
        <v>0</v>
      </c>
    </row>
    <row r="403" spans="1:9" x14ac:dyDescent="0.25">
      <c r="A403" s="4" t="s">
        <v>3123</v>
      </c>
      <c r="B403" s="2" t="s">
        <v>21</v>
      </c>
      <c r="C403" s="2">
        <v>781</v>
      </c>
      <c r="D403" s="2" t="s">
        <v>3117</v>
      </c>
      <c r="E403" s="2" t="s">
        <v>3119</v>
      </c>
      <c r="F403" s="2" t="s">
        <v>3120</v>
      </c>
      <c r="G403" s="2" t="s">
        <v>20</v>
      </c>
      <c r="H403" s="2" t="s">
        <v>22</v>
      </c>
      <c r="I403" s="2">
        <v>1083</v>
      </c>
    </row>
    <row r="404" spans="1:9" x14ac:dyDescent="0.25">
      <c r="A404" s="4" t="s">
        <v>3123</v>
      </c>
      <c r="B404" s="2" t="s">
        <v>21</v>
      </c>
      <c r="C404" s="2">
        <v>785</v>
      </c>
      <c r="D404" s="2" t="s">
        <v>3139</v>
      </c>
      <c r="E404" s="2" t="s">
        <v>3119</v>
      </c>
      <c r="F404" s="2" t="s">
        <v>3120</v>
      </c>
      <c r="G404" s="2" t="s">
        <v>20</v>
      </c>
      <c r="H404" s="2" t="s">
        <v>22</v>
      </c>
      <c r="I404" s="2">
        <v>1083</v>
      </c>
    </row>
    <row r="405" spans="1:9" x14ac:dyDescent="0.25">
      <c r="A405" s="4" t="s">
        <v>3123</v>
      </c>
      <c r="B405" s="2" t="s">
        <v>21</v>
      </c>
      <c r="C405" s="2">
        <v>794</v>
      </c>
      <c r="D405" s="2" t="s">
        <v>3180</v>
      </c>
      <c r="E405" s="2" t="s">
        <v>3119</v>
      </c>
      <c r="F405" s="2" t="s">
        <v>3120</v>
      </c>
      <c r="G405" s="2" t="s">
        <v>20</v>
      </c>
      <c r="H405" s="2" t="s">
        <v>22</v>
      </c>
      <c r="I405" s="2">
        <v>1083</v>
      </c>
    </row>
    <row r="406" spans="1:9" x14ac:dyDescent="0.25">
      <c r="A406" s="4" t="s">
        <v>3123</v>
      </c>
      <c r="B406" s="2" t="s">
        <v>21</v>
      </c>
      <c r="C406" s="2">
        <v>796</v>
      </c>
      <c r="D406" s="2" t="s">
        <v>3189</v>
      </c>
      <c r="E406" s="2" t="s">
        <v>3119</v>
      </c>
      <c r="F406" s="2" t="s">
        <v>3120</v>
      </c>
      <c r="G406" s="2" t="s">
        <v>20</v>
      </c>
      <c r="H406" s="2" t="s">
        <v>22</v>
      </c>
      <c r="I406" s="2">
        <v>1083</v>
      </c>
    </row>
    <row r="407" spans="1:9" x14ac:dyDescent="0.25">
      <c r="A407" s="4" t="s">
        <v>3123</v>
      </c>
      <c r="B407" s="2" t="s">
        <v>21</v>
      </c>
      <c r="C407" s="2">
        <v>801</v>
      </c>
      <c r="D407" s="2" t="s">
        <v>3208</v>
      </c>
      <c r="E407" s="2" t="s">
        <v>3119</v>
      </c>
      <c r="F407" s="2" t="s">
        <v>3120</v>
      </c>
      <c r="G407" s="2" t="s">
        <v>20</v>
      </c>
      <c r="H407" s="2" t="s">
        <v>22</v>
      </c>
      <c r="I407" s="2">
        <v>1083</v>
      </c>
    </row>
    <row r="408" spans="1:9" x14ac:dyDescent="0.25">
      <c r="A408" s="4" t="s">
        <v>3123</v>
      </c>
      <c r="B408" s="2" t="s">
        <v>21</v>
      </c>
      <c r="C408" s="2">
        <v>810</v>
      </c>
      <c r="D408" s="2" t="s">
        <v>3247</v>
      </c>
      <c r="E408" s="2" t="s">
        <v>3119</v>
      </c>
      <c r="F408" s="2" t="s">
        <v>3120</v>
      </c>
      <c r="G408" s="2" t="s">
        <v>20</v>
      </c>
      <c r="H408" s="2" t="s">
        <v>22</v>
      </c>
      <c r="I408" s="2">
        <v>1083</v>
      </c>
    </row>
    <row r="409" spans="1:9" x14ac:dyDescent="0.25">
      <c r="A409" s="4" t="s">
        <v>3123</v>
      </c>
      <c r="B409" s="2" t="s">
        <v>21</v>
      </c>
      <c r="C409" s="2">
        <v>811</v>
      </c>
      <c r="D409" s="2" t="s">
        <v>3251</v>
      </c>
      <c r="E409" s="2" t="s">
        <v>3119</v>
      </c>
      <c r="F409" s="2" t="s">
        <v>3120</v>
      </c>
      <c r="G409" s="2" t="s">
        <v>20</v>
      </c>
      <c r="H409" s="2" t="s">
        <v>22</v>
      </c>
      <c r="I409" s="2">
        <v>1083</v>
      </c>
    </row>
    <row r="410" spans="1:9" x14ac:dyDescent="0.25">
      <c r="A410" s="4" t="s">
        <v>3123</v>
      </c>
      <c r="B410" s="2" t="s">
        <v>21</v>
      </c>
      <c r="C410" s="2">
        <v>812</v>
      </c>
      <c r="D410" s="2" t="s">
        <v>3255</v>
      </c>
      <c r="E410" s="2" t="s">
        <v>3119</v>
      </c>
      <c r="F410" s="2" t="s">
        <v>3120</v>
      </c>
      <c r="G410" s="2" t="s">
        <v>20</v>
      </c>
      <c r="H410" s="2" t="s">
        <v>22</v>
      </c>
      <c r="I410" s="2">
        <v>1083</v>
      </c>
    </row>
    <row r="411" spans="1:9" x14ac:dyDescent="0.25">
      <c r="A411" s="4" t="s">
        <v>3123</v>
      </c>
      <c r="B411" s="2" t="s">
        <v>21</v>
      </c>
      <c r="C411" s="2">
        <v>814</v>
      </c>
      <c r="D411" s="2" t="s">
        <v>3264</v>
      </c>
      <c r="E411" s="2" t="s">
        <v>3119</v>
      </c>
      <c r="F411" s="2" t="s">
        <v>3120</v>
      </c>
      <c r="G411" s="2" t="s">
        <v>20</v>
      </c>
      <c r="H411" s="2" t="s">
        <v>22</v>
      </c>
      <c r="I411" s="2">
        <v>1083</v>
      </c>
    </row>
    <row r="412" spans="1:9" x14ac:dyDescent="0.25">
      <c r="A412" s="4" t="s">
        <v>3123</v>
      </c>
      <c r="B412" s="2" t="s">
        <v>21</v>
      </c>
      <c r="C412" s="2">
        <v>782</v>
      </c>
      <c r="D412" s="2" t="s">
        <v>3125</v>
      </c>
      <c r="E412" s="2" t="s">
        <v>3119</v>
      </c>
      <c r="F412" s="2" t="s">
        <v>3126</v>
      </c>
      <c r="G412" s="2" t="s">
        <v>20</v>
      </c>
      <c r="H412" s="2" t="s">
        <v>22</v>
      </c>
      <c r="I412" s="2">
        <v>1083</v>
      </c>
    </row>
    <row r="413" spans="1:9" x14ac:dyDescent="0.25">
      <c r="A413" s="4" t="s">
        <v>3123</v>
      </c>
      <c r="B413" s="2" t="s">
        <v>21</v>
      </c>
      <c r="C413" s="2">
        <v>819</v>
      </c>
      <c r="D413" s="2" t="s">
        <v>3285</v>
      </c>
      <c r="E413" s="2" t="s">
        <v>3281</v>
      </c>
      <c r="F413" s="2" t="s">
        <v>3286</v>
      </c>
      <c r="G413" s="2" t="s">
        <v>20</v>
      </c>
      <c r="H413" s="2" t="s">
        <v>22</v>
      </c>
      <c r="I413" s="2">
        <v>1544</v>
      </c>
    </row>
    <row r="414" spans="1:9" x14ac:dyDescent="0.25">
      <c r="A414" s="4" t="s">
        <v>3123</v>
      </c>
      <c r="B414" s="2" t="s">
        <v>21</v>
      </c>
      <c r="C414" s="2">
        <v>822</v>
      </c>
      <c r="D414" s="2" t="s">
        <v>3298</v>
      </c>
      <c r="E414" s="2" t="s">
        <v>3281</v>
      </c>
      <c r="F414" s="2" t="s">
        <v>3286</v>
      </c>
      <c r="G414" s="2" t="s">
        <v>20</v>
      </c>
      <c r="H414" s="2" t="s">
        <v>22</v>
      </c>
      <c r="I414" s="2">
        <v>1544</v>
      </c>
    </row>
    <row r="415" spans="1:9" x14ac:dyDescent="0.25">
      <c r="A415" s="4" t="s">
        <v>3123</v>
      </c>
      <c r="B415" s="2" t="s">
        <v>21</v>
      </c>
      <c r="C415" s="2">
        <v>823</v>
      </c>
      <c r="D415" s="2" t="s">
        <v>3302</v>
      </c>
      <c r="E415" s="2" t="s">
        <v>3281</v>
      </c>
      <c r="F415" s="2" t="s">
        <v>3286</v>
      </c>
      <c r="G415" s="2" t="s">
        <v>20</v>
      </c>
      <c r="H415" s="2" t="s">
        <v>22</v>
      </c>
      <c r="I415" s="2">
        <v>1544</v>
      </c>
    </row>
    <row r="416" spans="1:9" x14ac:dyDescent="0.25">
      <c r="A416" s="4" t="s">
        <v>3123</v>
      </c>
      <c r="B416" s="2" t="s">
        <v>21</v>
      </c>
      <c r="C416" s="2">
        <v>826</v>
      </c>
      <c r="D416" s="2" t="s">
        <v>3314</v>
      </c>
      <c r="E416" s="2" t="s">
        <v>3281</v>
      </c>
      <c r="F416" s="2" t="s">
        <v>3286</v>
      </c>
      <c r="G416" s="2" t="s">
        <v>20</v>
      </c>
      <c r="H416" s="2" t="s">
        <v>22</v>
      </c>
      <c r="I416" s="2">
        <v>1544</v>
      </c>
    </row>
    <row r="417" spans="1:9" x14ac:dyDescent="0.25">
      <c r="A417" s="4" t="s">
        <v>3123</v>
      </c>
      <c r="B417" s="2" t="s">
        <v>21</v>
      </c>
      <c r="C417" s="2">
        <v>832</v>
      </c>
      <c r="D417" s="2" t="s">
        <v>3337</v>
      </c>
      <c r="E417" s="2" t="s">
        <v>3281</v>
      </c>
      <c r="F417" s="2" t="s">
        <v>3286</v>
      </c>
      <c r="G417" s="2" t="s">
        <v>20</v>
      </c>
      <c r="H417" s="2" t="s">
        <v>22</v>
      </c>
      <c r="I417" s="2">
        <v>1544</v>
      </c>
    </row>
    <row r="418" spans="1:9" x14ac:dyDescent="0.25">
      <c r="A418" s="4" t="s">
        <v>3123</v>
      </c>
      <c r="B418" s="2" t="s">
        <v>21</v>
      </c>
      <c r="C418" s="2">
        <v>842</v>
      </c>
      <c r="D418" s="2" t="s">
        <v>3378</v>
      </c>
      <c r="E418" s="2" t="s">
        <v>3281</v>
      </c>
      <c r="F418" s="2" t="s">
        <v>3286</v>
      </c>
      <c r="G418" s="2" t="s">
        <v>20</v>
      </c>
      <c r="H418" s="2" t="s">
        <v>22</v>
      </c>
      <c r="I418" s="2">
        <v>1544</v>
      </c>
    </row>
    <row r="419" spans="1:9" x14ac:dyDescent="0.25">
      <c r="A419" s="4" t="s">
        <v>3123</v>
      </c>
      <c r="B419" s="2" t="s">
        <v>21</v>
      </c>
      <c r="C419" s="2">
        <v>843</v>
      </c>
      <c r="D419" s="2" t="s">
        <v>3381</v>
      </c>
      <c r="E419" s="2" t="s">
        <v>3281</v>
      </c>
      <c r="F419" s="2" t="s">
        <v>3286</v>
      </c>
      <c r="G419" s="2" t="s">
        <v>20</v>
      </c>
      <c r="H419" s="2" t="s">
        <v>22</v>
      </c>
      <c r="I419" s="2">
        <v>1544</v>
      </c>
    </row>
    <row r="420" spans="1:9" x14ac:dyDescent="0.25">
      <c r="A420" s="4" t="s">
        <v>3123</v>
      </c>
      <c r="B420" s="2" t="s">
        <v>21</v>
      </c>
      <c r="C420" s="2">
        <v>803</v>
      </c>
      <c r="D420" s="2" t="s">
        <v>3216</v>
      </c>
      <c r="E420" s="2" t="s">
        <v>3119</v>
      </c>
      <c r="F420" s="2" t="s">
        <v>3217</v>
      </c>
      <c r="G420" s="2" t="s">
        <v>1985</v>
      </c>
      <c r="H420" s="2" t="s">
        <v>1986</v>
      </c>
      <c r="I420" s="2">
        <v>1083</v>
      </c>
    </row>
    <row r="421" spans="1:9" x14ac:dyDescent="0.25">
      <c r="A421" s="4" t="s">
        <v>3123</v>
      </c>
      <c r="B421" s="2" t="s">
        <v>21</v>
      </c>
      <c r="C421" s="2">
        <v>788</v>
      </c>
      <c r="D421" s="2" t="s">
        <v>3153</v>
      </c>
      <c r="E421" s="2" t="s">
        <v>3119</v>
      </c>
      <c r="F421" s="2" t="s">
        <v>3154</v>
      </c>
      <c r="G421" s="2" t="s">
        <v>1985</v>
      </c>
      <c r="H421" s="2" t="s">
        <v>1986</v>
      </c>
      <c r="I421" s="2">
        <v>1083</v>
      </c>
    </row>
    <row r="422" spans="1:9" x14ac:dyDescent="0.25">
      <c r="A422" s="4" t="s">
        <v>3123</v>
      </c>
      <c r="B422" s="2" t="s">
        <v>21</v>
      </c>
      <c r="C422" s="2">
        <v>821</v>
      </c>
      <c r="D422" s="2" t="s">
        <v>3294</v>
      </c>
      <c r="E422" s="2" t="s">
        <v>3281</v>
      </c>
      <c r="F422" s="2" t="s">
        <v>3295</v>
      </c>
      <c r="G422" s="2" t="s">
        <v>1985</v>
      </c>
      <c r="H422" s="2" t="s">
        <v>1986</v>
      </c>
      <c r="I422" s="2">
        <v>1544</v>
      </c>
    </row>
    <row r="423" spans="1:9" x14ac:dyDescent="0.25">
      <c r="A423" s="4" t="s">
        <v>3123</v>
      </c>
      <c r="B423" s="2" t="s">
        <v>21</v>
      </c>
      <c r="C423" s="2">
        <v>825</v>
      </c>
      <c r="D423" s="2" t="s">
        <v>3310</v>
      </c>
      <c r="E423" s="2" t="s">
        <v>3281</v>
      </c>
      <c r="F423" s="2" t="s">
        <v>3295</v>
      </c>
      <c r="G423" s="2" t="s">
        <v>1985</v>
      </c>
      <c r="H423" s="2" t="s">
        <v>1986</v>
      </c>
      <c r="I423" s="2">
        <v>1544</v>
      </c>
    </row>
    <row r="424" spans="1:9" x14ac:dyDescent="0.25">
      <c r="A424" s="4" t="s">
        <v>3123</v>
      </c>
      <c r="B424" s="2" t="s">
        <v>21</v>
      </c>
      <c r="C424" s="2">
        <v>827</v>
      </c>
      <c r="D424" s="2" t="s">
        <v>3317</v>
      </c>
      <c r="E424" s="2" t="s">
        <v>3281</v>
      </c>
      <c r="F424" s="2" t="s">
        <v>3295</v>
      </c>
      <c r="G424" s="2" t="s">
        <v>1985</v>
      </c>
      <c r="H424" s="2" t="s">
        <v>1986</v>
      </c>
      <c r="I424" s="2">
        <v>1544</v>
      </c>
    </row>
    <row r="425" spans="1:9" x14ac:dyDescent="0.25">
      <c r="A425" s="4" t="s">
        <v>3123</v>
      </c>
      <c r="B425" s="2" t="s">
        <v>21</v>
      </c>
      <c r="C425" s="2">
        <v>829</v>
      </c>
      <c r="D425" s="2" t="s">
        <v>3326</v>
      </c>
      <c r="E425" s="2" t="s">
        <v>3281</v>
      </c>
      <c r="F425" s="2" t="s">
        <v>3295</v>
      </c>
      <c r="G425" s="2" t="s">
        <v>1985</v>
      </c>
      <c r="H425" s="2" t="s">
        <v>1986</v>
      </c>
      <c r="I425" s="2">
        <v>1544</v>
      </c>
    </row>
    <row r="426" spans="1:9" x14ac:dyDescent="0.25">
      <c r="A426" s="4" t="s">
        <v>3123</v>
      </c>
      <c r="B426" s="2" t="s">
        <v>21</v>
      </c>
      <c r="C426" s="2">
        <v>831</v>
      </c>
      <c r="D426" s="2" t="s">
        <v>3333</v>
      </c>
      <c r="E426" s="2" t="s">
        <v>3281</v>
      </c>
      <c r="F426" s="2" t="s">
        <v>3295</v>
      </c>
      <c r="G426" s="2" t="s">
        <v>1985</v>
      </c>
      <c r="H426" s="2" t="s">
        <v>1986</v>
      </c>
      <c r="I426" s="2">
        <v>1544</v>
      </c>
    </row>
    <row r="427" spans="1:9" x14ac:dyDescent="0.25">
      <c r="A427" s="4" t="s">
        <v>3123</v>
      </c>
      <c r="B427" s="2" t="s">
        <v>21</v>
      </c>
      <c r="C427" s="2">
        <v>841</v>
      </c>
      <c r="D427" s="2" t="s">
        <v>3374</v>
      </c>
      <c r="E427" s="2" t="s">
        <v>3281</v>
      </c>
      <c r="F427" s="2" t="s">
        <v>3295</v>
      </c>
      <c r="G427" s="2" t="s">
        <v>1985</v>
      </c>
      <c r="H427" s="2" t="s">
        <v>1986</v>
      </c>
      <c r="I427" s="2">
        <v>1544</v>
      </c>
    </row>
    <row r="428" spans="1:9" x14ac:dyDescent="0.25">
      <c r="A428" s="4" t="s">
        <v>3123</v>
      </c>
      <c r="B428" s="2" t="s">
        <v>244</v>
      </c>
      <c r="C428" s="2">
        <v>845</v>
      </c>
      <c r="D428" s="2" t="s">
        <v>3389</v>
      </c>
      <c r="E428" s="2" t="s">
        <v>3281</v>
      </c>
      <c r="F428" s="2" t="s">
        <v>3295</v>
      </c>
      <c r="G428" s="2" t="s">
        <v>1985</v>
      </c>
      <c r="H428" s="2" t="s">
        <v>1986</v>
      </c>
      <c r="I428" s="2">
        <v>1544</v>
      </c>
    </row>
    <row r="429" spans="1:9" x14ac:dyDescent="0.25">
      <c r="A429" s="4" t="s">
        <v>3123</v>
      </c>
      <c r="B429" s="2" t="s">
        <v>244</v>
      </c>
      <c r="C429" s="2">
        <v>864</v>
      </c>
      <c r="D429" s="2" t="s">
        <v>3475</v>
      </c>
      <c r="E429" s="2" t="s">
        <v>3430</v>
      </c>
      <c r="F429" s="2" t="s">
        <v>3476</v>
      </c>
      <c r="G429" s="2" t="s">
        <v>1985</v>
      </c>
      <c r="H429" s="2" t="s">
        <v>1986</v>
      </c>
      <c r="I429" s="2">
        <v>1168</v>
      </c>
    </row>
    <row r="430" spans="1:9" x14ac:dyDescent="0.25">
      <c r="A430" s="4" t="s">
        <v>3123</v>
      </c>
      <c r="B430" s="2" t="s">
        <v>244</v>
      </c>
      <c r="C430" s="2">
        <v>867</v>
      </c>
      <c r="D430" s="2" t="s">
        <v>3486</v>
      </c>
      <c r="E430" s="2" t="s">
        <v>3430</v>
      </c>
      <c r="F430" s="2" t="s">
        <v>3476</v>
      </c>
      <c r="G430" s="2" t="s">
        <v>1985</v>
      </c>
      <c r="H430" s="2" t="s">
        <v>1986</v>
      </c>
      <c r="I430" s="2">
        <v>1168</v>
      </c>
    </row>
    <row r="431" spans="1:9" x14ac:dyDescent="0.25">
      <c r="A431" s="4" t="s">
        <v>3123</v>
      </c>
      <c r="B431" s="2" t="s">
        <v>244</v>
      </c>
      <c r="C431" s="2">
        <v>877</v>
      </c>
      <c r="D431" s="2" t="s">
        <v>3525</v>
      </c>
      <c r="E431" s="2" t="s">
        <v>3430</v>
      </c>
      <c r="F431" s="2" t="s">
        <v>3476</v>
      </c>
      <c r="G431" s="2" t="s">
        <v>1985</v>
      </c>
      <c r="H431" s="2" t="s">
        <v>1986</v>
      </c>
      <c r="I431" s="2">
        <v>1168</v>
      </c>
    </row>
    <row r="432" spans="1:9" x14ac:dyDescent="0.25">
      <c r="A432" s="4" t="s">
        <v>3123</v>
      </c>
      <c r="B432" s="2" t="s">
        <v>244</v>
      </c>
      <c r="C432" s="2">
        <v>787</v>
      </c>
      <c r="D432" s="2" t="s">
        <v>3148</v>
      </c>
      <c r="E432" s="2" t="s">
        <v>3119</v>
      </c>
      <c r="F432" s="2" t="s">
        <v>3149</v>
      </c>
      <c r="G432" s="2" t="s">
        <v>95</v>
      </c>
      <c r="H432" s="2" t="s">
        <v>97</v>
      </c>
      <c r="I432" s="2">
        <v>1083</v>
      </c>
    </row>
    <row r="433" spans="1:9" x14ac:dyDescent="0.25">
      <c r="A433" s="4" t="s">
        <v>3123</v>
      </c>
      <c r="B433" s="2" t="s">
        <v>244</v>
      </c>
      <c r="C433" s="2">
        <v>783</v>
      </c>
      <c r="D433" s="2" t="s">
        <v>3130</v>
      </c>
      <c r="E433" s="2" t="s">
        <v>3119</v>
      </c>
      <c r="F433" s="2" t="s">
        <v>3131</v>
      </c>
      <c r="G433" s="2" t="s">
        <v>95</v>
      </c>
      <c r="H433" s="2" t="s">
        <v>97</v>
      </c>
      <c r="I433" s="2">
        <v>1083</v>
      </c>
    </row>
    <row r="434" spans="1:9" x14ac:dyDescent="0.25">
      <c r="A434" s="4" t="s">
        <v>3123</v>
      </c>
      <c r="B434" s="2" t="s">
        <v>244</v>
      </c>
      <c r="C434" s="2">
        <v>806</v>
      </c>
      <c r="D434" s="2" t="s">
        <v>3229</v>
      </c>
      <c r="E434" s="2" t="s">
        <v>3119</v>
      </c>
      <c r="F434" s="2" t="s">
        <v>3230</v>
      </c>
      <c r="G434" s="2" t="s">
        <v>95</v>
      </c>
      <c r="H434" s="2" t="s">
        <v>97</v>
      </c>
      <c r="I434" s="2">
        <v>1083</v>
      </c>
    </row>
    <row r="435" spans="1:9" x14ac:dyDescent="0.25">
      <c r="A435" s="4" t="s">
        <v>3123</v>
      </c>
      <c r="B435" s="2" t="s">
        <v>244</v>
      </c>
      <c r="C435" s="2">
        <v>805</v>
      </c>
      <c r="D435" s="2" t="s">
        <v>3225</v>
      </c>
      <c r="E435" s="2" t="s">
        <v>3119</v>
      </c>
      <c r="F435" s="2" t="s">
        <v>3226</v>
      </c>
      <c r="G435" s="2" t="s">
        <v>95</v>
      </c>
      <c r="H435" s="2" t="s">
        <v>97</v>
      </c>
      <c r="I435" s="2">
        <v>1083</v>
      </c>
    </row>
    <row r="436" spans="1:9" x14ac:dyDescent="0.25">
      <c r="A436" s="4" t="s">
        <v>3123</v>
      </c>
      <c r="B436" s="2" t="s">
        <v>244</v>
      </c>
      <c r="C436" s="2">
        <v>789</v>
      </c>
      <c r="D436" s="2" t="s">
        <v>3157</v>
      </c>
      <c r="E436" s="2" t="s">
        <v>3119</v>
      </c>
      <c r="F436" s="2" t="s">
        <v>3158</v>
      </c>
      <c r="G436" s="2" t="s">
        <v>95</v>
      </c>
      <c r="H436" s="2" t="s">
        <v>97</v>
      </c>
      <c r="I436" s="2">
        <v>1083</v>
      </c>
    </row>
    <row r="437" spans="1:9" x14ac:dyDescent="0.25">
      <c r="A437" s="4" t="s">
        <v>3123</v>
      </c>
      <c r="B437" s="2" t="s">
        <v>244</v>
      </c>
      <c r="C437" s="2">
        <v>798</v>
      </c>
      <c r="D437" s="2" t="s">
        <v>3195</v>
      </c>
      <c r="E437" s="2" t="s">
        <v>3119</v>
      </c>
      <c r="F437" s="2" t="s">
        <v>3196</v>
      </c>
      <c r="G437" s="2" t="s">
        <v>95</v>
      </c>
      <c r="H437" s="2" t="s">
        <v>97</v>
      </c>
      <c r="I437" s="2">
        <v>1083</v>
      </c>
    </row>
    <row r="438" spans="1:9" x14ac:dyDescent="0.25">
      <c r="A438" s="4" t="s">
        <v>3123</v>
      </c>
      <c r="B438" s="2" t="s">
        <v>244</v>
      </c>
      <c r="C438" s="2">
        <v>793</v>
      </c>
      <c r="D438" s="2" t="s">
        <v>3176</v>
      </c>
      <c r="E438" s="2" t="s">
        <v>3119</v>
      </c>
      <c r="F438" s="2" t="s">
        <v>3177</v>
      </c>
      <c r="G438" s="2" t="s">
        <v>95</v>
      </c>
      <c r="H438" s="2" t="s">
        <v>97</v>
      </c>
      <c r="I438" s="2">
        <v>1083</v>
      </c>
    </row>
    <row r="439" spans="1:9" x14ac:dyDescent="0.25">
      <c r="A439" s="4" t="s">
        <v>3123</v>
      </c>
      <c r="B439" s="2" t="s">
        <v>244</v>
      </c>
      <c r="C439" s="2">
        <v>815</v>
      </c>
      <c r="D439" s="2" t="s">
        <v>3268</v>
      </c>
      <c r="E439" s="2" t="s">
        <v>3119</v>
      </c>
      <c r="F439" s="2" t="s">
        <v>3269</v>
      </c>
      <c r="G439" s="2" t="s">
        <v>95</v>
      </c>
      <c r="H439" s="2" t="s">
        <v>97</v>
      </c>
      <c r="I439" s="2">
        <v>1083</v>
      </c>
    </row>
    <row r="440" spans="1:9" x14ac:dyDescent="0.25">
      <c r="A440" s="4" t="s">
        <v>3123</v>
      </c>
      <c r="B440" s="2" t="s">
        <v>244</v>
      </c>
      <c r="C440" s="2">
        <v>784</v>
      </c>
      <c r="D440" s="2" t="s">
        <v>3135</v>
      </c>
      <c r="E440" s="2" t="s">
        <v>3119</v>
      </c>
      <c r="F440" s="2" t="s">
        <v>3136</v>
      </c>
      <c r="G440" s="2" t="s">
        <v>95</v>
      </c>
      <c r="H440" s="2" t="s">
        <v>97</v>
      </c>
      <c r="I440" s="2">
        <v>1083</v>
      </c>
    </row>
    <row r="441" spans="1:9" x14ac:dyDescent="0.25">
      <c r="A441" s="4" t="s">
        <v>3123</v>
      </c>
      <c r="B441" s="2" t="s">
        <v>244</v>
      </c>
      <c r="C441" s="2">
        <v>797</v>
      </c>
      <c r="D441" s="2" t="s">
        <v>3193</v>
      </c>
      <c r="E441" s="2" t="s">
        <v>3119</v>
      </c>
      <c r="F441" s="2" t="s">
        <v>3136</v>
      </c>
      <c r="G441" s="2" t="s">
        <v>95</v>
      </c>
      <c r="H441" s="2" t="s">
        <v>97</v>
      </c>
      <c r="I441" s="2">
        <v>1083</v>
      </c>
    </row>
    <row r="442" spans="1:9" x14ac:dyDescent="0.25">
      <c r="A442" s="4" t="s">
        <v>3123</v>
      </c>
      <c r="B442" s="2" t="s">
        <v>244</v>
      </c>
      <c r="C442" s="2">
        <v>817</v>
      </c>
      <c r="D442" s="2" t="s">
        <v>3276</v>
      </c>
      <c r="E442" s="2" t="s">
        <v>3119</v>
      </c>
      <c r="F442" s="2" t="s">
        <v>3277</v>
      </c>
      <c r="G442" s="2" t="s">
        <v>95</v>
      </c>
      <c r="H442" s="2" t="s">
        <v>97</v>
      </c>
      <c r="I442" s="2">
        <v>1083</v>
      </c>
    </row>
    <row r="443" spans="1:9" x14ac:dyDescent="0.25">
      <c r="A443" s="4" t="s">
        <v>3123</v>
      </c>
      <c r="B443" s="2" t="s">
        <v>244</v>
      </c>
      <c r="C443" s="2">
        <v>816</v>
      </c>
      <c r="D443" s="2" t="s">
        <v>3272</v>
      </c>
      <c r="E443" s="2" t="s">
        <v>3119</v>
      </c>
      <c r="F443" s="2" t="s">
        <v>3273</v>
      </c>
      <c r="G443" s="2" t="s">
        <v>95</v>
      </c>
      <c r="H443" s="2" t="s">
        <v>97</v>
      </c>
      <c r="I443" s="2">
        <v>1083</v>
      </c>
    </row>
    <row r="444" spans="1:9" x14ac:dyDescent="0.25">
      <c r="A444" s="4" t="s">
        <v>3123</v>
      </c>
      <c r="B444" s="2" t="s">
        <v>244</v>
      </c>
      <c r="C444" s="2">
        <v>807</v>
      </c>
      <c r="D444" s="2" t="s">
        <v>3234</v>
      </c>
      <c r="E444" s="2" t="s">
        <v>3119</v>
      </c>
      <c r="F444" s="2" t="s">
        <v>3235</v>
      </c>
      <c r="G444" s="2" t="s">
        <v>95</v>
      </c>
      <c r="H444" s="2" t="s">
        <v>97</v>
      </c>
      <c r="I444" s="2">
        <v>1083</v>
      </c>
    </row>
    <row r="445" spans="1:9" x14ac:dyDescent="0.25">
      <c r="A445" s="4" t="s">
        <v>3123</v>
      </c>
      <c r="B445" s="2" t="s">
        <v>244</v>
      </c>
      <c r="C445" s="2">
        <v>790</v>
      </c>
      <c r="D445" s="2" t="s">
        <v>3162</v>
      </c>
      <c r="E445" s="2" t="s">
        <v>3119</v>
      </c>
      <c r="F445" s="2" t="s">
        <v>3163</v>
      </c>
      <c r="G445" s="2" t="s">
        <v>95</v>
      </c>
      <c r="H445" s="2" t="s">
        <v>97</v>
      </c>
      <c r="I445" s="2">
        <v>1083</v>
      </c>
    </row>
    <row r="446" spans="1:9" x14ac:dyDescent="0.25">
      <c r="A446" s="4" t="s">
        <v>3123</v>
      </c>
      <c r="B446" s="2" t="s">
        <v>244</v>
      </c>
      <c r="C446" s="2">
        <v>792</v>
      </c>
      <c r="D446" s="2" t="s">
        <v>3171</v>
      </c>
      <c r="E446" s="2" t="s">
        <v>3119</v>
      </c>
      <c r="F446" s="2" t="s">
        <v>3172</v>
      </c>
      <c r="G446" s="2" t="s">
        <v>95</v>
      </c>
      <c r="H446" s="2" t="s">
        <v>97</v>
      </c>
      <c r="I446" s="2">
        <v>1083</v>
      </c>
    </row>
    <row r="447" spans="1:9" x14ac:dyDescent="0.25">
      <c r="A447" s="4" t="s">
        <v>3123</v>
      </c>
      <c r="B447" s="2" t="s">
        <v>244</v>
      </c>
      <c r="C447" s="2">
        <v>795</v>
      </c>
      <c r="D447" s="2" t="s">
        <v>3184</v>
      </c>
      <c r="E447" s="2" t="s">
        <v>3119</v>
      </c>
      <c r="F447" s="2" t="s">
        <v>3185</v>
      </c>
      <c r="G447" s="2" t="s">
        <v>95</v>
      </c>
      <c r="H447" s="2" t="s">
        <v>97</v>
      </c>
      <c r="I447" s="2">
        <v>1083</v>
      </c>
    </row>
    <row r="448" spans="1:9" x14ac:dyDescent="0.25">
      <c r="A448" s="4" t="s">
        <v>3123</v>
      </c>
      <c r="B448" s="2" t="s">
        <v>244</v>
      </c>
      <c r="C448" s="2">
        <v>809</v>
      </c>
      <c r="D448" s="2" t="s">
        <v>3243</v>
      </c>
      <c r="E448" s="2" t="s">
        <v>3119</v>
      </c>
      <c r="F448" s="2" t="s">
        <v>3185</v>
      </c>
      <c r="G448" s="2" t="s">
        <v>95</v>
      </c>
      <c r="H448" s="2" t="s">
        <v>97</v>
      </c>
      <c r="I448" s="2">
        <v>1083</v>
      </c>
    </row>
    <row r="449" spans="1:9" x14ac:dyDescent="0.25">
      <c r="A449" s="4" t="s">
        <v>3123</v>
      </c>
      <c r="B449" s="2" t="s">
        <v>244</v>
      </c>
      <c r="C449" s="2">
        <v>813</v>
      </c>
      <c r="D449" s="2" t="s">
        <v>3259</v>
      </c>
      <c r="E449" s="2" t="s">
        <v>3119</v>
      </c>
      <c r="F449" s="2" t="s">
        <v>3260</v>
      </c>
      <c r="G449" s="2" t="s">
        <v>95</v>
      </c>
      <c r="H449" s="2" t="s">
        <v>97</v>
      </c>
      <c r="I449" s="2">
        <v>1083</v>
      </c>
    </row>
    <row r="450" spans="1:9" x14ac:dyDescent="0.25">
      <c r="A450" s="4" t="s">
        <v>3123</v>
      </c>
      <c r="B450" s="2" t="s">
        <v>244</v>
      </c>
      <c r="C450" s="2">
        <v>786</v>
      </c>
      <c r="D450" s="2" t="s">
        <v>3143</v>
      </c>
      <c r="E450" s="2" t="s">
        <v>3119</v>
      </c>
      <c r="F450" s="2" t="s">
        <v>3144</v>
      </c>
      <c r="G450" s="2" t="s">
        <v>95</v>
      </c>
      <c r="H450" s="2" t="s">
        <v>97</v>
      </c>
      <c r="I450" s="2">
        <v>1083</v>
      </c>
    </row>
    <row r="451" spans="1:9" x14ac:dyDescent="0.25">
      <c r="A451" s="4" t="s">
        <v>3123</v>
      </c>
      <c r="B451" s="2" t="s">
        <v>244</v>
      </c>
      <c r="C451" s="2">
        <v>799</v>
      </c>
      <c r="D451" s="2" t="s">
        <v>3200</v>
      </c>
      <c r="E451" s="2" t="s">
        <v>3119</v>
      </c>
      <c r="F451" s="2" t="s">
        <v>3144</v>
      </c>
      <c r="G451" s="2" t="s">
        <v>95</v>
      </c>
      <c r="H451" s="2" t="s">
        <v>97</v>
      </c>
      <c r="I451" s="2">
        <v>1083</v>
      </c>
    </row>
    <row r="452" spans="1:9" x14ac:dyDescent="0.25">
      <c r="A452" s="4" t="s">
        <v>3123</v>
      </c>
      <c r="B452" s="2" t="s">
        <v>244</v>
      </c>
      <c r="C452" s="2">
        <v>791</v>
      </c>
      <c r="D452" s="2" t="s">
        <v>3166</v>
      </c>
      <c r="E452" s="2" t="s">
        <v>3119</v>
      </c>
      <c r="F452" s="2" t="s">
        <v>3167</v>
      </c>
      <c r="G452" s="2" t="s">
        <v>95</v>
      </c>
      <c r="H452" s="2" t="s">
        <v>97</v>
      </c>
      <c r="I452" s="2">
        <v>1083</v>
      </c>
    </row>
    <row r="453" spans="1:9" x14ac:dyDescent="0.25">
      <c r="A453" s="4" t="s">
        <v>3123</v>
      </c>
      <c r="B453" s="2" t="s">
        <v>271</v>
      </c>
      <c r="C453" s="2">
        <v>804</v>
      </c>
      <c r="D453" s="2" t="s">
        <v>3221</v>
      </c>
      <c r="E453" s="2" t="s">
        <v>3119</v>
      </c>
      <c r="F453" s="2" t="s">
        <v>3222</v>
      </c>
      <c r="G453" s="2" t="s">
        <v>95</v>
      </c>
      <c r="H453" s="2" t="s">
        <v>97</v>
      </c>
      <c r="I453" s="2">
        <v>1083</v>
      </c>
    </row>
    <row r="454" spans="1:9" x14ac:dyDescent="0.25">
      <c r="A454" s="4" t="s">
        <v>3123</v>
      </c>
      <c r="B454" s="2" t="s">
        <v>271</v>
      </c>
      <c r="C454" s="2">
        <v>802</v>
      </c>
      <c r="D454" s="2" t="s">
        <v>3212</v>
      </c>
      <c r="E454" s="2" t="s">
        <v>3119</v>
      </c>
      <c r="F454" s="2" t="s">
        <v>3213</v>
      </c>
      <c r="G454" s="2" t="s">
        <v>95</v>
      </c>
      <c r="H454" s="2" t="s">
        <v>97</v>
      </c>
      <c r="I454" s="2">
        <v>1083</v>
      </c>
    </row>
    <row r="455" spans="1:9" x14ac:dyDescent="0.25">
      <c r="A455" s="4" t="s">
        <v>3123</v>
      </c>
      <c r="B455" s="2" t="s">
        <v>271</v>
      </c>
      <c r="C455" s="2">
        <v>808</v>
      </c>
      <c r="D455" s="2" t="s">
        <v>3238</v>
      </c>
      <c r="E455" s="2" t="s">
        <v>3119</v>
      </c>
      <c r="F455" s="2" t="s">
        <v>3239</v>
      </c>
      <c r="G455" s="2" t="s">
        <v>95</v>
      </c>
      <c r="H455" s="2" t="s">
        <v>97</v>
      </c>
      <c r="I455" s="2">
        <v>1083</v>
      </c>
    </row>
    <row r="456" spans="1:9" x14ac:dyDescent="0.25">
      <c r="A456" s="4" t="s">
        <v>3123</v>
      </c>
      <c r="B456" s="2" t="s">
        <v>271</v>
      </c>
      <c r="C456" s="2">
        <v>800</v>
      </c>
      <c r="D456" s="2" t="s">
        <v>3203</v>
      </c>
      <c r="E456" s="2" t="s">
        <v>3119</v>
      </c>
      <c r="F456" s="2" t="s">
        <v>3204</v>
      </c>
      <c r="G456" s="2" t="s">
        <v>95</v>
      </c>
      <c r="H456" s="2" t="s">
        <v>97</v>
      </c>
      <c r="I456" s="2">
        <v>1083</v>
      </c>
    </row>
    <row r="457" spans="1:9" x14ac:dyDescent="0.25">
      <c r="A457" s="4" t="s">
        <v>3123</v>
      </c>
      <c r="B457" s="2" t="s">
        <v>271</v>
      </c>
      <c r="C457" s="2">
        <v>839</v>
      </c>
      <c r="D457" s="2" t="s">
        <v>3365</v>
      </c>
      <c r="E457" s="2" t="s">
        <v>3281</v>
      </c>
      <c r="F457" s="2" t="s">
        <v>3366</v>
      </c>
      <c r="G457" s="2" t="s">
        <v>95</v>
      </c>
      <c r="H457" s="2" t="s">
        <v>97</v>
      </c>
      <c r="I457" s="2">
        <v>1544</v>
      </c>
    </row>
    <row r="458" spans="1:9" x14ac:dyDescent="0.25">
      <c r="A458" s="4" t="s">
        <v>3123</v>
      </c>
      <c r="B458" s="2" t="s">
        <v>271</v>
      </c>
      <c r="C458" s="2">
        <v>848</v>
      </c>
      <c r="D458" s="2" t="s">
        <v>3401</v>
      </c>
      <c r="E458" s="2" t="s">
        <v>3281</v>
      </c>
      <c r="F458" s="2" t="s">
        <v>3402</v>
      </c>
      <c r="G458" s="2" t="s">
        <v>95</v>
      </c>
      <c r="H458" s="2" t="s">
        <v>97</v>
      </c>
      <c r="I458" s="2">
        <v>1544</v>
      </c>
    </row>
    <row r="459" spans="1:9" x14ac:dyDescent="0.25">
      <c r="A459" s="4" t="s">
        <v>3123</v>
      </c>
      <c r="B459" s="2" t="s">
        <v>271</v>
      </c>
      <c r="C459" s="2">
        <v>844</v>
      </c>
      <c r="D459" s="2" t="s">
        <v>3385</v>
      </c>
      <c r="E459" s="2" t="s">
        <v>3281</v>
      </c>
      <c r="F459" s="2" t="s">
        <v>3386</v>
      </c>
      <c r="G459" s="2" t="s">
        <v>95</v>
      </c>
      <c r="H459" s="2" t="s">
        <v>97</v>
      </c>
      <c r="I459" s="2">
        <v>1544</v>
      </c>
    </row>
    <row r="460" spans="1:9" x14ac:dyDescent="0.25">
      <c r="A460" s="4" t="s">
        <v>3123</v>
      </c>
      <c r="B460" s="2" t="s">
        <v>271</v>
      </c>
      <c r="C460" s="2">
        <v>853</v>
      </c>
      <c r="D460" s="2" t="s">
        <v>3424</v>
      </c>
      <c r="E460" s="2" t="s">
        <v>3281</v>
      </c>
      <c r="F460" s="2" t="s">
        <v>3425</v>
      </c>
      <c r="G460" s="2" t="s">
        <v>95</v>
      </c>
      <c r="H460" s="2" t="s">
        <v>97</v>
      </c>
      <c r="I460" s="2">
        <v>1544</v>
      </c>
    </row>
    <row r="461" spans="1:9" x14ac:dyDescent="0.25">
      <c r="A461" s="4" t="s">
        <v>3123</v>
      </c>
      <c r="B461" s="2" t="s">
        <v>271</v>
      </c>
      <c r="C461" s="2">
        <v>833</v>
      </c>
      <c r="D461" s="2" t="s">
        <v>3341</v>
      </c>
      <c r="E461" s="2" t="s">
        <v>3281</v>
      </c>
      <c r="F461" s="2" t="s">
        <v>3342</v>
      </c>
      <c r="G461" s="2" t="s">
        <v>95</v>
      </c>
      <c r="H461" s="2" t="s">
        <v>97</v>
      </c>
      <c r="I461" s="2">
        <v>1544</v>
      </c>
    </row>
    <row r="462" spans="1:9" x14ac:dyDescent="0.25">
      <c r="A462" s="4" t="s">
        <v>3123</v>
      </c>
      <c r="B462" s="2" t="s">
        <v>271</v>
      </c>
      <c r="C462" s="2">
        <v>838</v>
      </c>
      <c r="D462" s="2" t="s">
        <v>3361</v>
      </c>
      <c r="E462" s="2" t="s">
        <v>3281</v>
      </c>
      <c r="F462" s="2" t="s">
        <v>3362</v>
      </c>
      <c r="G462" s="2" t="s">
        <v>95</v>
      </c>
      <c r="H462" s="2" t="s">
        <v>97</v>
      </c>
      <c r="I462" s="2">
        <v>1544</v>
      </c>
    </row>
    <row r="463" spans="1:9" x14ac:dyDescent="0.25">
      <c r="A463" s="4" t="s">
        <v>3123</v>
      </c>
      <c r="B463" s="2" t="s">
        <v>271</v>
      </c>
      <c r="C463" s="2">
        <v>820</v>
      </c>
      <c r="D463" s="2" t="s">
        <v>3290</v>
      </c>
      <c r="E463" s="2" t="s">
        <v>3281</v>
      </c>
      <c r="F463" s="2" t="s">
        <v>3291</v>
      </c>
      <c r="G463" s="2" t="s">
        <v>95</v>
      </c>
      <c r="H463" s="2" t="s">
        <v>97</v>
      </c>
      <c r="I463" s="2">
        <v>1544</v>
      </c>
    </row>
    <row r="464" spans="1:9" x14ac:dyDescent="0.25">
      <c r="A464" s="4" t="s">
        <v>3123</v>
      </c>
      <c r="B464" s="2" t="s">
        <v>271</v>
      </c>
      <c r="C464" s="2">
        <v>852</v>
      </c>
      <c r="D464" s="2" t="s">
        <v>3419</v>
      </c>
      <c r="E464" s="2" t="s">
        <v>3281</v>
      </c>
      <c r="F464" s="2" t="s">
        <v>3420</v>
      </c>
      <c r="G464" s="2" t="s">
        <v>95</v>
      </c>
      <c r="H464" s="2" t="s">
        <v>97</v>
      </c>
      <c r="I464" s="2">
        <v>1544</v>
      </c>
    </row>
    <row r="465" spans="1:9" x14ac:dyDescent="0.25">
      <c r="A465" s="4" t="s">
        <v>3123</v>
      </c>
      <c r="B465" s="2" t="s">
        <v>271</v>
      </c>
      <c r="C465" s="2">
        <v>840</v>
      </c>
      <c r="D465" s="2" t="s">
        <v>3370</v>
      </c>
      <c r="E465" s="2" t="s">
        <v>3281</v>
      </c>
      <c r="F465" s="2" t="s">
        <v>3371</v>
      </c>
      <c r="G465" s="2" t="s">
        <v>95</v>
      </c>
      <c r="H465" s="2" t="s">
        <v>97</v>
      </c>
      <c r="I465" s="2">
        <v>1544</v>
      </c>
    </row>
    <row r="466" spans="1:9" x14ac:dyDescent="0.25">
      <c r="A466" s="4" t="s">
        <v>3123</v>
      </c>
      <c r="B466" s="2" t="s">
        <v>271</v>
      </c>
      <c r="C466" s="2">
        <v>828</v>
      </c>
      <c r="D466" s="2" t="s">
        <v>3321</v>
      </c>
      <c r="E466" s="2" t="s">
        <v>3281</v>
      </c>
      <c r="F466" s="2" t="s">
        <v>3322</v>
      </c>
      <c r="G466" s="2" t="s">
        <v>95</v>
      </c>
      <c r="H466" s="2" t="s">
        <v>97</v>
      </c>
      <c r="I466" s="2">
        <v>1544</v>
      </c>
    </row>
    <row r="467" spans="1:9" x14ac:dyDescent="0.25">
      <c r="A467" s="4" t="s">
        <v>3123</v>
      </c>
      <c r="B467" s="2" t="s">
        <v>271</v>
      </c>
      <c r="C467" s="2">
        <v>849</v>
      </c>
      <c r="D467" s="2" t="s">
        <v>3406</v>
      </c>
      <c r="E467" s="2" t="s">
        <v>3281</v>
      </c>
      <c r="F467" s="2" t="s">
        <v>3407</v>
      </c>
      <c r="G467" s="2" t="s">
        <v>95</v>
      </c>
      <c r="H467" s="2" t="s">
        <v>97</v>
      </c>
      <c r="I467" s="2">
        <v>1544</v>
      </c>
    </row>
    <row r="468" spans="1:9" x14ac:dyDescent="0.25">
      <c r="A468" s="4" t="s">
        <v>3123</v>
      </c>
      <c r="B468" s="2" t="s">
        <v>271</v>
      </c>
      <c r="C468" s="2">
        <v>824</v>
      </c>
      <c r="D468" s="2" t="s">
        <v>3306</v>
      </c>
      <c r="E468" s="2" t="s">
        <v>3281</v>
      </c>
      <c r="F468" s="2" t="s">
        <v>3307</v>
      </c>
      <c r="G468" s="2" t="s">
        <v>95</v>
      </c>
      <c r="H468" s="2" t="s">
        <v>97</v>
      </c>
      <c r="I468" s="2">
        <v>1544</v>
      </c>
    </row>
    <row r="469" spans="1:9" x14ac:dyDescent="0.25">
      <c r="A469" s="4" t="s">
        <v>3123</v>
      </c>
      <c r="B469" s="2" t="s">
        <v>271</v>
      </c>
      <c r="C469" s="2">
        <v>834</v>
      </c>
      <c r="D469" s="2" t="s">
        <v>3345</v>
      </c>
      <c r="E469" s="2" t="s">
        <v>3281</v>
      </c>
      <c r="F469" s="2" t="s">
        <v>3346</v>
      </c>
      <c r="G469" s="2" t="s">
        <v>95</v>
      </c>
      <c r="H469" s="2" t="s">
        <v>97</v>
      </c>
      <c r="I469" s="2">
        <v>1544</v>
      </c>
    </row>
    <row r="470" spans="1:9" x14ac:dyDescent="0.25">
      <c r="A470" s="4" t="s">
        <v>3123</v>
      </c>
      <c r="B470" s="2" t="s">
        <v>271</v>
      </c>
      <c r="C470" s="2">
        <v>847</v>
      </c>
      <c r="D470" s="2" t="s">
        <v>3397</v>
      </c>
      <c r="E470" s="2" t="s">
        <v>3281</v>
      </c>
      <c r="F470" s="2" t="s">
        <v>3398</v>
      </c>
      <c r="G470" s="2" t="s">
        <v>95</v>
      </c>
      <c r="H470" s="2" t="s">
        <v>97</v>
      </c>
      <c r="I470" s="2">
        <v>1544</v>
      </c>
    </row>
    <row r="471" spans="1:9" x14ac:dyDescent="0.25">
      <c r="A471" s="4" t="s">
        <v>3123</v>
      </c>
      <c r="B471" s="2" t="s">
        <v>271</v>
      </c>
      <c r="C471" s="2">
        <v>837</v>
      </c>
      <c r="D471" s="2" t="s">
        <v>3356</v>
      </c>
      <c r="E471" s="2" t="s">
        <v>3281</v>
      </c>
      <c r="F471" s="2" t="s">
        <v>3357</v>
      </c>
      <c r="G471" s="2" t="s">
        <v>95</v>
      </c>
      <c r="H471" s="2" t="s">
        <v>97</v>
      </c>
      <c r="I471" s="2">
        <v>1544</v>
      </c>
    </row>
    <row r="472" spans="1:9" x14ac:dyDescent="0.25">
      <c r="A472" s="4" t="s">
        <v>3123</v>
      </c>
      <c r="B472" s="2" t="s">
        <v>271</v>
      </c>
      <c r="C472" s="2">
        <v>836</v>
      </c>
      <c r="D472" s="2" t="s">
        <v>3352</v>
      </c>
      <c r="E472" s="2" t="s">
        <v>3281</v>
      </c>
      <c r="F472" s="2" t="s">
        <v>3353</v>
      </c>
      <c r="G472" s="2" t="s">
        <v>95</v>
      </c>
      <c r="H472" s="2" t="s">
        <v>97</v>
      </c>
      <c r="I472" s="2">
        <v>1544</v>
      </c>
    </row>
    <row r="473" spans="1:9" x14ac:dyDescent="0.25">
      <c r="A473" s="4" t="s">
        <v>3123</v>
      </c>
      <c r="B473" s="2" t="s">
        <v>271</v>
      </c>
      <c r="C473" s="2">
        <v>850</v>
      </c>
      <c r="D473" s="2" t="s">
        <v>3411</v>
      </c>
      <c r="E473" s="2" t="s">
        <v>3281</v>
      </c>
      <c r="F473" s="2" t="s">
        <v>3353</v>
      </c>
      <c r="G473" s="2" t="s">
        <v>95</v>
      </c>
      <c r="H473" s="2" t="s">
        <v>97</v>
      </c>
      <c r="I473" s="2">
        <v>1544</v>
      </c>
    </row>
    <row r="474" spans="1:9" x14ac:dyDescent="0.25">
      <c r="A474" s="4" t="s">
        <v>3123</v>
      </c>
      <c r="B474" s="2" t="s">
        <v>271</v>
      </c>
      <c r="C474" s="2">
        <v>835</v>
      </c>
      <c r="D474" s="2" t="s">
        <v>3349</v>
      </c>
      <c r="E474" s="2" t="s">
        <v>3281</v>
      </c>
      <c r="F474" s="2" t="s">
        <v>3350</v>
      </c>
      <c r="G474" s="2" t="s">
        <v>95</v>
      </c>
      <c r="H474" s="2" t="s">
        <v>97</v>
      </c>
      <c r="I474" s="2">
        <v>1544</v>
      </c>
    </row>
    <row r="475" spans="1:9" x14ac:dyDescent="0.25">
      <c r="A475" s="4" t="s">
        <v>3123</v>
      </c>
      <c r="B475" s="2" t="s">
        <v>271</v>
      </c>
      <c r="C475" s="2">
        <v>830</v>
      </c>
      <c r="D475" s="2" t="s">
        <v>3329</v>
      </c>
      <c r="E475" s="2" t="s">
        <v>3281</v>
      </c>
      <c r="F475" s="2" t="s">
        <v>3330</v>
      </c>
      <c r="G475" s="2" t="s">
        <v>95</v>
      </c>
      <c r="H475" s="2" t="s">
        <v>97</v>
      </c>
      <c r="I475" s="2">
        <v>1544</v>
      </c>
    </row>
    <row r="476" spans="1:9" x14ac:dyDescent="0.25">
      <c r="A476" s="4" t="s">
        <v>3123</v>
      </c>
      <c r="B476" s="2" t="s">
        <v>271</v>
      </c>
      <c r="C476" s="2">
        <v>851</v>
      </c>
      <c r="D476" s="2" t="s">
        <v>3414</v>
      </c>
      <c r="E476" s="2" t="s">
        <v>3281</v>
      </c>
      <c r="F476" s="2" t="s">
        <v>3415</v>
      </c>
      <c r="G476" s="2" t="s">
        <v>95</v>
      </c>
      <c r="H476" s="2" t="s">
        <v>97</v>
      </c>
      <c r="I476" s="2">
        <v>1544</v>
      </c>
    </row>
    <row r="477" spans="1:9" x14ac:dyDescent="0.25">
      <c r="A477" s="4" t="s">
        <v>3123</v>
      </c>
      <c r="B477" s="2" t="s">
        <v>271</v>
      </c>
      <c r="C477" s="2">
        <v>818</v>
      </c>
      <c r="D477" s="2" t="s">
        <v>3280</v>
      </c>
      <c r="E477" s="2" t="s">
        <v>3281</v>
      </c>
      <c r="F477" s="2" t="s">
        <v>3282</v>
      </c>
      <c r="G477" s="2" t="s">
        <v>95</v>
      </c>
      <c r="H477" s="2" t="s">
        <v>97</v>
      </c>
      <c r="I477" s="2">
        <v>1544</v>
      </c>
    </row>
    <row r="478" spans="1:9" x14ac:dyDescent="0.25">
      <c r="A478" s="4" t="s">
        <v>3123</v>
      </c>
      <c r="B478" s="2" t="s">
        <v>96</v>
      </c>
      <c r="C478" s="2">
        <v>846</v>
      </c>
      <c r="D478" s="2" t="s">
        <v>3392</v>
      </c>
      <c r="E478" s="2" t="s">
        <v>3281</v>
      </c>
      <c r="F478" s="2" t="s">
        <v>3393</v>
      </c>
      <c r="G478" s="2" t="s">
        <v>95</v>
      </c>
      <c r="H478" s="2" t="s">
        <v>97</v>
      </c>
      <c r="I478" s="2">
        <v>1544</v>
      </c>
    </row>
    <row r="479" spans="1:9" x14ac:dyDescent="0.25">
      <c r="A479" s="4" t="s">
        <v>3123</v>
      </c>
      <c r="B479" s="2" t="s">
        <v>96</v>
      </c>
      <c r="C479" s="2">
        <v>869</v>
      </c>
      <c r="D479" s="2" t="s">
        <v>3493</v>
      </c>
      <c r="E479" s="2" t="s">
        <v>3430</v>
      </c>
      <c r="F479" s="2" t="s">
        <v>3494</v>
      </c>
      <c r="G479" s="2" t="s">
        <v>95</v>
      </c>
      <c r="H479" s="2" t="s">
        <v>97</v>
      </c>
      <c r="I479" s="2">
        <v>1168</v>
      </c>
    </row>
    <row r="480" spans="1:9" x14ac:dyDescent="0.25">
      <c r="A480" s="4" t="s">
        <v>3123</v>
      </c>
      <c r="B480" s="2" t="s">
        <v>96</v>
      </c>
      <c r="C480" s="2">
        <v>865</v>
      </c>
      <c r="D480" s="2" t="s">
        <v>3479</v>
      </c>
      <c r="E480" s="2" t="s">
        <v>3430</v>
      </c>
      <c r="F480" s="2" t="s">
        <v>3480</v>
      </c>
      <c r="G480" s="2" t="s">
        <v>95</v>
      </c>
      <c r="H480" s="2" t="s">
        <v>97</v>
      </c>
      <c r="I480" s="2">
        <v>1168</v>
      </c>
    </row>
    <row r="481" spans="1:9" x14ac:dyDescent="0.25">
      <c r="A481" s="4" t="s">
        <v>3123</v>
      </c>
      <c r="B481" s="2" t="s">
        <v>96</v>
      </c>
      <c r="C481" s="2">
        <v>858</v>
      </c>
      <c r="D481" s="2" t="s">
        <v>3449</v>
      </c>
      <c r="E481" s="2" t="s">
        <v>3430</v>
      </c>
      <c r="F481" s="2" t="s">
        <v>3450</v>
      </c>
      <c r="G481" s="2" t="s">
        <v>95</v>
      </c>
      <c r="H481" s="2" t="s">
        <v>97</v>
      </c>
      <c r="I481" s="2">
        <v>1168</v>
      </c>
    </row>
    <row r="482" spans="1:9" x14ac:dyDescent="0.25">
      <c r="A482" s="4" t="s">
        <v>3123</v>
      </c>
      <c r="B482" s="2" t="s">
        <v>96</v>
      </c>
      <c r="C482" s="2">
        <v>870</v>
      </c>
      <c r="D482" s="2" t="s">
        <v>3498</v>
      </c>
      <c r="E482" s="2" t="s">
        <v>3430</v>
      </c>
      <c r="F482" s="2" t="s">
        <v>3499</v>
      </c>
      <c r="G482" s="2" t="s">
        <v>95</v>
      </c>
      <c r="H482" s="2" t="s">
        <v>97</v>
      </c>
      <c r="I482" s="2">
        <v>1168</v>
      </c>
    </row>
    <row r="483" spans="1:9" x14ac:dyDescent="0.25">
      <c r="A483" s="4" t="s">
        <v>3123</v>
      </c>
      <c r="B483" s="2" t="s">
        <v>96</v>
      </c>
      <c r="C483" s="2">
        <v>855</v>
      </c>
      <c r="D483" s="2" t="s">
        <v>3434</v>
      </c>
      <c r="E483" s="2" t="s">
        <v>3430</v>
      </c>
      <c r="F483" s="2" t="s">
        <v>3435</v>
      </c>
      <c r="G483" s="2" t="s">
        <v>95</v>
      </c>
      <c r="H483" s="2" t="s">
        <v>97</v>
      </c>
      <c r="I483" s="2">
        <v>1168</v>
      </c>
    </row>
    <row r="484" spans="1:9" x14ac:dyDescent="0.25">
      <c r="A484" s="4" t="s">
        <v>3123</v>
      </c>
      <c r="B484" s="2" t="s">
        <v>96</v>
      </c>
      <c r="C484" s="2">
        <v>860</v>
      </c>
      <c r="D484" s="2" t="s">
        <v>3459</v>
      </c>
      <c r="E484" s="2" t="s">
        <v>3430</v>
      </c>
      <c r="F484" s="2" t="s">
        <v>3435</v>
      </c>
      <c r="G484" s="2" t="s">
        <v>95</v>
      </c>
      <c r="H484" s="2" t="s">
        <v>97</v>
      </c>
      <c r="I484" s="2">
        <v>1168</v>
      </c>
    </row>
    <row r="485" spans="1:9" x14ac:dyDescent="0.25">
      <c r="A485" s="4" t="s">
        <v>3123</v>
      </c>
      <c r="B485" s="2" t="s">
        <v>96</v>
      </c>
      <c r="C485" s="2">
        <v>861</v>
      </c>
      <c r="D485" s="2" t="s">
        <v>3463</v>
      </c>
      <c r="E485" s="2" t="s">
        <v>3430</v>
      </c>
      <c r="F485" s="2" t="s">
        <v>3435</v>
      </c>
      <c r="G485" s="2" t="s">
        <v>95</v>
      </c>
      <c r="H485" s="2" t="s">
        <v>97</v>
      </c>
      <c r="I485" s="2">
        <v>1168</v>
      </c>
    </row>
    <row r="486" spans="1:9" x14ac:dyDescent="0.25">
      <c r="A486" s="4" t="s">
        <v>3123</v>
      </c>
      <c r="B486" s="2" t="s">
        <v>96</v>
      </c>
      <c r="C486" s="2">
        <v>871</v>
      </c>
      <c r="D486" s="2" t="s">
        <v>3503</v>
      </c>
      <c r="E486" s="2" t="s">
        <v>3430</v>
      </c>
      <c r="F486" s="2" t="s">
        <v>3435</v>
      </c>
      <c r="G486" s="2" t="s">
        <v>95</v>
      </c>
      <c r="H486" s="2" t="s">
        <v>97</v>
      </c>
      <c r="I486" s="2">
        <v>1168</v>
      </c>
    </row>
    <row r="487" spans="1:9" x14ac:dyDescent="0.25">
      <c r="A487" s="4" t="s">
        <v>3123</v>
      </c>
      <c r="B487" s="2" t="s">
        <v>96</v>
      </c>
      <c r="C487" s="2">
        <v>856</v>
      </c>
      <c r="D487" s="2" t="s">
        <v>3439</v>
      </c>
      <c r="E487" s="2" t="s">
        <v>3430</v>
      </c>
      <c r="F487" s="2" t="s">
        <v>3440</v>
      </c>
      <c r="G487" s="2" t="s">
        <v>95</v>
      </c>
      <c r="H487" s="2" t="s">
        <v>97</v>
      </c>
      <c r="I487" s="2">
        <v>1168</v>
      </c>
    </row>
    <row r="488" spans="1:9" x14ac:dyDescent="0.25">
      <c r="A488" s="4" t="s">
        <v>3123</v>
      </c>
      <c r="B488" s="2" t="s">
        <v>96</v>
      </c>
      <c r="C488" s="2">
        <v>854</v>
      </c>
      <c r="D488" s="2" t="s">
        <v>3429</v>
      </c>
      <c r="E488" s="2" t="s">
        <v>3430</v>
      </c>
      <c r="F488" s="2" t="s">
        <v>3431</v>
      </c>
      <c r="G488" s="2" t="s">
        <v>95</v>
      </c>
      <c r="H488" s="2" t="s">
        <v>97</v>
      </c>
      <c r="I488" s="2">
        <v>1168</v>
      </c>
    </row>
    <row r="489" spans="1:9" x14ac:dyDescent="0.25">
      <c r="A489" s="4" t="s">
        <v>3123</v>
      </c>
      <c r="B489" s="2" t="s">
        <v>96</v>
      </c>
      <c r="C489" s="2">
        <v>868</v>
      </c>
      <c r="D489" s="2" t="s">
        <v>3489</v>
      </c>
      <c r="E489" s="2" t="s">
        <v>3430</v>
      </c>
      <c r="F489" s="2" t="s">
        <v>3490</v>
      </c>
      <c r="G489" s="2" t="s">
        <v>95</v>
      </c>
      <c r="H489" s="2" t="s">
        <v>97</v>
      </c>
      <c r="I489" s="2">
        <v>1168</v>
      </c>
    </row>
    <row r="490" spans="1:9" x14ac:dyDescent="0.25">
      <c r="A490" s="4" t="s">
        <v>3123</v>
      </c>
      <c r="B490" s="2" t="s">
        <v>96</v>
      </c>
      <c r="C490" s="2">
        <v>874</v>
      </c>
      <c r="D490" s="2" t="s">
        <v>3514</v>
      </c>
      <c r="E490" s="2" t="s">
        <v>3430</v>
      </c>
      <c r="F490" s="2" t="s">
        <v>3490</v>
      </c>
      <c r="G490" s="2" t="s">
        <v>95</v>
      </c>
      <c r="H490" s="2" t="s">
        <v>97</v>
      </c>
      <c r="I490" s="2">
        <v>1168</v>
      </c>
    </row>
    <row r="491" spans="1:9" x14ac:dyDescent="0.25">
      <c r="A491" s="4" t="s">
        <v>3123</v>
      </c>
      <c r="B491" s="2" t="s">
        <v>96</v>
      </c>
      <c r="C491" s="2">
        <v>876</v>
      </c>
      <c r="D491" s="2" t="s">
        <v>3521</v>
      </c>
      <c r="E491" s="2" t="s">
        <v>3430</v>
      </c>
      <c r="F491" s="2" t="s">
        <v>3522</v>
      </c>
      <c r="G491" s="2" t="s">
        <v>95</v>
      </c>
      <c r="H491" s="2" t="s">
        <v>97</v>
      </c>
      <c r="I491" s="2">
        <v>1168</v>
      </c>
    </row>
    <row r="492" spans="1:9" x14ac:dyDescent="0.25">
      <c r="A492" s="4" t="s">
        <v>3123</v>
      </c>
      <c r="B492" s="2" t="s">
        <v>96</v>
      </c>
      <c r="C492" s="2">
        <v>875</v>
      </c>
      <c r="D492" s="2" t="s">
        <v>3517</v>
      </c>
      <c r="E492" s="2" t="s">
        <v>3430</v>
      </c>
      <c r="F492" s="2" t="s">
        <v>3518</v>
      </c>
      <c r="G492" s="2" t="s">
        <v>95</v>
      </c>
      <c r="H492" s="2" t="s">
        <v>97</v>
      </c>
      <c r="I492" s="2">
        <v>1168</v>
      </c>
    </row>
    <row r="493" spans="1:9" x14ac:dyDescent="0.25">
      <c r="A493" s="4" t="s">
        <v>3123</v>
      </c>
      <c r="B493" s="2" t="s">
        <v>96</v>
      </c>
      <c r="C493" s="2">
        <v>878</v>
      </c>
      <c r="D493" s="2" t="s">
        <v>3529</v>
      </c>
      <c r="E493" s="2" t="s">
        <v>3430</v>
      </c>
      <c r="F493" s="2" t="s">
        <v>3530</v>
      </c>
      <c r="G493" s="2" t="s">
        <v>95</v>
      </c>
      <c r="H493" s="2" t="s">
        <v>97</v>
      </c>
      <c r="I493" s="2">
        <v>1168</v>
      </c>
    </row>
    <row r="494" spans="1:9" x14ac:dyDescent="0.25">
      <c r="A494" s="4" t="s">
        <v>3123</v>
      </c>
      <c r="B494" s="2" t="s">
        <v>96</v>
      </c>
      <c r="C494" s="2">
        <v>857</v>
      </c>
      <c r="D494" s="2" t="s">
        <v>3444</v>
      </c>
      <c r="E494" s="2" t="s">
        <v>3430</v>
      </c>
      <c r="F494" s="2" t="s">
        <v>3445</v>
      </c>
      <c r="G494" s="2" t="s">
        <v>95</v>
      </c>
      <c r="H494" s="2" t="s">
        <v>97</v>
      </c>
      <c r="I494" s="2">
        <v>1168</v>
      </c>
    </row>
    <row r="495" spans="1:9" x14ac:dyDescent="0.25">
      <c r="A495" s="4" t="s">
        <v>3123</v>
      </c>
      <c r="B495" s="2" t="s">
        <v>96</v>
      </c>
      <c r="C495" s="2">
        <v>863</v>
      </c>
      <c r="D495" s="2" t="s">
        <v>3471</v>
      </c>
      <c r="E495" s="2" t="s">
        <v>3430</v>
      </c>
      <c r="F495" s="2" t="s">
        <v>3472</v>
      </c>
      <c r="G495" s="2" t="s">
        <v>95</v>
      </c>
      <c r="H495" s="2" t="s">
        <v>97</v>
      </c>
      <c r="I495" s="2">
        <v>1168</v>
      </c>
    </row>
    <row r="496" spans="1:9" x14ac:dyDescent="0.25">
      <c r="A496" s="4" t="s">
        <v>3123</v>
      </c>
      <c r="B496" s="2" t="s">
        <v>96</v>
      </c>
      <c r="C496" s="2">
        <v>880</v>
      </c>
      <c r="D496" s="2" t="s">
        <v>3537</v>
      </c>
      <c r="E496" s="2" t="s">
        <v>3430</v>
      </c>
      <c r="F496" s="2" t="s">
        <v>3538</v>
      </c>
      <c r="G496" s="2" t="s">
        <v>95</v>
      </c>
      <c r="H496" s="2" t="s">
        <v>97</v>
      </c>
      <c r="I496" s="2">
        <v>1168</v>
      </c>
    </row>
    <row r="497" spans="1:9" x14ac:dyDescent="0.25">
      <c r="A497" s="4" t="s">
        <v>3123</v>
      </c>
      <c r="B497" s="2" t="s">
        <v>96</v>
      </c>
      <c r="C497" s="2">
        <v>872</v>
      </c>
      <c r="D497" s="2" t="s">
        <v>3506</v>
      </c>
      <c r="E497" s="2" t="s">
        <v>3430</v>
      </c>
      <c r="F497" s="2" t="s">
        <v>3507</v>
      </c>
      <c r="G497" s="2" t="s">
        <v>95</v>
      </c>
      <c r="H497" s="2" t="s">
        <v>97</v>
      </c>
      <c r="I497" s="2">
        <v>1168</v>
      </c>
    </row>
    <row r="498" spans="1:9" x14ac:dyDescent="0.25">
      <c r="A498" s="4" t="s">
        <v>3123</v>
      </c>
      <c r="B498" s="2" t="s">
        <v>96</v>
      </c>
      <c r="C498" s="2">
        <v>873</v>
      </c>
      <c r="D498" s="2" t="s">
        <v>3510</v>
      </c>
      <c r="E498" s="2" t="s">
        <v>3430</v>
      </c>
      <c r="F498" s="2" t="s">
        <v>3511</v>
      </c>
      <c r="G498" s="2" t="s">
        <v>95</v>
      </c>
      <c r="H498" s="2" t="s">
        <v>97</v>
      </c>
      <c r="I498" s="2">
        <v>1168</v>
      </c>
    </row>
    <row r="499" spans="1:9" x14ac:dyDescent="0.25">
      <c r="A499" s="4" t="s">
        <v>3123</v>
      </c>
      <c r="B499" s="2" t="s">
        <v>96</v>
      </c>
      <c r="C499" s="2">
        <v>862</v>
      </c>
      <c r="D499" s="2" t="s">
        <v>3466</v>
      </c>
      <c r="E499" s="2" t="s">
        <v>3430</v>
      </c>
      <c r="F499" s="2" t="s">
        <v>3467</v>
      </c>
      <c r="G499" s="2" t="s">
        <v>95</v>
      </c>
      <c r="H499" s="2" t="s">
        <v>97</v>
      </c>
      <c r="I499" s="2">
        <v>1168</v>
      </c>
    </row>
    <row r="500" spans="1:9" x14ac:dyDescent="0.25">
      <c r="A500" s="4" t="s">
        <v>3123</v>
      </c>
      <c r="B500" s="2" t="s">
        <v>96</v>
      </c>
      <c r="C500" s="2">
        <v>866</v>
      </c>
      <c r="D500" s="2" t="s">
        <v>3483</v>
      </c>
      <c r="E500" s="2" t="s">
        <v>3430</v>
      </c>
      <c r="F500" s="2" t="s">
        <v>3467</v>
      </c>
      <c r="G500" s="2" t="s">
        <v>95</v>
      </c>
      <c r="H500" s="2" t="s">
        <v>97</v>
      </c>
      <c r="I500" s="2">
        <v>1168</v>
      </c>
    </row>
    <row r="501" spans="1:9" x14ac:dyDescent="0.25">
      <c r="A501" s="4" t="s">
        <v>3123</v>
      </c>
      <c r="B501" s="2" t="s">
        <v>96</v>
      </c>
      <c r="C501" s="2">
        <v>859</v>
      </c>
      <c r="D501" s="2" t="s">
        <v>3454</v>
      </c>
      <c r="E501" s="2" t="s">
        <v>3430</v>
      </c>
      <c r="F501" s="2" t="s">
        <v>3455</v>
      </c>
      <c r="G501" s="2" t="s">
        <v>95</v>
      </c>
      <c r="H501" s="2" t="s">
        <v>97</v>
      </c>
      <c r="I501" s="2">
        <v>1168</v>
      </c>
    </row>
    <row r="502" spans="1:9" x14ac:dyDescent="0.25">
      <c r="A502" s="4" t="s">
        <v>3123</v>
      </c>
      <c r="B502" s="2" t="s">
        <v>96</v>
      </c>
      <c r="C502" s="2">
        <v>879</v>
      </c>
      <c r="D502" s="2" t="s">
        <v>3533</v>
      </c>
      <c r="E502" s="2" t="s">
        <v>3430</v>
      </c>
      <c r="F502" s="2" t="s">
        <v>3534</v>
      </c>
      <c r="G502" s="2" t="s">
        <v>95</v>
      </c>
      <c r="H502" s="2" t="s">
        <v>97</v>
      </c>
      <c r="I502" s="2">
        <v>1168</v>
      </c>
    </row>
    <row r="503" spans="1:9" x14ac:dyDescent="0.25">
      <c r="A503" s="4" t="s">
        <v>338</v>
      </c>
      <c r="B503" s="2" t="s">
        <v>21</v>
      </c>
      <c r="C503" s="2">
        <v>295</v>
      </c>
      <c r="D503" s="2" t="s">
        <v>1197</v>
      </c>
      <c r="E503" s="2" t="s">
        <v>1198</v>
      </c>
      <c r="F503" s="2" t="s">
        <v>1199</v>
      </c>
      <c r="G503" s="2" t="s">
        <v>20</v>
      </c>
      <c r="H503" s="2" t="s">
        <v>22</v>
      </c>
      <c r="I503" s="2">
        <v>2833</v>
      </c>
    </row>
    <row r="504" spans="1:9" x14ac:dyDescent="0.25">
      <c r="A504" s="4" t="s">
        <v>338</v>
      </c>
      <c r="B504" s="2" t="s">
        <v>21</v>
      </c>
      <c r="C504" s="2">
        <v>296</v>
      </c>
      <c r="D504" s="2" t="s">
        <v>1202</v>
      </c>
      <c r="E504" s="2" t="s">
        <v>1198</v>
      </c>
      <c r="F504" s="2" t="s">
        <v>1199</v>
      </c>
      <c r="G504" s="2" t="s">
        <v>20</v>
      </c>
      <c r="H504" s="2" t="s">
        <v>22</v>
      </c>
      <c r="I504" s="2">
        <v>2833</v>
      </c>
    </row>
    <row r="505" spans="1:9" x14ac:dyDescent="0.25">
      <c r="A505" s="4" t="s">
        <v>338</v>
      </c>
      <c r="B505" s="2" t="s">
        <v>21</v>
      </c>
      <c r="C505" s="2">
        <v>297</v>
      </c>
      <c r="D505" s="2" t="s">
        <v>1206</v>
      </c>
      <c r="E505" s="2" t="s">
        <v>1198</v>
      </c>
      <c r="F505" s="2" t="s">
        <v>1199</v>
      </c>
      <c r="G505" s="2" t="s">
        <v>20</v>
      </c>
      <c r="H505" s="2" t="s">
        <v>22</v>
      </c>
      <c r="I505" s="2">
        <v>2833</v>
      </c>
    </row>
    <row r="506" spans="1:9" x14ac:dyDescent="0.25">
      <c r="A506" s="4" t="s">
        <v>338</v>
      </c>
      <c r="B506" s="2" t="s">
        <v>21</v>
      </c>
      <c r="C506" s="2">
        <v>298</v>
      </c>
      <c r="D506" s="2" t="s">
        <v>1210</v>
      </c>
      <c r="E506" s="2" t="s">
        <v>1198</v>
      </c>
      <c r="F506" s="2" t="s">
        <v>1199</v>
      </c>
      <c r="G506" s="2" t="s">
        <v>20</v>
      </c>
      <c r="H506" s="2" t="s">
        <v>22</v>
      </c>
      <c r="I506" s="2">
        <v>2833</v>
      </c>
    </row>
    <row r="507" spans="1:9" x14ac:dyDescent="0.25">
      <c r="A507" s="4" t="s">
        <v>338</v>
      </c>
      <c r="B507" s="2" t="s">
        <v>21</v>
      </c>
      <c r="C507" s="2">
        <v>299</v>
      </c>
      <c r="D507" s="2" t="s">
        <v>1214</v>
      </c>
      <c r="E507" s="2" t="s">
        <v>1198</v>
      </c>
      <c r="F507" s="2" t="s">
        <v>1199</v>
      </c>
      <c r="G507" s="2" t="s">
        <v>20</v>
      </c>
      <c r="H507" s="2" t="s">
        <v>22</v>
      </c>
      <c r="I507" s="2">
        <v>2833</v>
      </c>
    </row>
    <row r="508" spans="1:9" x14ac:dyDescent="0.25">
      <c r="A508" s="4" t="s">
        <v>338</v>
      </c>
      <c r="B508" s="2" t="s">
        <v>21</v>
      </c>
      <c r="C508" s="2">
        <v>300</v>
      </c>
      <c r="D508" s="2" t="s">
        <v>1217</v>
      </c>
      <c r="E508" s="2" t="s">
        <v>1198</v>
      </c>
      <c r="F508" s="2" t="s">
        <v>1199</v>
      </c>
      <c r="G508" s="2" t="s">
        <v>20</v>
      </c>
      <c r="H508" s="2" t="s">
        <v>22</v>
      </c>
      <c r="I508" s="2">
        <v>2833</v>
      </c>
    </row>
    <row r="509" spans="1:9" x14ac:dyDescent="0.25">
      <c r="A509" s="4" t="s">
        <v>338</v>
      </c>
      <c r="B509" s="2" t="s">
        <v>21</v>
      </c>
      <c r="C509" s="2">
        <v>301</v>
      </c>
      <c r="D509" s="2" t="s">
        <v>1219</v>
      </c>
      <c r="E509" s="2" t="s">
        <v>1198</v>
      </c>
      <c r="F509" s="2" t="s">
        <v>1199</v>
      </c>
      <c r="G509" s="2" t="s">
        <v>20</v>
      </c>
      <c r="H509" s="2" t="s">
        <v>22</v>
      </c>
      <c r="I509" s="2">
        <v>2833</v>
      </c>
    </row>
    <row r="510" spans="1:9" x14ac:dyDescent="0.25">
      <c r="A510" s="4" t="s">
        <v>338</v>
      </c>
      <c r="B510" s="2" t="s">
        <v>21</v>
      </c>
      <c r="C510" s="2">
        <v>302</v>
      </c>
      <c r="D510" s="2" t="s">
        <v>1223</v>
      </c>
      <c r="E510" s="2" t="s">
        <v>1198</v>
      </c>
      <c r="F510" s="2" t="s">
        <v>1199</v>
      </c>
      <c r="G510" s="2" t="s">
        <v>20</v>
      </c>
      <c r="H510" s="2" t="s">
        <v>22</v>
      </c>
      <c r="I510" s="2">
        <v>2833</v>
      </c>
    </row>
    <row r="511" spans="1:9" x14ac:dyDescent="0.25">
      <c r="A511" s="4" t="s">
        <v>338</v>
      </c>
      <c r="B511" s="2" t="s">
        <v>21</v>
      </c>
      <c r="C511" s="2">
        <v>303</v>
      </c>
      <c r="D511" s="2" t="s">
        <v>1227</v>
      </c>
      <c r="E511" s="2" t="s">
        <v>1198</v>
      </c>
      <c r="F511" s="2" t="s">
        <v>1199</v>
      </c>
      <c r="G511" s="2" t="s">
        <v>20</v>
      </c>
      <c r="H511" s="2" t="s">
        <v>22</v>
      </c>
      <c r="I511" s="2">
        <v>2833</v>
      </c>
    </row>
    <row r="512" spans="1:9" x14ac:dyDescent="0.25">
      <c r="A512" s="4" t="s">
        <v>338</v>
      </c>
      <c r="B512" s="2" t="s">
        <v>21</v>
      </c>
      <c r="C512" s="2">
        <v>304</v>
      </c>
      <c r="D512" s="2" t="s">
        <v>1229</v>
      </c>
      <c r="E512" s="2" t="s">
        <v>1198</v>
      </c>
      <c r="F512" s="2" t="s">
        <v>1199</v>
      </c>
      <c r="G512" s="2" t="s">
        <v>20</v>
      </c>
      <c r="H512" s="2" t="s">
        <v>22</v>
      </c>
      <c r="I512" s="2">
        <v>2833</v>
      </c>
    </row>
    <row r="513" spans="1:9" x14ac:dyDescent="0.25">
      <c r="A513" s="4" t="s">
        <v>338</v>
      </c>
      <c r="B513" s="2" t="s">
        <v>21</v>
      </c>
      <c r="C513" s="2">
        <v>305</v>
      </c>
      <c r="D513" s="2" t="s">
        <v>1233</v>
      </c>
      <c r="E513" s="2" t="s">
        <v>1198</v>
      </c>
      <c r="F513" s="2" t="s">
        <v>1199</v>
      </c>
      <c r="G513" s="2" t="s">
        <v>20</v>
      </c>
      <c r="H513" s="2" t="s">
        <v>22</v>
      </c>
      <c r="I513" s="2">
        <v>2833</v>
      </c>
    </row>
    <row r="514" spans="1:9" x14ac:dyDescent="0.25">
      <c r="A514" s="4" t="s">
        <v>338</v>
      </c>
      <c r="B514" s="2" t="s">
        <v>21</v>
      </c>
      <c r="C514" s="2">
        <v>307</v>
      </c>
      <c r="D514" s="2" t="s">
        <v>1242</v>
      </c>
      <c r="E514" s="2" t="s">
        <v>1198</v>
      </c>
      <c r="F514" s="2" t="s">
        <v>1199</v>
      </c>
      <c r="G514" s="2" t="s">
        <v>20</v>
      </c>
      <c r="H514" s="2" t="s">
        <v>22</v>
      </c>
      <c r="I514" s="2">
        <v>2833</v>
      </c>
    </row>
    <row r="515" spans="1:9" x14ac:dyDescent="0.25">
      <c r="A515" s="4" t="s">
        <v>338</v>
      </c>
      <c r="B515" s="2" t="s">
        <v>21</v>
      </c>
      <c r="C515" s="2">
        <v>308</v>
      </c>
      <c r="D515" s="2" t="s">
        <v>1246</v>
      </c>
      <c r="E515" s="2" t="s">
        <v>1198</v>
      </c>
      <c r="F515" s="2" t="s">
        <v>1199</v>
      </c>
      <c r="G515" s="2" t="s">
        <v>20</v>
      </c>
      <c r="H515" s="2" t="s">
        <v>22</v>
      </c>
      <c r="I515" s="2">
        <v>2833</v>
      </c>
    </row>
    <row r="516" spans="1:9" x14ac:dyDescent="0.25">
      <c r="A516" s="4" t="s">
        <v>338</v>
      </c>
      <c r="B516" s="2" t="s">
        <v>21</v>
      </c>
      <c r="C516" s="2">
        <v>309</v>
      </c>
      <c r="D516" s="2" t="s">
        <v>1249</v>
      </c>
      <c r="E516" s="2" t="s">
        <v>1198</v>
      </c>
      <c r="F516" s="2" t="s">
        <v>1199</v>
      </c>
      <c r="G516" s="2" t="s">
        <v>20</v>
      </c>
      <c r="H516" s="2" t="s">
        <v>22</v>
      </c>
      <c r="I516" s="2">
        <v>2833</v>
      </c>
    </row>
    <row r="517" spans="1:9" x14ac:dyDescent="0.25">
      <c r="A517" s="4" t="s">
        <v>338</v>
      </c>
      <c r="B517" s="2" t="s">
        <v>21</v>
      </c>
      <c r="C517" s="2">
        <v>310</v>
      </c>
      <c r="D517" s="2" t="s">
        <v>1252</v>
      </c>
      <c r="E517" s="2" t="s">
        <v>1198</v>
      </c>
      <c r="F517" s="2" t="s">
        <v>1199</v>
      </c>
      <c r="G517" s="2" t="s">
        <v>20</v>
      </c>
      <c r="H517" s="2" t="s">
        <v>22</v>
      </c>
      <c r="I517" s="2">
        <v>2833</v>
      </c>
    </row>
    <row r="518" spans="1:9" x14ac:dyDescent="0.25">
      <c r="A518" s="4" t="s">
        <v>338</v>
      </c>
      <c r="B518" s="2" t="s">
        <v>21</v>
      </c>
      <c r="C518" s="2">
        <v>311</v>
      </c>
      <c r="D518" s="2" t="s">
        <v>1254</v>
      </c>
      <c r="E518" s="2" t="s">
        <v>1198</v>
      </c>
      <c r="F518" s="2" t="s">
        <v>1199</v>
      </c>
      <c r="G518" s="2" t="s">
        <v>20</v>
      </c>
      <c r="H518" s="2" t="s">
        <v>22</v>
      </c>
      <c r="I518" s="2">
        <v>2833</v>
      </c>
    </row>
    <row r="519" spans="1:9" x14ac:dyDescent="0.25">
      <c r="A519" s="4" t="s">
        <v>338</v>
      </c>
      <c r="B519" s="2" t="s">
        <v>21</v>
      </c>
      <c r="C519" s="2">
        <v>312</v>
      </c>
      <c r="D519" s="2" t="s">
        <v>1258</v>
      </c>
      <c r="E519" s="2" t="s">
        <v>1198</v>
      </c>
      <c r="F519" s="2" t="s">
        <v>1199</v>
      </c>
      <c r="G519" s="2" t="s">
        <v>20</v>
      </c>
      <c r="H519" s="2" t="s">
        <v>22</v>
      </c>
      <c r="I519" s="2">
        <v>2833</v>
      </c>
    </row>
    <row r="520" spans="1:9" x14ac:dyDescent="0.25">
      <c r="A520" s="4" t="s">
        <v>338</v>
      </c>
      <c r="B520" s="2" t="s">
        <v>21</v>
      </c>
      <c r="C520" s="2">
        <v>313</v>
      </c>
      <c r="D520" s="2" t="s">
        <v>1262</v>
      </c>
      <c r="E520" s="2" t="s">
        <v>1198</v>
      </c>
      <c r="F520" s="2" t="s">
        <v>1199</v>
      </c>
      <c r="G520" s="2" t="s">
        <v>20</v>
      </c>
      <c r="H520" s="2" t="s">
        <v>22</v>
      </c>
      <c r="I520" s="2">
        <v>2833</v>
      </c>
    </row>
    <row r="521" spans="1:9" x14ac:dyDescent="0.25">
      <c r="A521" s="4" t="s">
        <v>338</v>
      </c>
      <c r="B521" s="2" t="s">
        <v>21</v>
      </c>
      <c r="C521" s="2">
        <v>314</v>
      </c>
      <c r="D521" s="2" t="s">
        <v>1265</v>
      </c>
      <c r="E521" s="2" t="s">
        <v>1198</v>
      </c>
      <c r="F521" s="2" t="s">
        <v>1199</v>
      </c>
      <c r="G521" s="2" t="s">
        <v>20</v>
      </c>
      <c r="H521" s="2" t="s">
        <v>22</v>
      </c>
      <c r="I521" s="2">
        <v>2833</v>
      </c>
    </row>
    <row r="522" spans="1:9" x14ac:dyDescent="0.25">
      <c r="A522" s="4" t="s">
        <v>338</v>
      </c>
      <c r="B522" s="2" t="s">
        <v>21</v>
      </c>
      <c r="C522" s="2">
        <v>315</v>
      </c>
      <c r="D522" s="2" t="s">
        <v>1267</v>
      </c>
      <c r="E522" s="2" t="s">
        <v>1198</v>
      </c>
      <c r="F522" s="2" t="s">
        <v>1199</v>
      </c>
      <c r="G522" s="2" t="s">
        <v>20</v>
      </c>
      <c r="H522" s="2" t="s">
        <v>22</v>
      </c>
      <c r="I522" s="2">
        <v>2833</v>
      </c>
    </row>
    <row r="523" spans="1:9" x14ac:dyDescent="0.25">
      <c r="A523" s="4" t="s">
        <v>338</v>
      </c>
      <c r="B523" s="2" t="s">
        <v>21</v>
      </c>
      <c r="C523" s="2">
        <v>316</v>
      </c>
      <c r="D523" s="2" t="s">
        <v>1271</v>
      </c>
      <c r="E523" s="2" t="s">
        <v>1198</v>
      </c>
      <c r="F523" s="2" t="s">
        <v>1199</v>
      </c>
      <c r="G523" s="2" t="s">
        <v>20</v>
      </c>
      <c r="H523" s="2" t="s">
        <v>22</v>
      </c>
      <c r="I523" s="2">
        <v>2833</v>
      </c>
    </row>
    <row r="524" spans="1:9" x14ac:dyDescent="0.25">
      <c r="A524" s="4" t="s">
        <v>338</v>
      </c>
      <c r="B524" s="2" t="s">
        <v>21</v>
      </c>
      <c r="C524" s="2">
        <v>318</v>
      </c>
      <c r="D524" s="2" t="s">
        <v>1277</v>
      </c>
      <c r="E524" s="2" t="s">
        <v>1198</v>
      </c>
      <c r="F524" s="2" t="s">
        <v>1199</v>
      </c>
      <c r="G524" s="2" t="s">
        <v>20</v>
      </c>
      <c r="H524" s="2" t="s">
        <v>22</v>
      </c>
      <c r="I524" s="2">
        <v>2833</v>
      </c>
    </row>
    <row r="525" spans="1:9" x14ac:dyDescent="0.25">
      <c r="A525" s="4" t="s">
        <v>338</v>
      </c>
      <c r="B525" s="2" t="s">
        <v>21</v>
      </c>
      <c r="C525" s="2">
        <v>319</v>
      </c>
      <c r="D525" s="2" t="s">
        <v>1279</v>
      </c>
      <c r="E525" s="2" t="s">
        <v>1198</v>
      </c>
      <c r="F525" s="2" t="s">
        <v>1199</v>
      </c>
      <c r="G525" s="2" t="s">
        <v>20</v>
      </c>
      <c r="H525" s="2" t="s">
        <v>22</v>
      </c>
      <c r="I525" s="2">
        <v>2833</v>
      </c>
    </row>
    <row r="526" spans="1:9" x14ac:dyDescent="0.25">
      <c r="A526" s="4" t="s">
        <v>338</v>
      </c>
      <c r="B526" s="2" t="s">
        <v>21</v>
      </c>
      <c r="C526" s="2">
        <v>320</v>
      </c>
      <c r="D526" s="2" t="s">
        <v>1283</v>
      </c>
      <c r="E526" s="2" t="s">
        <v>1198</v>
      </c>
      <c r="F526" s="2" t="s">
        <v>1199</v>
      </c>
      <c r="G526" s="2" t="s">
        <v>20</v>
      </c>
      <c r="H526" s="2" t="s">
        <v>22</v>
      </c>
      <c r="I526" s="2">
        <v>2833</v>
      </c>
    </row>
    <row r="527" spans="1:9" x14ac:dyDescent="0.25">
      <c r="A527" s="4" t="s">
        <v>338</v>
      </c>
      <c r="B527" s="2" t="s">
        <v>21</v>
      </c>
      <c r="C527" s="2">
        <v>321</v>
      </c>
      <c r="D527" s="2" t="s">
        <v>1286</v>
      </c>
      <c r="E527" s="2" t="s">
        <v>1198</v>
      </c>
      <c r="F527" s="2" t="s">
        <v>1199</v>
      </c>
      <c r="G527" s="2" t="s">
        <v>20</v>
      </c>
      <c r="H527" s="2" t="s">
        <v>22</v>
      </c>
      <c r="I527" s="2">
        <v>2833</v>
      </c>
    </row>
    <row r="528" spans="1:9" x14ac:dyDescent="0.25">
      <c r="A528" s="4" t="s">
        <v>338</v>
      </c>
      <c r="B528" s="2" t="s">
        <v>21</v>
      </c>
      <c r="C528" s="2">
        <v>97</v>
      </c>
      <c r="D528" s="2" t="s">
        <v>421</v>
      </c>
      <c r="E528" s="2" t="s">
        <v>405</v>
      </c>
      <c r="F528" s="2" t="s">
        <v>422</v>
      </c>
      <c r="G528" s="2" t="s">
        <v>20</v>
      </c>
      <c r="H528" s="2" t="s">
        <v>22</v>
      </c>
      <c r="I528" s="2">
        <v>675</v>
      </c>
    </row>
    <row r="529" spans="1:9" x14ac:dyDescent="0.25">
      <c r="A529" s="4" t="s">
        <v>338</v>
      </c>
      <c r="B529" s="2" t="s">
        <v>21</v>
      </c>
      <c r="C529" s="2">
        <v>99</v>
      </c>
      <c r="D529" s="2" t="s">
        <v>430</v>
      </c>
      <c r="E529" s="2" t="s">
        <v>405</v>
      </c>
      <c r="F529" s="2" t="s">
        <v>422</v>
      </c>
      <c r="G529" s="2" t="s">
        <v>20</v>
      </c>
      <c r="H529" s="2" t="s">
        <v>22</v>
      </c>
      <c r="I529" s="2">
        <v>675</v>
      </c>
    </row>
    <row r="530" spans="1:9" x14ac:dyDescent="0.25">
      <c r="A530" s="4" t="s">
        <v>338</v>
      </c>
      <c r="B530" s="2" t="s">
        <v>21</v>
      </c>
      <c r="C530" s="2">
        <v>114</v>
      </c>
      <c r="D530" s="2" t="s">
        <v>490</v>
      </c>
      <c r="E530" s="2" t="s">
        <v>405</v>
      </c>
      <c r="F530" s="2" t="s">
        <v>422</v>
      </c>
      <c r="G530" s="2" t="s">
        <v>20</v>
      </c>
      <c r="H530" s="2" t="s">
        <v>22</v>
      </c>
      <c r="I530" s="2">
        <v>675</v>
      </c>
    </row>
    <row r="531" spans="1:9" x14ac:dyDescent="0.25">
      <c r="A531" s="4" t="s">
        <v>338</v>
      </c>
      <c r="B531" s="2" t="s">
        <v>21</v>
      </c>
      <c r="C531" s="2">
        <v>128</v>
      </c>
      <c r="D531" s="2" t="s">
        <v>542</v>
      </c>
      <c r="E531" s="2" t="s">
        <v>405</v>
      </c>
      <c r="F531" s="2" t="s">
        <v>543</v>
      </c>
      <c r="G531" s="2" t="s">
        <v>20</v>
      </c>
      <c r="H531" s="2" t="s">
        <v>22</v>
      </c>
      <c r="I531" s="2">
        <v>675</v>
      </c>
    </row>
    <row r="532" spans="1:9" x14ac:dyDescent="0.25">
      <c r="A532" s="4" t="s">
        <v>338</v>
      </c>
      <c r="B532" s="2" t="s">
        <v>21</v>
      </c>
      <c r="C532" s="2">
        <v>131</v>
      </c>
      <c r="D532" s="2" t="s">
        <v>557</v>
      </c>
      <c r="E532" s="2" t="s">
        <v>548</v>
      </c>
      <c r="F532" s="2" t="s">
        <v>558</v>
      </c>
      <c r="G532" s="2" t="s">
        <v>20</v>
      </c>
      <c r="H532" s="2" t="s">
        <v>22</v>
      </c>
      <c r="I532" s="2">
        <v>628</v>
      </c>
    </row>
    <row r="533" spans="1:9" x14ac:dyDescent="0.25">
      <c r="A533" s="4" t="s">
        <v>338</v>
      </c>
      <c r="B533" s="2" t="s">
        <v>21</v>
      </c>
      <c r="C533" s="2">
        <v>132</v>
      </c>
      <c r="D533" s="2" t="s">
        <v>561</v>
      </c>
      <c r="E533" s="2" t="s">
        <v>548</v>
      </c>
      <c r="F533" s="2" t="s">
        <v>558</v>
      </c>
      <c r="G533" s="2" t="s">
        <v>20</v>
      </c>
      <c r="H533" s="2" t="s">
        <v>22</v>
      </c>
      <c r="I533" s="2">
        <v>628</v>
      </c>
    </row>
    <row r="534" spans="1:9" x14ac:dyDescent="0.25">
      <c r="A534" s="4" t="s">
        <v>338</v>
      </c>
      <c r="B534" s="2" t="s">
        <v>21</v>
      </c>
      <c r="C534" s="2">
        <v>135</v>
      </c>
      <c r="D534" s="2" t="s">
        <v>573</v>
      </c>
      <c r="E534" s="2" t="s">
        <v>548</v>
      </c>
      <c r="F534" s="2" t="s">
        <v>558</v>
      </c>
      <c r="G534" s="2" t="s">
        <v>20</v>
      </c>
      <c r="H534" s="2" t="s">
        <v>22</v>
      </c>
      <c r="I534" s="2">
        <v>628</v>
      </c>
    </row>
    <row r="535" spans="1:9" x14ac:dyDescent="0.25">
      <c r="A535" s="4" t="s">
        <v>338</v>
      </c>
      <c r="B535" s="2" t="s">
        <v>21</v>
      </c>
      <c r="C535" s="2">
        <v>137</v>
      </c>
      <c r="D535" s="2" t="s">
        <v>582</v>
      </c>
      <c r="E535" s="2" t="s">
        <v>548</v>
      </c>
      <c r="F535" s="2" t="s">
        <v>558</v>
      </c>
      <c r="G535" s="2" t="s">
        <v>20</v>
      </c>
      <c r="H535" s="2" t="s">
        <v>22</v>
      </c>
      <c r="I535" s="2">
        <v>628</v>
      </c>
    </row>
    <row r="536" spans="1:9" x14ac:dyDescent="0.25">
      <c r="A536" s="4" t="s">
        <v>338</v>
      </c>
      <c r="B536" s="2" t="s">
        <v>21</v>
      </c>
      <c r="C536" s="2">
        <v>138</v>
      </c>
      <c r="D536" s="2" t="s">
        <v>586</v>
      </c>
      <c r="E536" s="2" t="s">
        <v>548</v>
      </c>
      <c r="F536" s="2" t="s">
        <v>558</v>
      </c>
      <c r="G536" s="2" t="s">
        <v>20</v>
      </c>
      <c r="H536" s="2" t="s">
        <v>22</v>
      </c>
      <c r="I536" s="2">
        <v>628</v>
      </c>
    </row>
    <row r="537" spans="1:9" x14ac:dyDescent="0.25">
      <c r="A537" s="4" t="s">
        <v>338</v>
      </c>
      <c r="B537" s="2" t="s">
        <v>21</v>
      </c>
      <c r="C537" s="2">
        <v>140</v>
      </c>
      <c r="D537" s="2" t="s">
        <v>595</v>
      </c>
      <c r="E537" s="2" t="s">
        <v>548</v>
      </c>
      <c r="F537" s="2" t="s">
        <v>558</v>
      </c>
      <c r="G537" s="2" t="s">
        <v>20</v>
      </c>
      <c r="H537" s="2" t="s">
        <v>22</v>
      </c>
      <c r="I537" s="2">
        <v>628</v>
      </c>
    </row>
    <row r="538" spans="1:9" x14ac:dyDescent="0.25">
      <c r="A538" s="4" t="s">
        <v>338</v>
      </c>
      <c r="B538" s="2" t="s">
        <v>21</v>
      </c>
      <c r="C538" s="2">
        <v>144</v>
      </c>
      <c r="D538" s="2" t="s">
        <v>612</v>
      </c>
      <c r="E538" s="2" t="s">
        <v>548</v>
      </c>
      <c r="F538" s="2" t="s">
        <v>558</v>
      </c>
      <c r="G538" s="2" t="s">
        <v>20</v>
      </c>
      <c r="H538" s="2" t="s">
        <v>22</v>
      </c>
      <c r="I538" s="2">
        <v>628</v>
      </c>
    </row>
    <row r="539" spans="1:9" x14ac:dyDescent="0.25">
      <c r="A539" s="4" t="s">
        <v>338</v>
      </c>
      <c r="B539" s="2" t="s">
        <v>21</v>
      </c>
      <c r="C539" s="2">
        <v>146</v>
      </c>
      <c r="D539" s="2" t="s">
        <v>620</v>
      </c>
      <c r="E539" s="2" t="s">
        <v>548</v>
      </c>
      <c r="F539" s="2" t="s">
        <v>558</v>
      </c>
      <c r="G539" s="2" t="s">
        <v>20</v>
      </c>
      <c r="H539" s="2" t="s">
        <v>22</v>
      </c>
      <c r="I539" s="2">
        <v>628</v>
      </c>
    </row>
    <row r="540" spans="1:9" x14ac:dyDescent="0.25">
      <c r="A540" s="4" t="s">
        <v>338</v>
      </c>
      <c r="B540" s="2" t="s">
        <v>21</v>
      </c>
      <c r="C540" s="2">
        <v>376</v>
      </c>
      <c r="D540" s="2" t="s">
        <v>1502</v>
      </c>
      <c r="E540" s="2" t="s">
        <v>1344</v>
      </c>
      <c r="F540" s="2" t="s">
        <v>1503</v>
      </c>
      <c r="G540" s="2" t="s">
        <v>20</v>
      </c>
      <c r="H540" s="2" t="s">
        <v>22</v>
      </c>
      <c r="I540" s="2">
        <v>1673</v>
      </c>
    </row>
    <row r="541" spans="1:9" x14ac:dyDescent="0.25">
      <c r="A541" s="4" t="s">
        <v>338</v>
      </c>
      <c r="B541" s="2" t="s">
        <v>21</v>
      </c>
      <c r="C541" s="2">
        <v>380</v>
      </c>
      <c r="D541" s="2" t="s">
        <v>1515</v>
      </c>
      <c r="E541" s="2" t="s">
        <v>1344</v>
      </c>
      <c r="F541" s="2" t="s">
        <v>1503</v>
      </c>
      <c r="G541" s="2" t="s">
        <v>20</v>
      </c>
      <c r="H541" s="2" t="s">
        <v>22</v>
      </c>
      <c r="I541" s="2">
        <v>1673</v>
      </c>
    </row>
    <row r="542" spans="1:9" x14ac:dyDescent="0.25">
      <c r="A542" s="4" t="s">
        <v>338</v>
      </c>
      <c r="B542" s="2" t="s">
        <v>21</v>
      </c>
      <c r="C542" s="2">
        <v>400</v>
      </c>
      <c r="D542" s="2" t="s">
        <v>1596</v>
      </c>
      <c r="E542" s="2" t="s">
        <v>1344</v>
      </c>
      <c r="F542" s="2" t="s">
        <v>1503</v>
      </c>
      <c r="G542" s="2" t="s">
        <v>20</v>
      </c>
      <c r="H542" s="2" t="s">
        <v>22</v>
      </c>
      <c r="I542" s="2">
        <v>1673</v>
      </c>
    </row>
    <row r="543" spans="1:9" x14ac:dyDescent="0.25">
      <c r="A543" s="4" t="s">
        <v>338</v>
      </c>
      <c r="B543" s="2" t="s">
        <v>21</v>
      </c>
      <c r="C543" s="2">
        <v>352</v>
      </c>
      <c r="D543" s="2" t="s">
        <v>1409</v>
      </c>
      <c r="E543" s="2" t="s">
        <v>1344</v>
      </c>
      <c r="F543" s="2" t="s">
        <v>1410</v>
      </c>
      <c r="G543" s="2" t="s">
        <v>20</v>
      </c>
      <c r="H543" s="2" t="s">
        <v>22</v>
      </c>
      <c r="I543" s="2">
        <v>1673</v>
      </c>
    </row>
    <row r="544" spans="1:9" x14ac:dyDescent="0.25">
      <c r="A544" s="4" t="s">
        <v>338</v>
      </c>
      <c r="B544" s="2" t="s">
        <v>21</v>
      </c>
      <c r="C544" s="2">
        <v>375</v>
      </c>
      <c r="D544" s="2" t="s">
        <v>1500</v>
      </c>
      <c r="E544" s="2" t="s">
        <v>1344</v>
      </c>
      <c r="F544" s="2" t="s">
        <v>1410</v>
      </c>
      <c r="G544" s="2" t="s">
        <v>20</v>
      </c>
      <c r="H544" s="2" t="s">
        <v>22</v>
      </c>
      <c r="I544" s="2">
        <v>1673</v>
      </c>
    </row>
    <row r="545" spans="1:9" x14ac:dyDescent="0.25">
      <c r="A545" s="4" t="s">
        <v>338</v>
      </c>
      <c r="B545" s="2" t="s">
        <v>21</v>
      </c>
      <c r="C545" s="2">
        <v>393</v>
      </c>
      <c r="D545" s="2" t="s">
        <v>1568</v>
      </c>
      <c r="E545" s="2" t="s">
        <v>1344</v>
      </c>
      <c r="F545" s="2" t="s">
        <v>1410</v>
      </c>
      <c r="G545" s="2" t="s">
        <v>20</v>
      </c>
      <c r="H545" s="2" t="s">
        <v>22</v>
      </c>
      <c r="I545" s="2">
        <v>1673</v>
      </c>
    </row>
    <row r="546" spans="1:9" x14ac:dyDescent="0.25">
      <c r="A546" s="4" t="s">
        <v>338</v>
      </c>
      <c r="B546" s="2" t="s">
        <v>21</v>
      </c>
      <c r="C546" s="2">
        <v>252</v>
      </c>
      <c r="D546" s="2" t="s">
        <v>1033</v>
      </c>
      <c r="E546" s="2" t="s">
        <v>783</v>
      </c>
      <c r="F546" s="2" t="s">
        <v>1034</v>
      </c>
      <c r="G546" s="2" t="s">
        <v>20</v>
      </c>
      <c r="H546" s="2" t="s">
        <v>22</v>
      </c>
      <c r="I546" s="2">
        <v>0</v>
      </c>
    </row>
    <row r="547" spans="1:9" x14ac:dyDescent="0.25">
      <c r="A547" s="4" t="s">
        <v>338</v>
      </c>
      <c r="B547" s="2" t="s">
        <v>21</v>
      </c>
      <c r="C547" s="2">
        <v>191</v>
      </c>
      <c r="D547" s="2" t="s">
        <v>787</v>
      </c>
      <c r="E547" s="2" t="s">
        <v>783</v>
      </c>
      <c r="F547" s="2" t="s">
        <v>788</v>
      </c>
      <c r="G547" s="2" t="s">
        <v>20</v>
      </c>
      <c r="H547" s="2" t="s">
        <v>22</v>
      </c>
      <c r="I547" s="2">
        <v>0</v>
      </c>
    </row>
    <row r="548" spans="1:9" x14ac:dyDescent="0.25">
      <c r="A548" s="4" t="s">
        <v>338</v>
      </c>
      <c r="B548" s="2" t="s">
        <v>21</v>
      </c>
      <c r="C548" s="2">
        <v>194</v>
      </c>
      <c r="D548" s="2" t="s">
        <v>801</v>
      </c>
      <c r="E548" s="2" t="s">
        <v>783</v>
      </c>
      <c r="F548" s="2" t="s">
        <v>788</v>
      </c>
      <c r="G548" s="2" t="s">
        <v>20</v>
      </c>
      <c r="H548" s="2" t="s">
        <v>22</v>
      </c>
      <c r="I548" s="2">
        <v>0</v>
      </c>
    </row>
    <row r="549" spans="1:9" x14ac:dyDescent="0.25">
      <c r="A549" s="4" t="s">
        <v>338</v>
      </c>
      <c r="B549" s="2" t="s">
        <v>21</v>
      </c>
      <c r="C549" s="2">
        <v>203</v>
      </c>
      <c r="D549" s="2" t="s">
        <v>840</v>
      </c>
      <c r="E549" s="2" t="s">
        <v>783</v>
      </c>
      <c r="F549" s="2" t="s">
        <v>788</v>
      </c>
      <c r="G549" s="2" t="s">
        <v>20</v>
      </c>
      <c r="H549" s="2" t="s">
        <v>22</v>
      </c>
      <c r="I549" s="2">
        <v>0</v>
      </c>
    </row>
    <row r="550" spans="1:9" x14ac:dyDescent="0.25">
      <c r="A550" s="4" t="s">
        <v>338</v>
      </c>
      <c r="B550" s="2" t="s">
        <v>21</v>
      </c>
      <c r="C550" s="2">
        <v>225</v>
      </c>
      <c r="D550" s="2" t="s">
        <v>926</v>
      </c>
      <c r="E550" s="2" t="s">
        <v>783</v>
      </c>
      <c r="F550" s="2" t="s">
        <v>788</v>
      </c>
      <c r="G550" s="2" t="s">
        <v>20</v>
      </c>
      <c r="H550" s="2" t="s">
        <v>22</v>
      </c>
      <c r="I550" s="2">
        <v>0</v>
      </c>
    </row>
    <row r="551" spans="1:9" x14ac:dyDescent="0.25">
      <c r="A551" s="4" t="s">
        <v>338</v>
      </c>
      <c r="B551" s="2" t="s">
        <v>21</v>
      </c>
      <c r="C551" s="2">
        <v>245</v>
      </c>
      <c r="D551" s="2" t="s">
        <v>1006</v>
      </c>
      <c r="E551" s="2" t="s">
        <v>783</v>
      </c>
      <c r="F551" s="2" t="s">
        <v>788</v>
      </c>
      <c r="G551" s="2" t="s">
        <v>20</v>
      </c>
      <c r="H551" s="2" t="s">
        <v>22</v>
      </c>
      <c r="I551" s="2">
        <v>0</v>
      </c>
    </row>
    <row r="552" spans="1:9" x14ac:dyDescent="0.25">
      <c r="A552" s="4" t="s">
        <v>338</v>
      </c>
      <c r="B552" s="2" t="s">
        <v>21</v>
      </c>
      <c r="C552" s="2">
        <v>248</v>
      </c>
      <c r="D552" s="2" t="s">
        <v>1018</v>
      </c>
      <c r="E552" s="2" t="s">
        <v>783</v>
      </c>
      <c r="F552" s="2" t="s">
        <v>788</v>
      </c>
      <c r="G552" s="2" t="s">
        <v>20</v>
      </c>
      <c r="H552" s="2" t="s">
        <v>22</v>
      </c>
      <c r="I552" s="2">
        <v>0</v>
      </c>
    </row>
    <row r="553" spans="1:9" x14ac:dyDescent="0.25">
      <c r="A553" s="4" t="s">
        <v>338</v>
      </c>
      <c r="B553" s="2" t="s">
        <v>21</v>
      </c>
      <c r="C553" s="2">
        <v>250</v>
      </c>
      <c r="D553" s="2" t="s">
        <v>1025</v>
      </c>
      <c r="E553" s="2" t="s">
        <v>783</v>
      </c>
      <c r="F553" s="2" t="s">
        <v>788</v>
      </c>
      <c r="G553" s="2" t="s">
        <v>20</v>
      </c>
      <c r="H553" s="2" t="s">
        <v>22</v>
      </c>
      <c r="I553" s="2">
        <v>0</v>
      </c>
    </row>
    <row r="554" spans="1:9" x14ac:dyDescent="0.25">
      <c r="A554" s="4" t="s">
        <v>338</v>
      </c>
      <c r="B554" s="2" t="s">
        <v>21</v>
      </c>
      <c r="C554" s="2">
        <v>218</v>
      </c>
      <c r="D554" s="2" t="s">
        <v>899</v>
      </c>
      <c r="E554" s="2" t="s">
        <v>783</v>
      </c>
      <c r="F554" s="2" t="s">
        <v>900</v>
      </c>
      <c r="G554" s="2" t="s">
        <v>20</v>
      </c>
      <c r="H554" s="2" t="s">
        <v>22</v>
      </c>
      <c r="I554" s="2">
        <v>0</v>
      </c>
    </row>
    <row r="555" spans="1:9" x14ac:dyDescent="0.25">
      <c r="A555" s="4" t="s">
        <v>338</v>
      </c>
      <c r="B555" s="2" t="s">
        <v>21</v>
      </c>
      <c r="C555" s="2">
        <v>228</v>
      </c>
      <c r="D555" s="2" t="s">
        <v>936</v>
      </c>
      <c r="E555" s="2" t="s">
        <v>783</v>
      </c>
      <c r="F555" s="2" t="s">
        <v>937</v>
      </c>
      <c r="G555" s="2" t="s">
        <v>20</v>
      </c>
      <c r="H555" s="2" t="s">
        <v>22</v>
      </c>
      <c r="I555" s="2">
        <v>0</v>
      </c>
    </row>
    <row r="556" spans="1:9" x14ac:dyDescent="0.25">
      <c r="A556" s="4" t="s">
        <v>338</v>
      </c>
      <c r="B556" s="2" t="s">
        <v>21</v>
      </c>
      <c r="C556" s="2">
        <v>291</v>
      </c>
      <c r="D556" s="2" t="s">
        <v>1184</v>
      </c>
      <c r="E556" s="2" t="s">
        <v>1175</v>
      </c>
      <c r="F556" s="2" t="s">
        <v>1185</v>
      </c>
      <c r="G556" s="2" t="s">
        <v>95</v>
      </c>
      <c r="H556" s="2" t="s">
        <v>97</v>
      </c>
      <c r="I556" s="2">
        <v>3619</v>
      </c>
    </row>
    <row r="557" spans="1:9" x14ac:dyDescent="0.25">
      <c r="A557" s="4" t="s">
        <v>338</v>
      </c>
      <c r="B557" s="2" t="s">
        <v>21</v>
      </c>
      <c r="C557" s="2">
        <v>293</v>
      </c>
      <c r="D557" s="2" t="s">
        <v>1191</v>
      </c>
      <c r="E557" s="2" t="s">
        <v>1175</v>
      </c>
      <c r="F557" s="2" t="s">
        <v>1185</v>
      </c>
      <c r="G557" s="2" t="s">
        <v>95</v>
      </c>
      <c r="H557" s="2" t="s">
        <v>97</v>
      </c>
      <c r="I557" s="2">
        <v>3619</v>
      </c>
    </row>
    <row r="558" spans="1:9" x14ac:dyDescent="0.25">
      <c r="A558" s="4" t="s">
        <v>338</v>
      </c>
      <c r="B558" s="2" t="s">
        <v>21</v>
      </c>
      <c r="C558" s="2">
        <v>289</v>
      </c>
      <c r="D558" s="2" t="s">
        <v>1173</v>
      </c>
      <c r="E558" s="2" t="s">
        <v>1175</v>
      </c>
      <c r="F558" s="2" t="s">
        <v>1176</v>
      </c>
      <c r="G558" s="2" t="s">
        <v>95</v>
      </c>
      <c r="H558" s="2" t="s">
        <v>97</v>
      </c>
      <c r="I558" s="2">
        <v>3619</v>
      </c>
    </row>
    <row r="559" spans="1:9" x14ac:dyDescent="0.25">
      <c r="A559" s="4" t="s">
        <v>338</v>
      </c>
      <c r="B559" s="2" t="s">
        <v>21</v>
      </c>
      <c r="C559" s="2">
        <v>290</v>
      </c>
      <c r="D559" s="2" t="s">
        <v>1180</v>
      </c>
      <c r="E559" s="2" t="s">
        <v>1175</v>
      </c>
      <c r="F559" s="2" t="s">
        <v>1176</v>
      </c>
      <c r="G559" s="2" t="s">
        <v>95</v>
      </c>
      <c r="H559" s="2" t="s">
        <v>97</v>
      </c>
      <c r="I559" s="2">
        <v>3619</v>
      </c>
    </row>
    <row r="560" spans="1:9" x14ac:dyDescent="0.25">
      <c r="A560" s="4" t="s">
        <v>338</v>
      </c>
      <c r="B560" s="2" t="s">
        <v>21</v>
      </c>
      <c r="C560" s="2">
        <v>292</v>
      </c>
      <c r="D560" s="2" t="s">
        <v>1188</v>
      </c>
      <c r="E560" s="2" t="s">
        <v>1175</v>
      </c>
      <c r="F560" s="2" t="s">
        <v>1176</v>
      </c>
      <c r="G560" s="2" t="s">
        <v>95</v>
      </c>
      <c r="H560" s="2" t="s">
        <v>97</v>
      </c>
      <c r="I560" s="2">
        <v>3619</v>
      </c>
    </row>
    <row r="561" spans="1:9" x14ac:dyDescent="0.25">
      <c r="A561" s="4" t="s">
        <v>338</v>
      </c>
      <c r="B561" s="2" t="s">
        <v>21</v>
      </c>
      <c r="C561" s="2">
        <v>294</v>
      </c>
      <c r="D561" s="2" t="s">
        <v>1193</v>
      </c>
      <c r="E561" s="2" t="s">
        <v>1175</v>
      </c>
      <c r="F561" s="2" t="s">
        <v>1176</v>
      </c>
      <c r="G561" s="2" t="s">
        <v>95</v>
      </c>
      <c r="H561" s="2" t="s">
        <v>97</v>
      </c>
      <c r="I561" s="2">
        <v>3619</v>
      </c>
    </row>
    <row r="562" spans="1:9" x14ac:dyDescent="0.25">
      <c r="A562" s="4" t="s">
        <v>338</v>
      </c>
      <c r="B562" s="2" t="s">
        <v>21</v>
      </c>
      <c r="C562" s="2">
        <v>77</v>
      </c>
      <c r="D562" s="2" t="s">
        <v>349</v>
      </c>
      <c r="E562" s="2" t="s">
        <v>334</v>
      </c>
      <c r="F562" s="2" t="s">
        <v>350</v>
      </c>
      <c r="G562" s="2" t="s">
        <v>95</v>
      </c>
      <c r="H562" s="2" t="s">
        <v>97</v>
      </c>
      <c r="I562" s="2">
        <v>201</v>
      </c>
    </row>
    <row r="563" spans="1:9" x14ac:dyDescent="0.25">
      <c r="A563" s="4" t="s">
        <v>338</v>
      </c>
      <c r="B563" s="2" t="s">
        <v>21</v>
      </c>
      <c r="C563" s="2">
        <v>78</v>
      </c>
      <c r="D563" s="2" t="s">
        <v>353</v>
      </c>
      <c r="E563" s="2" t="s">
        <v>334</v>
      </c>
      <c r="F563" s="2" t="s">
        <v>350</v>
      </c>
      <c r="G563" s="2" t="s">
        <v>95</v>
      </c>
      <c r="H563" s="2" t="s">
        <v>97</v>
      </c>
      <c r="I563" s="2">
        <v>201</v>
      </c>
    </row>
    <row r="564" spans="1:9" x14ac:dyDescent="0.25">
      <c r="A564" s="4" t="s">
        <v>338</v>
      </c>
      <c r="B564" s="2" t="s">
        <v>21</v>
      </c>
      <c r="C564" s="2">
        <v>83</v>
      </c>
      <c r="D564" s="2" t="s">
        <v>371</v>
      </c>
      <c r="E564" s="2" t="s">
        <v>334</v>
      </c>
      <c r="F564" s="2" t="s">
        <v>350</v>
      </c>
      <c r="G564" s="2" t="s">
        <v>95</v>
      </c>
      <c r="H564" s="2" t="s">
        <v>97</v>
      </c>
      <c r="I564" s="2">
        <v>201</v>
      </c>
    </row>
    <row r="565" spans="1:9" x14ac:dyDescent="0.25">
      <c r="A565" s="4" t="s">
        <v>338</v>
      </c>
      <c r="B565" s="2" t="s">
        <v>21</v>
      </c>
      <c r="C565" s="2">
        <v>92</v>
      </c>
      <c r="D565" s="2" t="s">
        <v>401</v>
      </c>
      <c r="E565" s="2" t="s">
        <v>334</v>
      </c>
      <c r="F565" s="2" t="s">
        <v>350</v>
      </c>
      <c r="G565" s="2" t="s">
        <v>95</v>
      </c>
      <c r="H565" s="2" t="s">
        <v>97</v>
      </c>
      <c r="I565" s="2">
        <v>201</v>
      </c>
    </row>
    <row r="566" spans="1:9" x14ac:dyDescent="0.25">
      <c r="A566" s="4" t="s">
        <v>338</v>
      </c>
      <c r="B566" s="2" t="s">
        <v>21</v>
      </c>
      <c r="C566" s="2">
        <v>84</v>
      </c>
      <c r="D566" s="2" t="s">
        <v>374</v>
      </c>
      <c r="E566" s="2" t="s">
        <v>334</v>
      </c>
      <c r="F566" s="2" t="s">
        <v>375</v>
      </c>
      <c r="G566" s="2" t="s">
        <v>95</v>
      </c>
      <c r="H566" s="2" t="s">
        <v>97</v>
      </c>
      <c r="I566" s="2">
        <v>201</v>
      </c>
    </row>
    <row r="567" spans="1:9" x14ac:dyDescent="0.25">
      <c r="A567" s="4" t="s">
        <v>338</v>
      </c>
      <c r="B567" s="2" t="s">
        <v>21</v>
      </c>
      <c r="C567" s="2">
        <v>90</v>
      </c>
      <c r="D567" s="2" t="s">
        <v>397</v>
      </c>
      <c r="E567" s="2" t="s">
        <v>334</v>
      </c>
      <c r="F567" s="2" t="s">
        <v>375</v>
      </c>
      <c r="G567" s="2" t="s">
        <v>95</v>
      </c>
      <c r="H567" s="2" t="s">
        <v>97</v>
      </c>
      <c r="I567" s="2">
        <v>201</v>
      </c>
    </row>
    <row r="568" spans="1:9" x14ac:dyDescent="0.25">
      <c r="A568" s="4" t="s">
        <v>338</v>
      </c>
      <c r="B568" s="2" t="s">
        <v>21</v>
      </c>
      <c r="C568" s="2">
        <v>74</v>
      </c>
      <c r="D568" s="2" t="s">
        <v>332</v>
      </c>
      <c r="E568" s="2" t="s">
        <v>334</v>
      </c>
      <c r="F568" s="2" t="s">
        <v>335</v>
      </c>
      <c r="G568" s="2" t="s">
        <v>95</v>
      </c>
      <c r="H568" s="2" t="s">
        <v>97</v>
      </c>
      <c r="I568" s="2">
        <v>201</v>
      </c>
    </row>
    <row r="569" spans="1:9" x14ac:dyDescent="0.25">
      <c r="A569" s="4" t="s">
        <v>338</v>
      </c>
      <c r="B569" s="2" t="s">
        <v>21</v>
      </c>
      <c r="C569" s="2">
        <v>79</v>
      </c>
      <c r="D569" s="2" t="s">
        <v>356</v>
      </c>
      <c r="E569" s="2" t="s">
        <v>334</v>
      </c>
      <c r="F569" s="2" t="s">
        <v>335</v>
      </c>
      <c r="G569" s="2" t="s">
        <v>95</v>
      </c>
      <c r="H569" s="2" t="s">
        <v>97</v>
      </c>
      <c r="I569" s="2">
        <v>201</v>
      </c>
    </row>
    <row r="570" spans="1:9" x14ac:dyDescent="0.25">
      <c r="A570" s="4" t="s">
        <v>338</v>
      </c>
      <c r="B570" s="2" t="s">
        <v>21</v>
      </c>
      <c r="C570" s="2">
        <v>80</v>
      </c>
      <c r="D570" s="2" t="s">
        <v>359</v>
      </c>
      <c r="E570" s="2" t="s">
        <v>334</v>
      </c>
      <c r="F570" s="2" t="s">
        <v>335</v>
      </c>
      <c r="G570" s="2" t="s">
        <v>95</v>
      </c>
      <c r="H570" s="2" t="s">
        <v>97</v>
      </c>
      <c r="I570" s="2">
        <v>201</v>
      </c>
    </row>
    <row r="571" spans="1:9" x14ac:dyDescent="0.25">
      <c r="A571" s="4" t="s">
        <v>338</v>
      </c>
      <c r="B571" s="2" t="s">
        <v>21</v>
      </c>
      <c r="C571" s="2">
        <v>86</v>
      </c>
      <c r="D571" s="2" t="s">
        <v>381</v>
      </c>
      <c r="E571" s="2" t="s">
        <v>334</v>
      </c>
      <c r="F571" s="2" t="s">
        <v>335</v>
      </c>
      <c r="G571" s="2" t="s">
        <v>95</v>
      </c>
      <c r="H571" s="2" t="s">
        <v>97</v>
      </c>
      <c r="I571" s="2">
        <v>201</v>
      </c>
    </row>
    <row r="572" spans="1:9" x14ac:dyDescent="0.25">
      <c r="A572" s="4" t="s">
        <v>338</v>
      </c>
      <c r="B572" s="2" t="s">
        <v>21</v>
      </c>
      <c r="C572" s="2">
        <v>82</v>
      </c>
      <c r="D572" s="2" t="s">
        <v>367</v>
      </c>
      <c r="E572" s="2" t="s">
        <v>334</v>
      </c>
      <c r="F572" s="2" t="s">
        <v>368</v>
      </c>
      <c r="G572" s="2" t="s">
        <v>95</v>
      </c>
      <c r="H572" s="2" t="s">
        <v>97</v>
      </c>
      <c r="I572" s="2">
        <v>201</v>
      </c>
    </row>
    <row r="573" spans="1:9" x14ac:dyDescent="0.25">
      <c r="A573" s="4" t="s">
        <v>338</v>
      </c>
      <c r="B573" s="2" t="s">
        <v>21</v>
      </c>
      <c r="C573" s="2">
        <v>76</v>
      </c>
      <c r="D573" s="2" t="s">
        <v>344</v>
      </c>
      <c r="E573" s="2" t="s">
        <v>334</v>
      </c>
      <c r="F573" s="2" t="s">
        <v>345</v>
      </c>
      <c r="G573" s="2" t="s">
        <v>95</v>
      </c>
      <c r="H573" s="2" t="s">
        <v>97</v>
      </c>
      <c r="I573" s="2">
        <v>201</v>
      </c>
    </row>
    <row r="574" spans="1:9" x14ac:dyDescent="0.25">
      <c r="A574" s="4" t="s">
        <v>338</v>
      </c>
      <c r="B574" s="2" t="s">
        <v>21</v>
      </c>
      <c r="C574" s="2">
        <v>85</v>
      </c>
      <c r="D574" s="2" t="s">
        <v>378</v>
      </c>
      <c r="E574" s="2" t="s">
        <v>334</v>
      </c>
      <c r="F574" s="2" t="s">
        <v>345</v>
      </c>
      <c r="G574" s="2" t="s">
        <v>95</v>
      </c>
      <c r="H574" s="2" t="s">
        <v>97</v>
      </c>
      <c r="I574" s="2">
        <v>201</v>
      </c>
    </row>
    <row r="575" spans="1:9" x14ac:dyDescent="0.25">
      <c r="A575" s="4" t="s">
        <v>338</v>
      </c>
      <c r="B575" s="2" t="s">
        <v>21</v>
      </c>
      <c r="C575" s="2">
        <v>81</v>
      </c>
      <c r="D575" s="2" t="s">
        <v>362</v>
      </c>
      <c r="E575" s="2" t="s">
        <v>334</v>
      </c>
      <c r="F575" s="2" t="s">
        <v>363</v>
      </c>
      <c r="G575" s="2" t="s">
        <v>95</v>
      </c>
      <c r="H575" s="2" t="s">
        <v>97</v>
      </c>
      <c r="I575" s="2">
        <v>201</v>
      </c>
    </row>
    <row r="576" spans="1:9" x14ac:dyDescent="0.25">
      <c r="A576" s="4" t="s">
        <v>338</v>
      </c>
      <c r="B576" s="2" t="s">
        <v>21</v>
      </c>
      <c r="C576" s="2">
        <v>75</v>
      </c>
      <c r="D576" s="2" t="s">
        <v>340</v>
      </c>
      <c r="E576" s="2" t="s">
        <v>334</v>
      </c>
      <c r="F576" s="2" t="s">
        <v>341</v>
      </c>
      <c r="G576" s="2" t="s">
        <v>95</v>
      </c>
      <c r="H576" s="2" t="s">
        <v>97</v>
      </c>
      <c r="I576" s="2">
        <v>201</v>
      </c>
    </row>
    <row r="577" spans="1:9" x14ac:dyDescent="0.25">
      <c r="A577" s="4" t="s">
        <v>338</v>
      </c>
      <c r="B577" s="2" t="s">
        <v>21</v>
      </c>
      <c r="C577" s="2">
        <v>88</v>
      </c>
      <c r="D577" s="2" t="s">
        <v>389</v>
      </c>
      <c r="E577" s="2" t="s">
        <v>334</v>
      </c>
      <c r="F577" s="2" t="s">
        <v>390</v>
      </c>
      <c r="G577" s="2" t="s">
        <v>95</v>
      </c>
      <c r="H577" s="2" t="s">
        <v>97</v>
      </c>
      <c r="I577" s="2">
        <v>201</v>
      </c>
    </row>
    <row r="578" spans="1:9" x14ac:dyDescent="0.25">
      <c r="A578" s="4" t="s">
        <v>338</v>
      </c>
      <c r="B578" s="2" t="s">
        <v>21</v>
      </c>
      <c r="C578" s="2">
        <v>87</v>
      </c>
      <c r="D578" s="2" t="s">
        <v>385</v>
      </c>
      <c r="E578" s="2" t="s">
        <v>334</v>
      </c>
      <c r="F578" s="2" t="s">
        <v>386</v>
      </c>
      <c r="G578" s="2" t="s">
        <v>95</v>
      </c>
      <c r="H578" s="2" t="s">
        <v>97</v>
      </c>
      <c r="I578" s="2">
        <v>201</v>
      </c>
    </row>
    <row r="579" spans="1:9" x14ac:dyDescent="0.25">
      <c r="A579" s="4" t="s">
        <v>338</v>
      </c>
      <c r="B579" s="2" t="s">
        <v>21</v>
      </c>
      <c r="C579" s="2">
        <v>89</v>
      </c>
      <c r="D579" s="2" t="s">
        <v>393</v>
      </c>
      <c r="E579" s="2" t="s">
        <v>334</v>
      </c>
      <c r="F579" s="2" t="s">
        <v>394</v>
      </c>
      <c r="G579" s="2" t="s">
        <v>95</v>
      </c>
      <c r="H579" s="2" t="s">
        <v>97</v>
      </c>
      <c r="I579" s="2">
        <v>201</v>
      </c>
    </row>
    <row r="580" spans="1:9" x14ac:dyDescent="0.25">
      <c r="A580" s="4" t="s">
        <v>338</v>
      </c>
      <c r="B580" s="2" t="s">
        <v>21</v>
      </c>
      <c r="C580" s="2">
        <v>91</v>
      </c>
      <c r="D580" s="2" t="s">
        <v>399</v>
      </c>
      <c r="E580" s="2" t="s">
        <v>334</v>
      </c>
      <c r="F580" s="2" t="s">
        <v>394</v>
      </c>
      <c r="G580" s="2" t="s">
        <v>95</v>
      </c>
      <c r="H580" s="2" t="s">
        <v>97</v>
      </c>
      <c r="I580" s="2">
        <v>201</v>
      </c>
    </row>
    <row r="581" spans="1:9" x14ac:dyDescent="0.25">
      <c r="A581" s="4" t="s">
        <v>338</v>
      </c>
      <c r="B581" s="2" t="s">
        <v>21</v>
      </c>
      <c r="C581" s="2">
        <v>306</v>
      </c>
      <c r="D581" s="2" t="s">
        <v>1237</v>
      </c>
      <c r="E581" s="2" t="s">
        <v>1198</v>
      </c>
      <c r="F581" s="2" t="s">
        <v>1238</v>
      </c>
      <c r="G581" s="2" t="s">
        <v>95</v>
      </c>
      <c r="H581" s="2" t="s">
        <v>97</v>
      </c>
      <c r="I581" s="2">
        <v>2833</v>
      </c>
    </row>
    <row r="582" spans="1:9" x14ac:dyDescent="0.25">
      <c r="A582" s="4" t="s">
        <v>338</v>
      </c>
      <c r="B582" s="2" t="s">
        <v>21</v>
      </c>
      <c r="C582" s="2">
        <v>317</v>
      </c>
      <c r="D582" s="2" t="s">
        <v>1273</v>
      </c>
      <c r="E582" s="2" t="s">
        <v>1198</v>
      </c>
      <c r="F582" s="2" t="s">
        <v>1274</v>
      </c>
      <c r="G582" s="2" t="s">
        <v>95</v>
      </c>
      <c r="H582" s="2" t="s">
        <v>97</v>
      </c>
      <c r="I582" s="2">
        <v>2833</v>
      </c>
    </row>
    <row r="583" spans="1:9" x14ac:dyDescent="0.25">
      <c r="A583" s="4" t="s">
        <v>338</v>
      </c>
      <c r="B583" s="2" t="s">
        <v>21</v>
      </c>
      <c r="C583" s="2">
        <v>322</v>
      </c>
      <c r="D583" s="2" t="s">
        <v>1289</v>
      </c>
      <c r="E583" s="2" t="s">
        <v>1290</v>
      </c>
      <c r="F583" s="2" t="s">
        <v>1291</v>
      </c>
      <c r="G583" s="2" t="s">
        <v>95</v>
      </c>
      <c r="H583" s="2" t="s">
        <v>97</v>
      </c>
      <c r="I583" s="2">
        <v>2004</v>
      </c>
    </row>
    <row r="584" spans="1:9" x14ac:dyDescent="0.25">
      <c r="A584" s="4" t="s">
        <v>338</v>
      </c>
      <c r="B584" s="2" t="s">
        <v>21</v>
      </c>
      <c r="C584" s="2">
        <v>324</v>
      </c>
      <c r="D584" s="2" t="s">
        <v>1299</v>
      </c>
      <c r="E584" s="2" t="s">
        <v>1290</v>
      </c>
      <c r="F584" s="2" t="s">
        <v>1291</v>
      </c>
      <c r="G584" s="2" t="s">
        <v>95</v>
      </c>
      <c r="H584" s="2" t="s">
        <v>97</v>
      </c>
      <c r="I584" s="2">
        <v>2004</v>
      </c>
    </row>
    <row r="585" spans="1:9" x14ac:dyDescent="0.25">
      <c r="A585" s="4" t="s">
        <v>338</v>
      </c>
      <c r="B585" s="2" t="s">
        <v>21</v>
      </c>
      <c r="C585" s="2">
        <v>325</v>
      </c>
      <c r="D585" s="2" t="s">
        <v>1302</v>
      </c>
      <c r="E585" s="2" t="s">
        <v>1290</v>
      </c>
      <c r="F585" s="2" t="s">
        <v>1291</v>
      </c>
      <c r="G585" s="2" t="s">
        <v>95</v>
      </c>
      <c r="H585" s="2" t="s">
        <v>97</v>
      </c>
      <c r="I585" s="2">
        <v>2004</v>
      </c>
    </row>
    <row r="586" spans="1:9" x14ac:dyDescent="0.25">
      <c r="A586" s="4" t="s">
        <v>338</v>
      </c>
      <c r="B586" s="2" t="s">
        <v>21</v>
      </c>
      <c r="C586" s="2">
        <v>326</v>
      </c>
      <c r="D586" s="2" t="s">
        <v>1306</v>
      </c>
      <c r="E586" s="2" t="s">
        <v>1290</v>
      </c>
      <c r="F586" s="2" t="s">
        <v>1291</v>
      </c>
      <c r="G586" s="2" t="s">
        <v>95</v>
      </c>
      <c r="H586" s="2" t="s">
        <v>97</v>
      </c>
      <c r="I586" s="2">
        <v>2004</v>
      </c>
    </row>
    <row r="587" spans="1:9" x14ac:dyDescent="0.25">
      <c r="A587" s="4" t="s">
        <v>338</v>
      </c>
      <c r="B587" s="2" t="s">
        <v>21</v>
      </c>
      <c r="C587" s="2">
        <v>327</v>
      </c>
      <c r="D587" s="2" t="s">
        <v>1310</v>
      </c>
      <c r="E587" s="2" t="s">
        <v>1290</v>
      </c>
      <c r="F587" s="2" t="s">
        <v>1291</v>
      </c>
      <c r="G587" s="2" t="s">
        <v>95</v>
      </c>
      <c r="H587" s="2" t="s">
        <v>97</v>
      </c>
      <c r="I587" s="2">
        <v>2004</v>
      </c>
    </row>
    <row r="588" spans="1:9" x14ac:dyDescent="0.25">
      <c r="A588" s="4" t="s">
        <v>338</v>
      </c>
      <c r="B588" s="2" t="s">
        <v>21</v>
      </c>
      <c r="C588" s="2">
        <v>328</v>
      </c>
      <c r="D588" s="2" t="s">
        <v>1313</v>
      </c>
      <c r="E588" s="2" t="s">
        <v>1290</v>
      </c>
      <c r="F588" s="2" t="s">
        <v>1291</v>
      </c>
      <c r="G588" s="2" t="s">
        <v>95</v>
      </c>
      <c r="H588" s="2" t="s">
        <v>97</v>
      </c>
      <c r="I588" s="2">
        <v>2004</v>
      </c>
    </row>
    <row r="589" spans="1:9" x14ac:dyDescent="0.25">
      <c r="A589" s="4" t="s">
        <v>338</v>
      </c>
      <c r="B589" s="2" t="s">
        <v>21</v>
      </c>
      <c r="C589" s="2">
        <v>329</v>
      </c>
      <c r="D589" s="2" t="s">
        <v>1317</v>
      </c>
      <c r="E589" s="2" t="s">
        <v>1290</v>
      </c>
      <c r="F589" s="2" t="s">
        <v>1291</v>
      </c>
      <c r="G589" s="2" t="s">
        <v>95</v>
      </c>
      <c r="H589" s="2" t="s">
        <v>97</v>
      </c>
      <c r="I589" s="2">
        <v>2004</v>
      </c>
    </row>
    <row r="590" spans="1:9" x14ac:dyDescent="0.25">
      <c r="A590" s="4" t="s">
        <v>338</v>
      </c>
      <c r="B590" s="2" t="s">
        <v>21</v>
      </c>
      <c r="C590" s="2">
        <v>330</v>
      </c>
      <c r="D590" s="2" t="s">
        <v>1320</v>
      </c>
      <c r="E590" s="2" t="s">
        <v>1290</v>
      </c>
      <c r="F590" s="2" t="s">
        <v>1291</v>
      </c>
      <c r="G590" s="2" t="s">
        <v>95</v>
      </c>
      <c r="H590" s="2" t="s">
        <v>97</v>
      </c>
      <c r="I590" s="2">
        <v>2004</v>
      </c>
    </row>
    <row r="591" spans="1:9" x14ac:dyDescent="0.25">
      <c r="A591" s="4" t="s">
        <v>338</v>
      </c>
      <c r="B591" s="2" t="s">
        <v>21</v>
      </c>
      <c r="C591" s="2">
        <v>332</v>
      </c>
      <c r="D591" s="2" t="s">
        <v>1328</v>
      </c>
      <c r="E591" s="2" t="s">
        <v>1290</v>
      </c>
      <c r="F591" s="2" t="s">
        <v>1291</v>
      </c>
      <c r="G591" s="2" t="s">
        <v>95</v>
      </c>
      <c r="H591" s="2" t="s">
        <v>97</v>
      </c>
      <c r="I591" s="2">
        <v>2004</v>
      </c>
    </row>
    <row r="592" spans="1:9" x14ac:dyDescent="0.25">
      <c r="A592" s="4" t="s">
        <v>338</v>
      </c>
      <c r="B592" s="2" t="s">
        <v>244</v>
      </c>
      <c r="C592" s="2">
        <v>333</v>
      </c>
      <c r="D592" s="2" t="s">
        <v>1332</v>
      </c>
      <c r="E592" s="2" t="s">
        <v>1290</v>
      </c>
      <c r="F592" s="2" t="s">
        <v>1291</v>
      </c>
      <c r="G592" s="2" t="s">
        <v>95</v>
      </c>
      <c r="H592" s="2" t="s">
        <v>97</v>
      </c>
      <c r="I592" s="2">
        <v>2004</v>
      </c>
    </row>
    <row r="593" spans="1:9" x14ac:dyDescent="0.25">
      <c r="A593" s="4" t="s">
        <v>338</v>
      </c>
      <c r="B593" s="2" t="s">
        <v>244</v>
      </c>
      <c r="C593" s="2">
        <v>335</v>
      </c>
      <c r="D593" s="2" t="s">
        <v>1338</v>
      </c>
      <c r="E593" s="2" t="s">
        <v>1290</v>
      </c>
      <c r="F593" s="2" t="s">
        <v>1291</v>
      </c>
      <c r="G593" s="2" t="s">
        <v>95</v>
      </c>
      <c r="H593" s="2" t="s">
        <v>97</v>
      </c>
      <c r="I593" s="2">
        <v>2004</v>
      </c>
    </row>
    <row r="594" spans="1:9" x14ac:dyDescent="0.25">
      <c r="A594" s="4" t="s">
        <v>338</v>
      </c>
      <c r="B594" s="2" t="s">
        <v>244</v>
      </c>
      <c r="C594" s="2">
        <v>336</v>
      </c>
      <c r="D594" s="2" t="s">
        <v>1341</v>
      </c>
      <c r="E594" s="2" t="s">
        <v>1290</v>
      </c>
      <c r="F594" s="2" t="s">
        <v>1291</v>
      </c>
      <c r="G594" s="2" t="s">
        <v>95</v>
      </c>
      <c r="H594" s="2" t="s">
        <v>97</v>
      </c>
      <c r="I594" s="2">
        <v>2004</v>
      </c>
    </row>
    <row r="595" spans="1:9" x14ac:dyDescent="0.25">
      <c r="A595" s="4" t="s">
        <v>338</v>
      </c>
      <c r="B595" s="2" t="s">
        <v>244</v>
      </c>
      <c r="C595" s="2">
        <v>323</v>
      </c>
      <c r="D595" s="2" t="s">
        <v>1295</v>
      </c>
      <c r="E595" s="2" t="s">
        <v>1290</v>
      </c>
      <c r="F595" s="2" t="s">
        <v>1296</v>
      </c>
      <c r="G595" s="2" t="s">
        <v>95</v>
      </c>
      <c r="H595" s="2" t="s">
        <v>97</v>
      </c>
      <c r="I595" s="2">
        <v>2004</v>
      </c>
    </row>
    <row r="596" spans="1:9" x14ac:dyDescent="0.25">
      <c r="A596" s="4" t="s">
        <v>338</v>
      </c>
      <c r="B596" s="2" t="s">
        <v>244</v>
      </c>
      <c r="C596" s="2">
        <v>331</v>
      </c>
      <c r="D596" s="2" t="s">
        <v>1324</v>
      </c>
      <c r="E596" s="2" t="s">
        <v>1290</v>
      </c>
      <c r="F596" s="2" t="s">
        <v>1296</v>
      </c>
      <c r="G596" s="2" t="s">
        <v>95</v>
      </c>
      <c r="H596" s="2" t="s">
        <v>97</v>
      </c>
      <c r="I596" s="2">
        <v>2004</v>
      </c>
    </row>
    <row r="597" spans="1:9" x14ac:dyDescent="0.25">
      <c r="A597" s="4" t="s">
        <v>338</v>
      </c>
      <c r="B597" s="2" t="s">
        <v>244</v>
      </c>
      <c r="C597" s="2">
        <v>334</v>
      </c>
      <c r="D597" s="2" t="s">
        <v>1335</v>
      </c>
      <c r="E597" s="2" t="s">
        <v>1290</v>
      </c>
      <c r="F597" s="2" t="s">
        <v>1296</v>
      </c>
      <c r="G597" s="2" t="s">
        <v>95</v>
      </c>
      <c r="H597" s="2" t="s">
        <v>97</v>
      </c>
      <c r="I597" s="2">
        <v>2004</v>
      </c>
    </row>
    <row r="598" spans="1:9" x14ac:dyDescent="0.25">
      <c r="A598" s="4" t="s">
        <v>338</v>
      </c>
      <c r="B598" s="2" t="s">
        <v>244</v>
      </c>
      <c r="C598" s="2">
        <v>108</v>
      </c>
      <c r="D598" s="2" t="s">
        <v>466</v>
      </c>
      <c r="E598" s="2" t="s">
        <v>405</v>
      </c>
      <c r="F598" s="2" t="s">
        <v>467</v>
      </c>
      <c r="G598" s="2" t="s">
        <v>95</v>
      </c>
      <c r="H598" s="2" t="s">
        <v>97</v>
      </c>
      <c r="I598" s="2">
        <v>675</v>
      </c>
    </row>
    <row r="599" spans="1:9" x14ac:dyDescent="0.25">
      <c r="A599" s="4" t="s">
        <v>338</v>
      </c>
      <c r="B599" s="2" t="s">
        <v>244</v>
      </c>
      <c r="C599" s="2">
        <v>106</v>
      </c>
      <c r="D599" s="2" t="s">
        <v>457</v>
      </c>
      <c r="E599" s="2" t="s">
        <v>405</v>
      </c>
      <c r="F599" s="2" t="s">
        <v>458</v>
      </c>
      <c r="G599" s="2" t="s">
        <v>95</v>
      </c>
      <c r="H599" s="2" t="s">
        <v>97</v>
      </c>
      <c r="I599" s="2">
        <v>675</v>
      </c>
    </row>
    <row r="600" spans="1:9" x14ac:dyDescent="0.25">
      <c r="A600" s="4" t="s">
        <v>338</v>
      </c>
      <c r="B600" s="2" t="s">
        <v>244</v>
      </c>
      <c r="C600" s="2">
        <v>119</v>
      </c>
      <c r="D600" s="2" t="s">
        <v>509</v>
      </c>
      <c r="E600" s="2" t="s">
        <v>405</v>
      </c>
      <c r="F600" s="2" t="s">
        <v>458</v>
      </c>
      <c r="G600" s="2" t="s">
        <v>95</v>
      </c>
      <c r="H600" s="2" t="s">
        <v>97</v>
      </c>
      <c r="I600" s="2">
        <v>675</v>
      </c>
    </row>
    <row r="601" spans="1:9" x14ac:dyDescent="0.25">
      <c r="A601" s="4" t="s">
        <v>338</v>
      </c>
      <c r="B601" s="2" t="s">
        <v>244</v>
      </c>
      <c r="C601" s="2">
        <v>109</v>
      </c>
      <c r="D601" s="2" t="s">
        <v>470</v>
      </c>
      <c r="E601" s="2" t="s">
        <v>405</v>
      </c>
      <c r="F601" s="2" t="s">
        <v>471</v>
      </c>
      <c r="G601" s="2" t="s">
        <v>95</v>
      </c>
      <c r="H601" s="2" t="s">
        <v>97</v>
      </c>
      <c r="I601" s="2">
        <v>675</v>
      </c>
    </row>
    <row r="602" spans="1:9" x14ac:dyDescent="0.25">
      <c r="A602" s="4" t="s">
        <v>338</v>
      </c>
      <c r="B602" s="2" t="s">
        <v>244</v>
      </c>
      <c r="C602" s="2">
        <v>122</v>
      </c>
      <c r="D602" s="2" t="s">
        <v>518</v>
      </c>
      <c r="E602" s="2" t="s">
        <v>405</v>
      </c>
      <c r="F602" s="2" t="s">
        <v>519</v>
      </c>
      <c r="G602" s="2" t="s">
        <v>95</v>
      </c>
      <c r="H602" s="2" t="s">
        <v>97</v>
      </c>
      <c r="I602" s="2">
        <v>675</v>
      </c>
    </row>
    <row r="603" spans="1:9" x14ac:dyDescent="0.25">
      <c r="A603" s="4" t="s">
        <v>338</v>
      </c>
      <c r="B603" s="2" t="s">
        <v>244</v>
      </c>
      <c r="C603" s="2">
        <v>111</v>
      </c>
      <c r="D603" s="2" t="s">
        <v>477</v>
      </c>
      <c r="E603" s="2" t="s">
        <v>405</v>
      </c>
      <c r="F603" s="2" t="s">
        <v>478</v>
      </c>
      <c r="G603" s="2" t="s">
        <v>95</v>
      </c>
      <c r="H603" s="2" t="s">
        <v>97</v>
      </c>
      <c r="I603" s="2">
        <v>675</v>
      </c>
    </row>
    <row r="604" spans="1:9" x14ac:dyDescent="0.25">
      <c r="A604" s="4" t="s">
        <v>338</v>
      </c>
      <c r="B604" s="2" t="s">
        <v>244</v>
      </c>
      <c r="C604" s="2">
        <v>102</v>
      </c>
      <c r="D604" s="2" t="s">
        <v>443</v>
      </c>
      <c r="E604" s="2" t="s">
        <v>405</v>
      </c>
      <c r="F604" s="2" t="s">
        <v>444</v>
      </c>
      <c r="G604" s="2" t="s">
        <v>95</v>
      </c>
      <c r="H604" s="2" t="s">
        <v>97</v>
      </c>
      <c r="I604" s="2">
        <v>675</v>
      </c>
    </row>
    <row r="605" spans="1:9" x14ac:dyDescent="0.25">
      <c r="A605" s="4" t="s">
        <v>338</v>
      </c>
      <c r="B605" s="2" t="s">
        <v>244</v>
      </c>
      <c r="C605" s="2">
        <v>121</v>
      </c>
      <c r="D605" s="2" t="s">
        <v>515</v>
      </c>
      <c r="E605" s="2" t="s">
        <v>405</v>
      </c>
      <c r="F605" s="2" t="s">
        <v>444</v>
      </c>
      <c r="G605" s="2" t="s">
        <v>95</v>
      </c>
      <c r="H605" s="2" t="s">
        <v>97</v>
      </c>
      <c r="I605" s="2">
        <v>675</v>
      </c>
    </row>
    <row r="606" spans="1:9" x14ac:dyDescent="0.25">
      <c r="A606" s="4" t="s">
        <v>338</v>
      </c>
      <c r="B606" s="2" t="s">
        <v>244</v>
      </c>
      <c r="C606" s="2">
        <v>112</v>
      </c>
      <c r="D606" s="2" t="s">
        <v>482</v>
      </c>
      <c r="E606" s="2" t="s">
        <v>405</v>
      </c>
      <c r="F606" s="2" t="s">
        <v>483</v>
      </c>
      <c r="G606" s="2" t="s">
        <v>95</v>
      </c>
      <c r="H606" s="2" t="s">
        <v>97</v>
      </c>
      <c r="I606" s="2">
        <v>675</v>
      </c>
    </row>
    <row r="607" spans="1:9" x14ac:dyDescent="0.25">
      <c r="A607" s="4" t="s">
        <v>338</v>
      </c>
      <c r="B607" s="2" t="s">
        <v>244</v>
      </c>
      <c r="C607" s="2">
        <v>118</v>
      </c>
      <c r="D607" s="2" t="s">
        <v>506</v>
      </c>
      <c r="E607" s="2" t="s">
        <v>405</v>
      </c>
      <c r="F607" s="2" t="s">
        <v>483</v>
      </c>
      <c r="G607" s="2" t="s">
        <v>95</v>
      </c>
      <c r="H607" s="2" t="s">
        <v>97</v>
      </c>
      <c r="I607" s="2">
        <v>675</v>
      </c>
    </row>
    <row r="608" spans="1:9" x14ac:dyDescent="0.25">
      <c r="A608" s="4" t="s">
        <v>338</v>
      </c>
      <c r="B608" s="2" t="s">
        <v>244</v>
      </c>
      <c r="C608" s="2">
        <v>124</v>
      </c>
      <c r="D608" s="2" t="s">
        <v>527</v>
      </c>
      <c r="E608" s="2" t="s">
        <v>405</v>
      </c>
      <c r="F608" s="2" t="s">
        <v>528</v>
      </c>
      <c r="G608" s="2" t="s">
        <v>95</v>
      </c>
      <c r="H608" s="2" t="s">
        <v>97</v>
      </c>
      <c r="I608" s="2">
        <v>675</v>
      </c>
    </row>
    <row r="609" spans="1:9" x14ac:dyDescent="0.25">
      <c r="A609" s="4" t="s">
        <v>338</v>
      </c>
      <c r="B609" s="2" t="s">
        <v>244</v>
      </c>
      <c r="C609" s="2">
        <v>126</v>
      </c>
      <c r="D609" s="2" t="s">
        <v>534</v>
      </c>
      <c r="E609" s="2" t="s">
        <v>405</v>
      </c>
      <c r="F609" s="2" t="s">
        <v>535</v>
      </c>
      <c r="G609" s="2" t="s">
        <v>95</v>
      </c>
      <c r="H609" s="2" t="s">
        <v>97</v>
      </c>
      <c r="I609" s="2">
        <v>675</v>
      </c>
    </row>
    <row r="610" spans="1:9" x14ac:dyDescent="0.25">
      <c r="A610" s="4" t="s">
        <v>338</v>
      </c>
      <c r="B610" s="2" t="s">
        <v>244</v>
      </c>
      <c r="C610" s="2">
        <v>98</v>
      </c>
      <c r="D610" s="2" t="s">
        <v>426</v>
      </c>
      <c r="E610" s="2" t="s">
        <v>405</v>
      </c>
      <c r="F610" s="2" t="s">
        <v>427</v>
      </c>
      <c r="G610" s="2" t="s">
        <v>95</v>
      </c>
      <c r="H610" s="2" t="s">
        <v>97</v>
      </c>
      <c r="I610" s="2">
        <v>675</v>
      </c>
    </row>
    <row r="611" spans="1:9" x14ac:dyDescent="0.25">
      <c r="A611" s="4" t="s">
        <v>338</v>
      </c>
      <c r="B611" s="2" t="s">
        <v>244</v>
      </c>
      <c r="C611" s="2">
        <v>113</v>
      </c>
      <c r="D611" s="2" t="s">
        <v>486</v>
      </c>
      <c r="E611" s="2" t="s">
        <v>405</v>
      </c>
      <c r="F611" s="2" t="s">
        <v>487</v>
      </c>
      <c r="G611" s="2" t="s">
        <v>95</v>
      </c>
      <c r="H611" s="2" t="s">
        <v>97</v>
      </c>
      <c r="I611" s="2">
        <v>675</v>
      </c>
    </row>
    <row r="612" spans="1:9" x14ac:dyDescent="0.25">
      <c r="A612" s="4" t="s">
        <v>338</v>
      </c>
      <c r="B612" s="2" t="s">
        <v>244</v>
      </c>
      <c r="C612" s="2">
        <v>116</v>
      </c>
      <c r="D612" s="2" t="s">
        <v>498</v>
      </c>
      <c r="E612" s="2" t="s">
        <v>405</v>
      </c>
      <c r="F612" s="2" t="s">
        <v>499</v>
      </c>
      <c r="G612" s="2" t="s">
        <v>95</v>
      </c>
      <c r="H612" s="2" t="s">
        <v>97</v>
      </c>
      <c r="I612" s="2">
        <v>675</v>
      </c>
    </row>
    <row r="613" spans="1:9" x14ac:dyDescent="0.25">
      <c r="A613" s="4" t="s">
        <v>338</v>
      </c>
      <c r="B613" s="2" t="s">
        <v>244</v>
      </c>
      <c r="C613" s="2">
        <v>95</v>
      </c>
      <c r="D613" s="2" t="s">
        <v>413</v>
      </c>
      <c r="E613" s="2" t="s">
        <v>405</v>
      </c>
      <c r="F613" s="2" t="s">
        <v>414</v>
      </c>
      <c r="G613" s="2" t="s">
        <v>95</v>
      </c>
      <c r="H613" s="2" t="s">
        <v>97</v>
      </c>
      <c r="I613" s="2">
        <v>675</v>
      </c>
    </row>
    <row r="614" spans="1:9" x14ac:dyDescent="0.25">
      <c r="A614" s="4" t="s">
        <v>338</v>
      </c>
      <c r="B614" s="2" t="s">
        <v>244</v>
      </c>
      <c r="C614" s="2">
        <v>107</v>
      </c>
      <c r="D614" s="2" t="s">
        <v>462</v>
      </c>
      <c r="E614" s="2" t="s">
        <v>405</v>
      </c>
      <c r="F614" s="2" t="s">
        <v>463</v>
      </c>
      <c r="G614" s="2" t="s">
        <v>95</v>
      </c>
      <c r="H614" s="2" t="s">
        <v>97</v>
      </c>
      <c r="I614" s="2">
        <v>675</v>
      </c>
    </row>
    <row r="615" spans="1:9" x14ac:dyDescent="0.25">
      <c r="A615" s="4" t="s">
        <v>338</v>
      </c>
      <c r="B615" s="2" t="s">
        <v>244</v>
      </c>
      <c r="C615" s="2">
        <v>104</v>
      </c>
      <c r="D615" s="2" t="s">
        <v>451</v>
      </c>
      <c r="E615" s="2" t="s">
        <v>405</v>
      </c>
      <c r="F615" s="2" t="s">
        <v>452</v>
      </c>
      <c r="G615" s="2" t="s">
        <v>95</v>
      </c>
      <c r="H615" s="2" t="s">
        <v>97</v>
      </c>
      <c r="I615" s="2">
        <v>675</v>
      </c>
    </row>
    <row r="616" spans="1:9" x14ac:dyDescent="0.25">
      <c r="A616" s="4" t="s">
        <v>338</v>
      </c>
      <c r="B616" s="2" t="s">
        <v>244</v>
      </c>
      <c r="C616" s="2">
        <v>123</v>
      </c>
      <c r="D616" s="2" t="s">
        <v>522</v>
      </c>
      <c r="E616" s="2" t="s">
        <v>405</v>
      </c>
      <c r="F616" s="2" t="s">
        <v>523</v>
      </c>
      <c r="G616" s="2" t="s">
        <v>95</v>
      </c>
      <c r="H616" s="2" t="s">
        <v>97</v>
      </c>
      <c r="I616" s="2">
        <v>675</v>
      </c>
    </row>
    <row r="617" spans="1:9" x14ac:dyDescent="0.25">
      <c r="A617" s="4" t="s">
        <v>338</v>
      </c>
      <c r="B617" s="2" t="s">
        <v>244</v>
      </c>
      <c r="C617" s="2">
        <v>101</v>
      </c>
      <c r="D617" s="2" t="s">
        <v>438</v>
      </c>
      <c r="E617" s="2" t="s">
        <v>405</v>
      </c>
      <c r="F617" s="2" t="s">
        <v>439</v>
      </c>
      <c r="G617" s="2" t="s">
        <v>95</v>
      </c>
      <c r="H617" s="2" t="s">
        <v>97</v>
      </c>
      <c r="I617" s="2">
        <v>675</v>
      </c>
    </row>
    <row r="618" spans="1:9" x14ac:dyDescent="0.25">
      <c r="A618" s="4" t="s">
        <v>338</v>
      </c>
      <c r="B618" s="2" t="s">
        <v>244</v>
      </c>
      <c r="C618" s="2">
        <v>103</v>
      </c>
      <c r="D618" s="2" t="s">
        <v>447</v>
      </c>
      <c r="E618" s="2" t="s">
        <v>405</v>
      </c>
      <c r="F618" s="2" t="s">
        <v>448</v>
      </c>
      <c r="G618" s="2" t="s">
        <v>95</v>
      </c>
      <c r="H618" s="2" t="s">
        <v>97</v>
      </c>
      <c r="I618" s="2">
        <v>675</v>
      </c>
    </row>
    <row r="619" spans="1:9" x14ac:dyDescent="0.25">
      <c r="A619" s="4" t="s">
        <v>338</v>
      </c>
      <c r="B619" s="2" t="s">
        <v>244</v>
      </c>
      <c r="C619" s="2">
        <v>117</v>
      </c>
      <c r="D619" s="2" t="s">
        <v>502</v>
      </c>
      <c r="E619" s="2" t="s">
        <v>405</v>
      </c>
      <c r="F619" s="2" t="s">
        <v>503</v>
      </c>
      <c r="G619" s="2" t="s">
        <v>95</v>
      </c>
      <c r="H619" s="2" t="s">
        <v>97</v>
      </c>
      <c r="I619" s="2">
        <v>675</v>
      </c>
    </row>
    <row r="620" spans="1:9" x14ac:dyDescent="0.25">
      <c r="A620" s="4" t="s">
        <v>338</v>
      </c>
      <c r="B620" s="2" t="s">
        <v>244</v>
      </c>
      <c r="C620" s="2">
        <v>96</v>
      </c>
      <c r="D620" s="2" t="s">
        <v>417</v>
      </c>
      <c r="E620" s="2" t="s">
        <v>405</v>
      </c>
      <c r="F620" s="2" t="s">
        <v>418</v>
      </c>
      <c r="G620" s="2" t="s">
        <v>95</v>
      </c>
      <c r="H620" s="2" t="s">
        <v>97</v>
      </c>
      <c r="I620" s="2">
        <v>675</v>
      </c>
    </row>
    <row r="621" spans="1:9" x14ac:dyDescent="0.25">
      <c r="A621" s="4" t="s">
        <v>338</v>
      </c>
      <c r="B621" s="2" t="s">
        <v>244</v>
      </c>
      <c r="C621" s="2">
        <v>105</v>
      </c>
      <c r="D621" s="2" t="s">
        <v>455</v>
      </c>
      <c r="E621" s="2" t="s">
        <v>405</v>
      </c>
      <c r="F621" s="2" t="s">
        <v>418</v>
      </c>
      <c r="G621" s="2" t="s">
        <v>95</v>
      </c>
      <c r="H621" s="2" t="s">
        <v>97</v>
      </c>
      <c r="I621" s="2">
        <v>675</v>
      </c>
    </row>
    <row r="622" spans="1:9" x14ac:dyDescent="0.25">
      <c r="A622" s="4" t="s">
        <v>338</v>
      </c>
      <c r="B622" s="2" t="s">
        <v>244</v>
      </c>
      <c r="C622" s="2">
        <v>110</v>
      </c>
      <c r="D622" s="2" t="s">
        <v>474</v>
      </c>
      <c r="E622" s="2" t="s">
        <v>405</v>
      </c>
      <c r="F622" s="2" t="s">
        <v>418</v>
      </c>
      <c r="G622" s="2" t="s">
        <v>95</v>
      </c>
      <c r="H622" s="2" t="s">
        <v>97</v>
      </c>
      <c r="I622" s="2">
        <v>675</v>
      </c>
    </row>
    <row r="623" spans="1:9" x14ac:dyDescent="0.25">
      <c r="A623" s="4" t="s">
        <v>338</v>
      </c>
      <c r="B623" s="2" t="s">
        <v>244</v>
      </c>
      <c r="C623" s="2">
        <v>120</v>
      </c>
      <c r="D623" s="2" t="s">
        <v>511</v>
      </c>
      <c r="E623" s="2" t="s">
        <v>405</v>
      </c>
      <c r="F623" s="2" t="s">
        <v>512</v>
      </c>
      <c r="G623" s="2" t="s">
        <v>95</v>
      </c>
      <c r="H623" s="2" t="s">
        <v>97</v>
      </c>
      <c r="I623" s="2">
        <v>675</v>
      </c>
    </row>
    <row r="624" spans="1:9" x14ac:dyDescent="0.25">
      <c r="A624" s="4" t="s">
        <v>338</v>
      </c>
      <c r="B624" s="2" t="s">
        <v>244</v>
      </c>
      <c r="C624" s="2">
        <v>93</v>
      </c>
      <c r="D624" s="2" t="s">
        <v>404</v>
      </c>
      <c r="E624" s="2" t="s">
        <v>405</v>
      </c>
      <c r="F624" s="2" t="s">
        <v>406</v>
      </c>
      <c r="G624" s="2" t="s">
        <v>95</v>
      </c>
      <c r="H624" s="2" t="s">
        <v>97</v>
      </c>
      <c r="I624" s="2">
        <v>675</v>
      </c>
    </row>
    <row r="625" spans="1:9" x14ac:dyDescent="0.25">
      <c r="A625" s="4" t="s">
        <v>338</v>
      </c>
      <c r="B625" s="2" t="s">
        <v>244</v>
      </c>
      <c r="C625" s="2">
        <v>94</v>
      </c>
      <c r="D625" s="2" t="s">
        <v>409</v>
      </c>
      <c r="E625" s="2" t="s">
        <v>405</v>
      </c>
      <c r="F625" s="2" t="s">
        <v>406</v>
      </c>
      <c r="G625" s="2" t="s">
        <v>95</v>
      </c>
      <c r="H625" s="2" t="s">
        <v>97</v>
      </c>
      <c r="I625" s="2">
        <v>675</v>
      </c>
    </row>
    <row r="626" spans="1:9" x14ac:dyDescent="0.25">
      <c r="A626" s="4" t="s">
        <v>338</v>
      </c>
      <c r="B626" s="2" t="s">
        <v>244</v>
      </c>
      <c r="C626" s="2">
        <v>125</v>
      </c>
      <c r="D626" s="2" t="s">
        <v>531</v>
      </c>
      <c r="E626" s="2" t="s">
        <v>405</v>
      </c>
      <c r="F626" s="2" t="s">
        <v>406</v>
      </c>
      <c r="G626" s="2" t="s">
        <v>95</v>
      </c>
      <c r="H626" s="2" t="s">
        <v>97</v>
      </c>
      <c r="I626" s="2">
        <v>675</v>
      </c>
    </row>
    <row r="627" spans="1:9" x14ac:dyDescent="0.25">
      <c r="A627" s="4" t="s">
        <v>338</v>
      </c>
      <c r="B627" s="2" t="s">
        <v>244</v>
      </c>
      <c r="C627" s="2">
        <v>115</v>
      </c>
      <c r="D627" s="2" t="s">
        <v>494</v>
      </c>
      <c r="E627" s="2" t="s">
        <v>405</v>
      </c>
      <c r="F627" s="2" t="s">
        <v>495</v>
      </c>
      <c r="G627" s="2" t="s">
        <v>95</v>
      </c>
      <c r="H627" s="2" t="s">
        <v>97</v>
      </c>
      <c r="I627" s="2">
        <v>675</v>
      </c>
    </row>
    <row r="628" spans="1:9" x14ac:dyDescent="0.25">
      <c r="A628" s="4" t="s">
        <v>338</v>
      </c>
      <c r="B628" s="2" t="s">
        <v>244</v>
      </c>
      <c r="C628" s="2">
        <v>127</v>
      </c>
      <c r="D628" s="2" t="s">
        <v>538</v>
      </c>
      <c r="E628" s="2" t="s">
        <v>405</v>
      </c>
      <c r="F628" s="2" t="s">
        <v>495</v>
      </c>
      <c r="G628" s="2" t="s">
        <v>95</v>
      </c>
      <c r="H628" s="2" t="s">
        <v>97</v>
      </c>
      <c r="I628" s="2">
        <v>675</v>
      </c>
    </row>
    <row r="629" spans="1:9" x14ac:dyDescent="0.25">
      <c r="A629" s="4" t="s">
        <v>338</v>
      </c>
      <c r="B629" s="2" t="s">
        <v>244</v>
      </c>
      <c r="C629" s="2">
        <v>100</v>
      </c>
      <c r="D629" s="2" t="s">
        <v>434</v>
      </c>
      <c r="E629" s="2" t="s">
        <v>405</v>
      </c>
      <c r="F629" s="2" t="s">
        <v>435</v>
      </c>
      <c r="G629" s="2" t="s">
        <v>95</v>
      </c>
      <c r="H629" s="2" t="s">
        <v>97</v>
      </c>
      <c r="I629" s="2">
        <v>675</v>
      </c>
    </row>
    <row r="630" spans="1:9" x14ac:dyDescent="0.25">
      <c r="A630" s="4" t="s">
        <v>338</v>
      </c>
      <c r="B630" s="2" t="s">
        <v>244</v>
      </c>
      <c r="C630" s="2">
        <v>142</v>
      </c>
      <c r="D630" s="2" t="s">
        <v>603</v>
      </c>
      <c r="E630" s="2" t="s">
        <v>548</v>
      </c>
      <c r="F630" s="2" t="s">
        <v>604</v>
      </c>
      <c r="G630" s="2" t="s">
        <v>95</v>
      </c>
      <c r="H630" s="2" t="s">
        <v>97</v>
      </c>
      <c r="I630" s="2">
        <v>628</v>
      </c>
    </row>
    <row r="631" spans="1:9" x14ac:dyDescent="0.25">
      <c r="A631" s="4" t="s">
        <v>338</v>
      </c>
      <c r="B631" s="2" t="s">
        <v>244</v>
      </c>
      <c r="C631" s="2">
        <v>145</v>
      </c>
      <c r="D631" s="2" t="s">
        <v>616</v>
      </c>
      <c r="E631" s="2" t="s">
        <v>548</v>
      </c>
      <c r="F631" s="2" t="s">
        <v>617</v>
      </c>
      <c r="G631" s="2" t="s">
        <v>95</v>
      </c>
      <c r="H631" s="2" t="s">
        <v>97</v>
      </c>
      <c r="I631" s="2">
        <v>628</v>
      </c>
    </row>
    <row r="632" spans="1:9" x14ac:dyDescent="0.25">
      <c r="A632" s="4" t="s">
        <v>338</v>
      </c>
      <c r="B632" s="2" t="s">
        <v>244</v>
      </c>
      <c r="C632" s="2">
        <v>129</v>
      </c>
      <c r="D632" s="2" t="s">
        <v>547</v>
      </c>
      <c r="E632" s="2" t="s">
        <v>548</v>
      </c>
      <c r="F632" s="2" t="s">
        <v>549</v>
      </c>
      <c r="G632" s="2" t="s">
        <v>95</v>
      </c>
      <c r="H632" s="2" t="s">
        <v>97</v>
      </c>
      <c r="I632" s="2">
        <v>628</v>
      </c>
    </row>
    <row r="633" spans="1:9" x14ac:dyDescent="0.25">
      <c r="A633" s="4" t="s">
        <v>338</v>
      </c>
      <c r="B633" s="2" t="s">
        <v>244</v>
      </c>
      <c r="C633" s="2">
        <v>134</v>
      </c>
      <c r="D633" s="2" t="s">
        <v>570</v>
      </c>
      <c r="E633" s="2" t="s">
        <v>548</v>
      </c>
      <c r="F633" s="2" t="s">
        <v>549</v>
      </c>
      <c r="G633" s="2" t="s">
        <v>95</v>
      </c>
      <c r="H633" s="2" t="s">
        <v>97</v>
      </c>
      <c r="I633" s="2">
        <v>628</v>
      </c>
    </row>
    <row r="634" spans="1:9" x14ac:dyDescent="0.25">
      <c r="A634" s="4" t="s">
        <v>338</v>
      </c>
      <c r="B634" s="2" t="s">
        <v>244</v>
      </c>
      <c r="C634" s="2">
        <v>133</v>
      </c>
      <c r="D634" s="2" t="s">
        <v>565</v>
      </c>
      <c r="E634" s="2" t="s">
        <v>548</v>
      </c>
      <c r="F634" s="2" t="s">
        <v>566</v>
      </c>
      <c r="G634" s="2" t="s">
        <v>95</v>
      </c>
      <c r="H634" s="2" t="s">
        <v>97</v>
      </c>
      <c r="I634" s="2">
        <v>628</v>
      </c>
    </row>
    <row r="635" spans="1:9" x14ac:dyDescent="0.25">
      <c r="A635" s="4" t="s">
        <v>338</v>
      </c>
      <c r="B635" s="2" t="s">
        <v>244</v>
      </c>
      <c r="C635" s="2">
        <v>143</v>
      </c>
      <c r="D635" s="2" t="s">
        <v>607</v>
      </c>
      <c r="E635" s="2" t="s">
        <v>548</v>
      </c>
      <c r="F635" s="2" t="s">
        <v>608</v>
      </c>
      <c r="G635" s="2" t="s">
        <v>95</v>
      </c>
      <c r="H635" s="2" t="s">
        <v>97</v>
      </c>
      <c r="I635" s="2">
        <v>628</v>
      </c>
    </row>
    <row r="636" spans="1:9" x14ac:dyDescent="0.25">
      <c r="A636" s="4" t="s">
        <v>338</v>
      </c>
      <c r="B636" s="2" t="s">
        <v>244</v>
      </c>
      <c r="C636" s="2">
        <v>147</v>
      </c>
      <c r="D636" s="2" t="s">
        <v>624</v>
      </c>
      <c r="E636" s="2" t="s">
        <v>548</v>
      </c>
      <c r="F636" s="2" t="s">
        <v>608</v>
      </c>
      <c r="G636" s="2" t="s">
        <v>95</v>
      </c>
      <c r="H636" s="2" t="s">
        <v>97</v>
      </c>
      <c r="I636" s="2">
        <v>628</v>
      </c>
    </row>
    <row r="637" spans="1:9" x14ac:dyDescent="0.25">
      <c r="A637" s="4" t="s">
        <v>338</v>
      </c>
      <c r="B637" s="2" t="s">
        <v>244</v>
      </c>
      <c r="C637" s="2">
        <v>130</v>
      </c>
      <c r="D637" s="2" t="s">
        <v>553</v>
      </c>
      <c r="E637" s="2" t="s">
        <v>548</v>
      </c>
      <c r="F637" s="2" t="s">
        <v>554</v>
      </c>
      <c r="G637" s="2" t="s">
        <v>95</v>
      </c>
      <c r="H637" s="2" t="s">
        <v>97</v>
      </c>
      <c r="I637" s="2">
        <v>628</v>
      </c>
    </row>
    <row r="638" spans="1:9" x14ac:dyDescent="0.25">
      <c r="A638" s="4" t="s">
        <v>338</v>
      </c>
      <c r="B638" s="2" t="s">
        <v>244</v>
      </c>
      <c r="C638" s="2">
        <v>136</v>
      </c>
      <c r="D638" s="2" t="s">
        <v>577</v>
      </c>
      <c r="E638" s="2" t="s">
        <v>548</v>
      </c>
      <c r="F638" s="2" t="s">
        <v>578</v>
      </c>
      <c r="G638" s="2" t="s">
        <v>95</v>
      </c>
      <c r="H638" s="2" t="s">
        <v>97</v>
      </c>
      <c r="I638" s="2">
        <v>628</v>
      </c>
    </row>
    <row r="639" spans="1:9" x14ac:dyDescent="0.25">
      <c r="A639" s="4" t="s">
        <v>338</v>
      </c>
      <c r="B639" s="2" t="s">
        <v>244</v>
      </c>
      <c r="C639" s="2">
        <v>139</v>
      </c>
      <c r="D639" s="2" t="s">
        <v>590</v>
      </c>
      <c r="E639" s="2" t="s">
        <v>548</v>
      </c>
      <c r="F639" s="2" t="s">
        <v>591</v>
      </c>
      <c r="G639" s="2" t="s">
        <v>95</v>
      </c>
      <c r="H639" s="2" t="s">
        <v>97</v>
      </c>
      <c r="I639" s="2">
        <v>628</v>
      </c>
    </row>
    <row r="640" spans="1:9" x14ac:dyDescent="0.25">
      <c r="A640" s="4" t="s">
        <v>338</v>
      </c>
      <c r="B640" s="2" t="s">
        <v>244</v>
      </c>
      <c r="C640" s="2">
        <v>141</v>
      </c>
      <c r="D640" s="2" t="s">
        <v>598</v>
      </c>
      <c r="E640" s="2" t="s">
        <v>548</v>
      </c>
      <c r="F640" s="2" t="s">
        <v>599</v>
      </c>
      <c r="G640" s="2" t="s">
        <v>95</v>
      </c>
      <c r="H640" s="2" t="s">
        <v>97</v>
      </c>
      <c r="I640" s="2">
        <v>628</v>
      </c>
    </row>
    <row r="641" spans="1:9" x14ac:dyDescent="0.25">
      <c r="A641" s="4" t="s">
        <v>338</v>
      </c>
      <c r="B641" s="2" t="s">
        <v>244</v>
      </c>
      <c r="C641" s="2">
        <v>148</v>
      </c>
      <c r="D641" s="2" t="s">
        <v>627</v>
      </c>
      <c r="E641" s="2" t="s">
        <v>548</v>
      </c>
      <c r="F641" s="2" t="s">
        <v>599</v>
      </c>
      <c r="G641" s="2" t="s">
        <v>95</v>
      </c>
      <c r="H641" s="2" t="s">
        <v>97</v>
      </c>
      <c r="I641" s="2">
        <v>628</v>
      </c>
    </row>
    <row r="642" spans="1:9" x14ac:dyDescent="0.25">
      <c r="A642" s="4" t="s">
        <v>338</v>
      </c>
      <c r="B642" s="2" t="s">
        <v>244</v>
      </c>
      <c r="C642" s="2">
        <v>158</v>
      </c>
      <c r="D642" s="2" t="s">
        <v>665</v>
      </c>
      <c r="E642" s="2" t="s">
        <v>631</v>
      </c>
      <c r="F642" s="2" t="s">
        <v>666</v>
      </c>
      <c r="G642" s="2" t="s">
        <v>95</v>
      </c>
      <c r="H642" s="2" t="s">
        <v>97</v>
      </c>
      <c r="I642" s="2">
        <v>1208</v>
      </c>
    </row>
    <row r="643" spans="1:9" x14ac:dyDescent="0.25">
      <c r="A643" s="4" t="s">
        <v>338</v>
      </c>
      <c r="B643" s="2" t="s">
        <v>244</v>
      </c>
      <c r="C643" s="2">
        <v>150</v>
      </c>
      <c r="D643" s="2" t="s">
        <v>635</v>
      </c>
      <c r="E643" s="2" t="s">
        <v>631</v>
      </c>
      <c r="F643" s="2" t="s">
        <v>636</v>
      </c>
      <c r="G643" s="2" t="s">
        <v>95</v>
      </c>
      <c r="H643" s="2" t="s">
        <v>97</v>
      </c>
      <c r="I643" s="2">
        <v>1208</v>
      </c>
    </row>
    <row r="644" spans="1:9" x14ac:dyDescent="0.25">
      <c r="A644" s="4" t="s">
        <v>338</v>
      </c>
      <c r="B644" s="2" t="s">
        <v>244</v>
      </c>
      <c r="C644" s="2">
        <v>149</v>
      </c>
      <c r="D644" s="2" t="s">
        <v>630</v>
      </c>
      <c r="E644" s="2" t="s">
        <v>631</v>
      </c>
      <c r="F644" s="2" t="s">
        <v>632</v>
      </c>
      <c r="G644" s="2" t="s">
        <v>95</v>
      </c>
      <c r="H644" s="2" t="s">
        <v>97</v>
      </c>
      <c r="I644" s="2">
        <v>1208</v>
      </c>
    </row>
    <row r="645" spans="1:9" x14ac:dyDescent="0.25">
      <c r="A645" s="4" t="s">
        <v>338</v>
      </c>
      <c r="B645" s="2" t="s">
        <v>244</v>
      </c>
      <c r="C645" s="2">
        <v>156</v>
      </c>
      <c r="D645" s="2" t="s">
        <v>660</v>
      </c>
      <c r="E645" s="2" t="s">
        <v>631</v>
      </c>
      <c r="F645" s="2" t="s">
        <v>632</v>
      </c>
      <c r="G645" s="2" t="s">
        <v>95</v>
      </c>
      <c r="H645" s="2" t="s">
        <v>97</v>
      </c>
      <c r="I645" s="2">
        <v>1208</v>
      </c>
    </row>
    <row r="646" spans="1:9" x14ac:dyDescent="0.25">
      <c r="A646" s="4" t="s">
        <v>338</v>
      </c>
      <c r="B646" s="2" t="s">
        <v>244</v>
      </c>
      <c r="C646" s="2">
        <v>151</v>
      </c>
      <c r="D646" s="2" t="s">
        <v>639</v>
      </c>
      <c r="E646" s="2" t="s">
        <v>631</v>
      </c>
      <c r="F646" s="2" t="s">
        <v>640</v>
      </c>
      <c r="G646" s="2" t="s">
        <v>95</v>
      </c>
      <c r="H646" s="2" t="s">
        <v>97</v>
      </c>
      <c r="I646" s="2">
        <v>1208</v>
      </c>
    </row>
    <row r="647" spans="1:9" x14ac:dyDescent="0.25">
      <c r="A647" s="4" t="s">
        <v>338</v>
      </c>
      <c r="B647" s="2" t="s">
        <v>244</v>
      </c>
      <c r="C647" s="2">
        <v>159</v>
      </c>
      <c r="D647" s="2" t="s">
        <v>669</v>
      </c>
      <c r="E647" s="2" t="s">
        <v>631</v>
      </c>
      <c r="F647" s="2" t="s">
        <v>670</v>
      </c>
      <c r="G647" s="2" t="s">
        <v>95</v>
      </c>
      <c r="H647" s="2" t="s">
        <v>97</v>
      </c>
      <c r="I647" s="2">
        <v>1208</v>
      </c>
    </row>
    <row r="648" spans="1:9" x14ac:dyDescent="0.25">
      <c r="A648" s="4" t="s">
        <v>338</v>
      </c>
      <c r="B648" s="2" t="s">
        <v>244</v>
      </c>
      <c r="C648" s="2">
        <v>155</v>
      </c>
      <c r="D648" s="2" t="s">
        <v>655</v>
      </c>
      <c r="E648" s="2" t="s">
        <v>631</v>
      </c>
      <c r="F648" s="2" t="s">
        <v>656</v>
      </c>
      <c r="G648" s="2" t="s">
        <v>95</v>
      </c>
      <c r="H648" s="2" t="s">
        <v>97</v>
      </c>
      <c r="I648" s="2">
        <v>1208</v>
      </c>
    </row>
    <row r="649" spans="1:9" x14ac:dyDescent="0.25">
      <c r="A649" s="4" t="s">
        <v>338</v>
      </c>
      <c r="B649" s="2" t="s">
        <v>244</v>
      </c>
      <c r="C649" s="2">
        <v>152</v>
      </c>
      <c r="D649" s="2" t="s">
        <v>643</v>
      </c>
      <c r="E649" s="2" t="s">
        <v>631</v>
      </c>
      <c r="F649" s="2" t="s">
        <v>644</v>
      </c>
      <c r="G649" s="2" t="s">
        <v>95</v>
      </c>
      <c r="H649" s="2" t="s">
        <v>97</v>
      </c>
      <c r="I649" s="2">
        <v>1208</v>
      </c>
    </row>
    <row r="650" spans="1:9" x14ac:dyDescent="0.25">
      <c r="A650" s="4" t="s">
        <v>338</v>
      </c>
      <c r="B650" s="2" t="s">
        <v>244</v>
      </c>
      <c r="C650" s="2">
        <v>160</v>
      </c>
      <c r="D650" s="2" t="s">
        <v>673</v>
      </c>
      <c r="E650" s="2" t="s">
        <v>631</v>
      </c>
      <c r="F650" s="2" t="s">
        <v>674</v>
      </c>
      <c r="G650" s="2" t="s">
        <v>95</v>
      </c>
      <c r="H650" s="2" t="s">
        <v>97</v>
      </c>
      <c r="I650" s="2">
        <v>1208</v>
      </c>
    </row>
    <row r="651" spans="1:9" x14ac:dyDescent="0.25">
      <c r="A651" s="4" t="s">
        <v>338</v>
      </c>
      <c r="B651" s="2" t="s">
        <v>244</v>
      </c>
      <c r="C651" s="2">
        <v>153</v>
      </c>
      <c r="D651" s="2" t="s">
        <v>647</v>
      </c>
      <c r="E651" s="2" t="s">
        <v>631</v>
      </c>
      <c r="F651" s="2" t="s">
        <v>648</v>
      </c>
      <c r="G651" s="2" t="s">
        <v>95</v>
      </c>
      <c r="H651" s="2" t="s">
        <v>97</v>
      </c>
      <c r="I651" s="2">
        <v>1208</v>
      </c>
    </row>
    <row r="652" spans="1:9" x14ac:dyDescent="0.25">
      <c r="A652" s="4" t="s">
        <v>338</v>
      </c>
      <c r="B652" s="2" t="s">
        <v>244</v>
      </c>
      <c r="C652" s="2">
        <v>154</v>
      </c>
      <c r="D652" s="2" t="s">
        <v>651</v>
      </c>
      <c r="E652" s="2" t="s">
        <v>631</v>
      </c>
      <c r="F652" s="2" t="s">
        <v>648</v>
      </c>
      <c r="G652" s="2" t="s">
        <v>95</v>
      </c>
      <c r="H652" s="2" t="s">
        <v>97</v>
      </c>
      <c r="I652" s="2">
        <v>1208</v>
      </c>
    </row>
    <row r="653" spans="1:9" x14ac:dyDescent="0.25">
      <c r="A653" s="4" t="s">
        <v>338</v>
      </c>
      <c r="B653" s="2" t="s">
        <v>244</v>
      </c>
      <c r="C653" s="2">
        <v>157</v>
      </c>
      <c r="D653" s="2" t="s">
        <v>662</v>
      </c>
      <c r="E653" s="2" t="s">
        <v>631</v>
      </c>
      <c r="F653" s="2" t="s">
        <v>648</v>
      </c>
      <c r="G653" s="2" t="s">
        <v>95</v>
      </c>
      <c r="H653" s="2" t="s">
        <v>97</v>
      </c>
      <c r="I653" s="2">
        <v>1208</v>
      </c>
    </row>
    <row r="654" spans="1:9" x14ac:dyDescent="0.25">
      <c r="A654" s="4" t="s">
        <v>338</v>
      </c>
      <c r="B654" s="2" t="s">
        <v>244</v>
      </c>
      <c r="C654" s="2">
        <v>366</v>
      </c>
      <c r="D654" s="2" t="s">
        <v>1465</v>
      </c>
      <c r="E654" s="2" t="s">
        <v>1344</v>
      </c>
      <c r="F654" s="2" t="s">
        <v>1466</v>
      </c>
      <c r="G654" s="2" t="s">
        <v>95</v>
      </c>
      <c r="H654" s="2" t="s">
        <v>97</v>
      </c>
      <c r="I654" s="2">
        <v>1673</v>
      </c>
    </row>
    <row r="655" spans="1:9" x14ac:dyDescent="0.25">
      <c r="A655" s="4" t="s">
        <v>338</v>
      </c>
      <c r="B655" s="2" t="s">
        <v>244</v>
      </c>
      <c r="C655" s="2">
        <v>369</v>
      </c>
      <c r="D655" s="2" t="s">
        <v>1475</v>
      </c>
      <c r="E655" s="2" t="s">
        <v>1344</v>
      </c>
      <c r="F655" s="2" t="s">
        <v>1466</v>
      </c>
      <c r="G655" s="2" t="s">
        <v>95</v>
      </c>
      <c r="H655" s="2" t="s">
        <v>97</v>
      </c>
      <c r="I655" s="2">
        <v>1673</v>
      </c>
    </row>
    <row r="656" spans="1:9" x14ac:dyDescent="0.25">
      <c r="A656" s="4" t="s">
        <v>338</v>
      </c>
      <c r="B656" s="2" t="s">
        <v>244</v>
      </c>
      <c r="C656" s="2">
        <v>390</v>
      </c>
      <c r="D656" s="2" t="s">
        <v>1555</v>
      </c>
      <c r="E656" s="2" t="s">
        <v>1344</v>
      </c>
      <c r="F656" s="2" t="s">
        <v>1556</v>
      </c>
      <c r="G656" s="2" t="s">
        <v>95</v>
      </c>
      <c r="H656" s="2" t="s">
        <v>97</v>
      </c>
      <c r="I656" s="2">
        <v>1673</v>
      </c>
    </row>
    <row r="657" spans="1:9" x14ac:dyDescent="0.25">
      <c r="A657" s="4" t="s">
        <v>338</v>
      </c>
      <c r="B657" s="2" t="s">
        <v>244</v>
      </c>
      <c r="C657" s="2">
        <v>382</v>
      </c>
      <c r="D657" s="2" t="s">
        <v>1524</v>
      </c>
      <c r="E657" s="2" t="s">
        <v>1344</v>
      </c>
      <c r="F657" s="2" t="s">
        <v>1525</v>
      </c>
      <c r="G657" s="2" t="s">
        <v>95</v>
      </c>
      <c r="H657" s="2" t="s">
        <v>97</v>
      </c>
      <c r="I657" s="2">
        <v>1673</v>
      </c>
    </row>
    <row r="658" spans="1:9" x14ac:dyDescent="0.25">
      <c r="A658" s="4" t="s">
        <v>338</v>
      </c>
      <c r="B658" s="2" t="s">
        <v>244</v>
      </c>
      <c r="C658" s="2">
        <v>387</v>
      </c>
      <c r="D658" s="2" t="s">
        <v>1546</v>
      </c>
      <c r="E658" s="2" t="s">
        <v>1344</v>
      </c>
      <c r="F658" s="2" t="s">
        <v>1525</v>
      </c>
      <c r="G658" s="2" t="s">
        <v>95</v>
      </c>
      <c r="H658" s="2" t="s">
        <v>97</v>
      </c>
      <c r="I658" s="2">
        <v>1673</v>
      </c>
    </row>
    <row r="659" spans="1:9" x14ac:dyDescent="0.25">
      <c r="A659" s="4" t="s">
        <v>338</v>
      </c>
      <c r="B659" s="2" t="s">
        <v>244</v>
      </c>
      <c r="C659" s="2">
        <v>362</v>
      </c>
      <c r="D659" s="2" t="s">
        <v>1450</v>
      </c>
      <c r="E659" s="2" t="s">
        <v>1344</v>
      </c>
      <c r="F659" s="2" t="s">
        <v>1451</v>
      </c>
      <c r="G659" s="2" t="s">
        <v>95</v>
      </c>
      <c r="H659" s="2" t="s">
        <v>97</v>
      </c>
      <c r="I659" s="2">
        <v>1673</v>
      </c>
    </row>
    <row r="660" spans="1:9" x14ac:dyDescent="0.25">
      <c r="A660" s="4" t="s">
        <v>338</v>
      </c>
      <c r="B660" s="2" t="s">
        <v>244</v>
      </c>
      <c r="C660" s="2">
        <v>363</v>
      </c>
      <c r="D660" s="2" t="s">
        <v>1454</v>
      </c>
      <c r="E660" s="2" t="s">
        <v>1344</v>
      </c>
      <c r="F660" s="2" t="s">
        <v>1451</v>
      </c>
      <c r="G660" s="2" t="s">
        <v>95</v>
      </c>
      <c r="H660" s="2" t="s">
        <v>97</v>
      </c>
      <c r="I660" s="2">
        <v>1673</v>
      </c>
    </row>
    <row r="661" spans="1:9" x14ac:dyDescent="0.25">
      <c r="A661" s="4" t="s">
        <v>338</v>
      </c>
      <c r="B661" s="2" t="s">
        <v>244</v>
      </c>
      <c r="C661" s="2">
        <v>399</v>
      </c>
      <c r="D661" s="2" t="s">
        <v>1593</v>
      </c>
      <c r="E661" s="2" t="s">
        <v>1344</v>
      </c>
      <c r="F661" s="2" t="s">
        <v>1451</v>
      </c>
      <c r="G661" s="2" t="s">
        <v>95</v>
      </c>
      <c r="H661" s="2" t="s">
        <v>97</v>
      </c>
      <c r="I661" s="2">
        <v>1673</v>
      </c>
    </row>
    <row r="662" spans="1:9" x14ac:dyDescent="0.25">
      <c r="A662" s="4" t="s">
        <v>338</v>
      </c>
      <c r="B662" s="2" t="s">
        <v>244</v>
      </c>
      <c r="C662" s="2">
        <v>349</v>
      </c>
      <c r="D662" s="2" t="s">
        <v>1396</v>
      </c>
      <c r="E662" s="2" t="s">
        <v>1344</v>
      </c>
      <c r="F662" s="2" t="s">
        <v>1397</v>
      </c>
      <c r="G662" s="2" t="s">
        <v>95</v>
      </c>
      <c r="H662" s="2" t="s">
        <v>97</v>
      </c>
      <c r="I662" s="2">
        <v>1673</v>
      </c>
    </row>
    <row r="663" spans="1:9" x14ac:dyDescent="0.25">
      <c r="A663" s="4" t="s">
        <v>338</v>
      </c>
      <c r="B663" s="2" t="s">
        <v>244</v>
      </c>
      <c r="C663" s="2">
        <v>350</v>
      </c>
      <c r="D663" s="2" t="s">
        <v>1401</v>
      </c>
      <c r="E663" s="2" t="s">
        <v>1344</v>
      </c>
      <c r="F663" s="2" t="s">
        <v>1397</v>
      </c>
      <c r="G663" s="2" t="s">
        <v>95</v>
      </c>
      <c r="H663" s="2" t="s">
        <v>97</v>
      </c>
      <c r="I663" s="2">
        <v>1673</v>
      </c>
    </row>
    <row r="664" spans="1:9" x14ac:dyDescent="0.25">
      <c r="A664" s="4" t="s">
        <v>338</v>
      </c>
      <c r="B664" s="2" t="s">
        <v>244</v>
      </c>
      <c r="C664" s="2">
        <v>381</v>
      </c>
      <c r="D664" s="2" t="s">
        <v>1519</v>
      </c>
      <c r="E664" s="2" t="s">
        <v>1344</v>
      </c>
      <c r="F664" s="2" t="s">
        <v>1520</v>
      </c>
      <c r="G664" s="2" t="s">
        <v>95</v>
      </c>
      <c r="H664" s="2" t="s">
        <v>97</v>
      </c>
      <c r="I664" s="2">
        <v>1673</v>
      </c>
    </row>
    <row r="665" spans="1:9" x14ac:dyDescent="0.25">
      <c r="A665" s="4" t="s">
        <v>338</v>
      </c>
      <c r="B665" s="2" t="s">
        <v>244</v>
      </c>
      <c r="C665" s="2">
        <v>339</v>
      </c>
      <c r="D665" s="2" t="s">
        <v>1353</v>
      </c>
      <c r="E665" s="2" t="s">
        <v>1344</v>
      </c>
      <c r="F665" s="2" t="s">
        <v>1354</v>
      </c>
      <c r="G665" s="2" t="s">
        <v>95</v>
      </c>
      <c r="H665" s="2" t="s">
        <v>97</v>
      </c>
      <c r="I665" s="2">
        <v>1673</v>
      </c>
    </row>
    <row r="666" spans="1:9" x14ac:dyDescent="0.25">
      <c r="A666" s="4" t="s">
        <v>338</v>
      </c>
      <c r="B666" s="2" t="s">
        <v>244</v>
      </c>
      <c r="C666" s="2">
        <v>360</v>
      </c>
      <c r="D666" s="2" t="s">
        <v>1442</v>
      </c>
      <c r="E666" s="2" t="s">
        <v>1344</v>
      </c>
      <c r="F666" s="2" t="s">
        <v>1354</v>
      </c>
      <c r="G666" s="2" t="s">
        <v>95</v>
      </c>
      <c r="H666" s="2" t="s">
        <v>97</v>
      </c>
      <c r="I666" s="2">
        <v>1673</v>
      </c>
    </row>
    <row r="667" spans="1:9" x14ac:dyDescent="0.25">
      <c r="A667" s="4" t="s">
        <v>338</v>
      </c>
      <c r="B667" s="2" t="s">
        <v>244</v>
      </c>
      <c r="C667" s="2">
        <v>364</v>
      </c>
      <c r="D667" s="2" t="s">
        <v>1458</v>
      </c>
      <c r="E667" s="2" t="s">
        <v>1344</v>
      </c>
      <c r="F667" s="2" t="s">
        <v>1354</v>
      </c>
      <c r="G667" s="2" t="s">
        <v>95</v>
      </c>
      <c r="H667" s="2" t="s">
        <v>97</v>
      </c>
      <c r="I667" s="2">
        <v>1673</v>
      </c>
    </row>
    <row r="668" spans="1:9" x14ac:dyDescent="0.25">
      <c r="A668" s="4" t="s">
        <v>338</v>
      </c>
      <c r="B668" s="2" t="s">
        <v>244</v>
      </c>
      <c r="C668" s="2">
        <v>372</v>
      </c>
      <c r="D668" s="2" t="s">
        <v>1486</v>
      </c>
      <c r="E668" s="2" t="s">
        <v>1344</v>
      </c>
      <c r="F668" s="2" t="s">
        <v>1487</v>
      </c>
      <c r="G668" s="2" t="s">
        <v>95</v>
      </c>
      <c r="H668" s="2" t="s">
        <v>97</v>
      </c>
      <c r="I668" s="2">
        <v>1673</v>
      </c>
    </row>
    <row r="669" spans="1:9" x14ac:dyDescent="0.25">
      <c r="A669" s="4" t="s">
        <v>338</v>
      </c>
      <c r="B669" s="2" t="s">
        <v>244</v>
      </c>
      <c r="C669" s="2">
        <v>395</v>
      </c>
      <c r="D669" s="2" t="s">
        <v>1575</v>
      </c>
      <c r="E669" s="2" t="s">
        <v>1344</v>
      </c>
      <c r="F669" s="2" t="s">
        <v>1576</v>
      </c>
      <c r="G669" s="2" t="s">
        <v>95</v>
      </c>
      <c r="H669" s="2" t="s">
        <v>97</v>
      </c>
      <c r="I669" s="2">
        <v>1673</v>
      </c>
    </row>
    <row r="670" spans="1:9" x14ac:dyDescent="0.25">
      <c r="A670" s="4" t="s">
        <v>338</v>
      </c>
      <c r="B670" s="2" t="s">
        <v>244</v>
      </c>
      <c r="C670" s="2">
        <v>348</v>
      </c>
      <c r="D670" s="2" t="s">
        <v>1392</v>
      </c>
      <c r="E670" s="2" t="s">
        <v>1344</v>
      </c>
      <c r="F670" s="2" t="s">
        <v>1393</v>
      </c>
      <c r="G670" s="2" t="s">
        <v>95</v>
      </c>
      <c r="H670" s="2" t="s">
        <v>97</v>
      </c>
      <c r="I670" s="2">
        <v>1673</v>
      </c>
    </row>
    <row r="671" spans="1:9" x14ac:dyDescent="0.25">
      <c r="A671" s="4" t="s">
        <v>338</v>
      </c>
      <c r="B671" s="2" t="s">
        <v>244</v>
      </c>
      <c r="C671" s="2">
        <v>392</v>
      </c>
      <c r="D671" s="2" t="s">
        <v>1564</v>
      </c>
      <c r="E671" s="2" t="s">
        <v>1344</v>
      </c>
      <c r="F671" s="2" t="s">
        <v>1565</v>
      </c>
      <c r="G671" s="2" t="s">
        <v>95</v>
      </c>
      <c r="H671" s="2" t="s">
        <v>97</v>
      </c>
      <c r="I671" s="2">
        <v>1673</v>
      </c>
    </row>
    <row r="672" spans="1:9" x14ac:dyDescent="0.25">
      <c r="A672" s="4" t="s">
        <v>338</v>
      </c>
      <c r="B672" s="2" t="s">
        <v>244</v>
      </c>
      <c r="C672" s="2">
        <v>357</v>
      </c>
      <c r="D672" s="2" t="s">
        <v>1430</v>
      </c>
      <c r="E672" s="2" t="s">
        <v>1344</v>
      </c>
      <c r="F672" s="2" t="s">
        <v>1431</v>
      </c>
      <c r="G672" s="2" t="s">
        <v>95</v>
      </c>
      <c r="H672" s="2" t="s">
        <v>97</v>
      </c>
      <c r="I672" s="2">
        <v>1673</v>
      </c>
    </row>
    <row r="673" spans="1:9" x14ac:dyDescent="0.25">
      <c r="A673" s="4" t="s">
        <v>338</v>
      </c>
      <c r="B673" s="2" t="s">
        <v>244</v>
      </c>
      <c r="C673" s="2">
        <v>337</v>
      </c>
      <c r="D673" s="2" t="s">
        <v>1343</v>
      </c>
      <c r="E673" s="2" t="s">
        <v>1344</v>
      </c>
      <c r="F673" s="2" t="s">
        <v>1345</v>
      </c>
      <c r="G673" s="2" t="s">
        <v>95</v>
      </c>
      <c r="H673" s="2" t="s">
        <v>97</v>
      </c>
      <c r="I673" s="2">
        <v>1673</v>
      </c>
    </row>
    <row r="674" spans="1:9" x14ac:dyDescent="0.25">
      <c r="A674" s="4" t="s">
        <v>338</v>
      </c>
      <c r="B674" s="2" t="s">
        <v>244</v>
      </c>
      <c r="C674" s="2">
        <v>342</v>
      </c>
      <c r="D674" s="2" t="s">
        <v>1366</v>
      </c>
      <c r="E674" s="2" t="s">
        <v>1344</v>
      </c>
      <c r="F674" s="2" t="s">
        <v>1345</v>
      </c>
      <c r="G674" s="2" t="s">
        <v>95</v>
      </c>
      <c r="H674" s="2" t="s">
        <v>97</v>
      </c>
      <c r="I674" s="2">
        <v>1673</v>
      </c>
    </row>
    <row r="675" spans="1:9" x14ac:dyDescent="0.25">
      <c r="A675" s="4" t="s">
        <v>338</v>
      </c>
      <c r="B675" s="2" t="s">
        <v>244</v>
      </c>
      <c r="C675" s="2">
        <v>356</v>
      </c>
      <c r="D675" s="2" t="s">
        <v>1427</v>
      </c>
      <c r="E675" s="2" t="s">
        <v>1344</v>
      </c>
      <c r="F675" s="2" t="s">
        <v>1345</v>
      </c>
      <c r="G675" s="2" t="s">
        <v>95</v>
      </c>
      <c r="H675" s="2" t="s">
        <v>97</v>
      </c>
      <c r="I675" s="2">
        <v>1673</v>
      </c>
    </row>
    <row r="676" spans="1:9" x14ac:dyDescent="0.25">
      <c r="A676" s="4" t="s">
        <v>338</v>
      </c>
      <c r="B676" s="2" t="s">
        <v>244</v>
      </c>
      <c r="C676" s="2">
        <v>359</v>
      </c>
      <c r="D676" s="2" t="s">
        <v>1438</v>
      </c>
      <c r="E676" s="2" t="s">
        <v>1344</v>
      </c>
      <c r="F676" s="2" t="s">
        <v>1345</v>
      </c>
      <c r="G676" s="2" t="s">
        <v>95</v>
      </c>
      <c r="H676" s="2" t="s">
        <v>97</v>
      </c>
      <c r="I676" s="2">
        <v>1673</v>
      </c>
    </row>
    <row r="677" spans="1:9" x14ac:dyDescent="0.25">
      <c r="A677" s="4" t="s">
        <v>338</v>
      </c>
      <c r="B677" s="2" t="s">
        <v>244</v>
      </c>
      <c r="C677" s="2">
        <v>389</v>
      </c>
      <c r="D677" s="2" t="s">
        <v>1552</v>
      </c>
      <c r="E677" s="2" t="s">
        <v>1344</v>
      </c>
      <c r="F677" s="2" t="s">
        <v>1345</v>
      </c>
      <c r="G677" s="2" t="s">
        <v>95</v>
      </c>
      <c r="H677" s="2" t="s">
        <v>97</v>
      </c>
      <c r="I677" s="2">
        <v>1673</v>
      </c>
    </row>
    <row r="678" spans="1:9" x14ac:dyDescent="0.25">
      <c r="A678" s="4" t="s">
        <v>338</v>
      </c>
      <c r="B678" s="2" t="s">
        <v>244</v>
      </c>
      <c r="C678" s="2">
        <v>383</v>
      </c>
      <c r="D678" s="2" t="s">
        <v>1529</v>
      </c>
      <c r="E678" s="2" t="s">
        <v>1344</v>
      </c>
      <c r="F678" s="2" t="s">
        <v>1530</v>
      </c>
      <c r="G678" s="2" t="s">
        <v>95</v>
      </c>
      <c r="H678" s="2" t="s">
        <v>97</v>
      </c>
      <c r="I678" s="2">
        <v>1673</v>
      </c>
    </row>
    <row r="679" spans="1:9" x14ac:dyDescent="0.25">
      <c r="A679" s="4" t="s">
        <v>338</v>
      </c>
      <c r="B679" s="2" t="s">
        <v>244</v>
      </c>
      <c r="C679" s="2">
        <v>338</v>
      </c>
      <c r="D679" s="2" t="s">
        <v>1348</v>
      </c>
      <c r="E679" s="2" t="s">
        <v>1344</v>
      </c>
      <c r="F679" s="2" t="s">
        <v>1349</v>
      </c>
      <c r="G679" s="2" t="s">
        <v>95</v>
      </c>
      <c r="H679" s="2" t="s">
        <v>97</v>
      </c>
      <c r="I679" s="2">
        <v>1673</v>
      </c>
    </row>
    <row r="680" spans="1:9" x14ac:dyDescent="0.25">
      <c r="A680" s="4" t="s">
        <v>338</v>
      </c>
      <c r="B680" s="2" t="s">
        <v>244</v>
      </c>
      <c r="C680" s="2">
        <v>398</v>
      </c>
      <c r="D680" s="2" t="s">
        <v>1589</v>
      </c>
      <c r="E680" s="2" t="s">
        <v>1344</v>
      </c>
      <c r="F680" s="2" t="s">
        <v>1590</v>
      </c>
      <c r="G680" s="2" t="s">
        <v>95</v>
      </c>
      <c r="H680" s="2" t="s">
        <v>97</v>
      </c>
      <c r="I680" s="2">
        <v>1673</v>
      </c>
    </row>
    <row r="681" spans="1:9" x14ac:dyDescent="0.25">
      <c r="A681" s="4" t="s">
        <v>338</v>
      </c>
      <c r="B681" s="2" t="s">
        <v>271</v>
      </c>
      <c r="C681" s="2">
        <v>370</v>
      </c>
      <c r="D681" s="2" t="s">
        <v>1477</v>
      </c>
      <c r="E681" s="2" t="s">
        <v>1344</v>
      </c>
      <c r="F681" s="2" t="s">
        <v>1478</v>
      </c>
      <c r="G681" s="2" t="s">
        <v>95</v>
      </c>
      <c r="H681" s="2" t="s">
        <v>97</v>
      </c>
      <c r="I681" s="2">
        <v>1673</v>
      </c>
    </row>
    <row r="682" spans="1:9" x14ac:dyDescent="0.25">
      <c r="A682" s="4" t="s">
        <v>338</v>
      </c>
      <c r="B682" s="2" t="s">
        <v>271</v>
      </c>
      <c r="C682" s="2">
        <v>397</v>
      </c>
      <c r="D682" s="2" t="s">
        <v>1584</v>
      </c>
      <c r="E682" s="2" t="s">
        <v>1344</v>
      </c>
      <c r="F682" s="2" t="s">
        <v>1585</v>
      </c>
      <c r="G682" s="2" t="s">
        <v>95</v>
      </c>
      <c r="H682" s="2" t="s">
        <v>97</v>
      </c>
      <c r="I682" s="2">
        <v>1673</v>
      </c>
    </row>
    <row r="683" spans="1:9" x14ac:dyDescent="0.25">
      <c r="A683" s="4" t="s">
        <v>338</v>
      </c>
      <c r="B683" s="2" t="s">
        <v>271</v>
      </c>
      <c r="C683" s="2">
        <v>391</v>
      </c>
      <c r="D683" s="2" t="s">
        <v>1560</v>
      </c>
      <c r="E683" s="2" t="s">
        <v>1344</v>
      </c>
      <c r="F683" s="2" t="s">
        <v>1561</v>
      </c>
      <c r="G683" s="2" t="s">
        <v>95</v>
      </c>
      <c r="H683" s="2" t="s">
        <v>97</v>
      </c>
      <c r="I683" s="2">
        <v>1673</v>
      </c>
    </row>
    <row r="684" spans="1:9" x14ac:dyDescent="0.25">
      <c r="A684" s="4" t="s">
        <v>338</v>
      </c>
      <c r="B684" s="2" t="s">
        <v>271</v>
      </c>
      <c r="C684" s="2">
        <v>351</v>
      </c>
      <c r="D684" s="2" t="s">
        <v>1405</v>
      </c>
      <c r="E684" s="2" t="s">
        <v>1344</v>
      </c>
      <c r="F684" s="2" t="s">
        <v>1406</v>
      </c>
      <c r="G684" s="2" t="s">
        <v>95</v>
      </c>
      <c r="H684" s="2" t="s">
        <v>97</v>
      </c>
      <c r="I684" s="2">
        <v>1673</v>
      </c>
    </row>
    <row r="685" spans="1:9" x14ac:dyDescent="0.25">
      <c r="A685" s="4" t="s">
        <v>338</v>
      </c>
      <c r="B685" s="2" t="s">
        <v>271</v>
      </c>
      <c r="C685" s="2">
        <v>347</v>
      </c>
      <c r="D685" s="2" t="s">
        <v>1387</v>
      </c>
      <c r="E685" s="2" t="s">
        <v>1344</v>
      </c>
      <c r="F685" s="2" t="s">
        <v>1388</v>
      </c>
      <c r="G685" s="2" t="s">
        <v>95</v>
      </c>
      <c r="H685" s="2" t="s">
        <v>97</v>
      </c>
      <c r="I685" s="2">
        <v>1673</v>
      </c>
    </row>
    <row r="686" spans="1:9" x14ac:dyDescent="0.25">
      <c r="A686" s="4" t="s">
        <v>338</v>
      </c>
      <c r="B686" s="2" t="s">
        <v>271</v>
      </c>
      <c r="C686" s="2">
        <v>378</v>
      </c>
      <c r="D686" s="2" t="s">
        <v>1510</v>
      </c>
      <c r="E686" s="2" t="s">
        <v>1344</v>
      </c>
      <c r="F686" s="2" t="s">
        <v>1388</v>
      </c>
      <c r="G686" s="2" t="s">
        <v>95</v>
      </c>
      <c r="H686" s="2" t="s">
        <v>97</v>
      </c>
      <c r="I686" s="2">
        <v>1673</v>
      </c>
    </row>
    <row r="687" spans="1:9" x14ac:dyDescent="0.25">
      <c r="A687" s="4" t="s">
        <v>338</v>
      </c>
      <c r="B687" s="2" t="s">
        <v>271</v>
      </c>
      <c r="C687" s="2">
        <v>396</v>
      </c>
      <c r="D687" s="2" t="s">
        <v>1579</v>
      </c>
      <c r="E687" s="2" t="s">
        <v>1344</v>
      </c>
      <c r="F687" s="2" t="s">
        <v>1580</v>
      </c>
      <c r="G687" s="2" t="s">
        <v>95</v>
      </c>
      <c r="H687" s="2" t="s">
        <v>97</v>
      </c>
      <c r="I687" s="2">
        <v>1673</v>
      </c>
    </row>
    <row r="688" spans="1:9" x14ac:dyDescent="0.25">
      <c r="A688" s="4" t="s">
        <v>338</v>
      </c>
      <c r="B688" s="2" t="s">
        <v>271</v>
      </c>
      <c r="C688" s="2">
        <v>374</v>
      </c>
      <c r="D688" s="2" t="s">
        <v>1495</v>
      </c>
      <c r="E688" s="2" t="s">
        <v>1344</v>
      </c>
      <c r="F688" s="2" t="s">
        <v>1496</v>
      </c>
      <c r="G688" s="2" t="s">
        <v>95</v>
      </c>
      <c r="H688" s="2" t="s">
        <v>97</v>
      </c>
      <c r="I688" s="2">
        <v>1673</v>
      </c>
    </row>
    <row r="689" spans="1:9" x14ac:dyDescent="0.25">
      <c r="A689" s="4" t="s">
        <v>338</v>
      </c>
      <c r="B689" s="2" t="s">
        <v>271</v>
      </c>
      <c r="C689" s="2">
        <v>345</v>
      </c>
      <c r="D689" s="2" t="s">
        <v>1378</v>
      </c>
      <c r="E689" s="2" t="s">
        <v>1344</v>
      </c>
      <c r="F689" s="2" t="s">
        <v>1379</v>
      </c>
      <c r="G689" s="2" t="s">
        <v>95</v>
      </c>
      <c r="H689" s="2" t="s">
        <v>97</v>
      </c>
      <c r="I689" s="2">
        <v>1673</v>
      </c>
    </row>
    <row r="690" spans="1:9" x14ac:dyDescent="0.25">
      <c r="A690" s="4" t="s">
        <v>338</v>
      </c>
      <c r="B690" s="2" t="s">
        <v>271</v>
      </c>
      <c r="C690" s="2">
        <v>368</v>
      </c>
      <c r="D690" s="2" t="s">
        <v>1473</v>
      </c>
      <c r="E690" s="2" t="s">
        <v>1344</v>
      </c>
      <c r="F690" s="2" t="s">
        <v>1379</v>
      </c>
      <c r="G690" s="2" t="s">
        <v>95</v>
      </c>
      <c r="H690" s="2" t="s">
        <v>97</v>
      </c>
      <c r="I690" s="2">
        <v>1673</v>
      </c>
    </row>
    <row r="691" spans="1:9" x14ac:dyDescent="0.25">
      <c r="A691" s="4" t="s">
        <v>338</v>
      </c>
      <c r="B691" s="2" t="s">
        <v>271</v>
      </c>
      <c r="C691" s="2">
        <v>371</v>
      </c>
      <c r="D691" s="2" t="s">
        <v>1482</v>
      </c>
      <c r="E691" s="2" t="s">
        <v>1344</v>
      </c>
      <c r="F691" s="2" t="s">
        <v>1483</v>
      </c>
      <c r="G691" s="2" t="s">
        <v>95</v>
      </c>
      <c r="H691" s="2" t="s">
        <v>97</v>
      </c>
      <c r="I691" s="2">
        <v>1673</v>
      </c>
    </row>
    <row r="692" spans="1:9" x14ac:dyDescent="0.25">
      <c r="A692" s="4" t="s">
        <v>338</v>
      </c>
      <c r="B692" s="2" t="s">
        <v>271</v>
      </c>
      <c r="C692" s="2">
        <v>354</v>
      </c>
      <c r="D692" s="2" t="s">
        <v>1418</v>
      </c>
      <c r="E692" s="2" t="s">
        <v>1344</v>
      </c>
      <c r="F692" s="2" t="s">
        <v>1419</v>
      </c>
      <c r="G692" s="2" t="s">
        <v>95</v>
      </c>
      <c r="H692" s="2" t="s">
        <v>97</v>
      </c>
      <c r="I692" s="2">
        <v>1673</v>
      </c>
    </row>
    <row r="693" spans="1:9" x14ac:dyDescent="0.25">
      <c r="A693" s="4" t="s">
        <v>338</v>
      </c>
      <c r="B693" s="2" t="s">
        <v>271</v>
      </c>
      <c r="C693" s="2">
        <v>358</v>
      </c>
      <c r="D693" s="2" t="s">
        <v>1435</v>
      </c>
      <c r="E693" s="2" t="s">
        <v>1344</v>
      </c>
      <c r="F693" s="2" t="s">
        <v>1419</v>
      </c>
      <c r="G693" s="2" t="s">
        <v>95</v>
      </c>
      <c r="H693" s="2" t="s">
        <v>97</v>
      </c>
      <c r="I693" s="2">
        <v>1673</v>
      </c>
    </row>
    <row r="694" spans="1:9" x14ac:dyDescent="0.25">
      <c r="A694" s="4" t="s">
        <v>338</v>
      </c>
      <c r="B694" s="2" t="s">
        <v>271</v>
      </c>
      <c r="C694" s="2">
        <v>388</v>
      </c>
      <c r="D694" s="2" t="s">
        <v>1549</v>
      </c>
      <c r="E694" s="2" t="s">
        <v>1344</v>
      </c>
      <c r="F694" s="2" t="s">
        <v>1419</v>
      </c>
      <c r="G694" s="2" t="s">
        <v>95</v>
      </c>
      <c r="H694" s="2" t="s">
        <v>97</v>
      </c>
      <c r="I694" s="2">
        <v>1673</v>
      </c>
    </row>
    <row r="695" spans="1:9" x14ac:dyDescent="0.25">
      <c r="A695" s="4" t="s">
        <v>338</v>
      </c>
      <c r="B695" s="2" t="s">
        <v>271</v>
      </c>
      <c r="C695" s="2">
        <v>343</v>
      </c>
      <c r="D695" s="2" t="s">
        <v>1370</v>
      </c>
      <c r="E695" s="2" t="s">
        <v>1344</v>
      </c>
      <c r="F695" s="2" t="s">
        <v>1371</v>
      </c>
      <c r="G695" s="2" t="s">
        <v>95</v>
      </c>
      <c r="H695" s="2" t="s">
        <v>97</v>
      </c>
      <c r="I695" s="2">
        <v>1673</v>
      </c>
    </row>
    <row r="696" spans="1:9" x14ac:dyDescent="0.25">
      <c r="A696" s="4" t="s">
        <v>338</v>
      </c>
      <c r="B696" s="2" t="s">
        <v>271</v>
      </c>
      <c r="C696" s="2">
        <v>386</v>
      </c>
      <c r="D696" s="2" t="s">
        <v>1541</v>
      </c>
      <c r="E696" s="2" t="s">
        <v>1344</v>
      </c>
      <c r="F696" s="2" t="s">
        <v>1542</v>
      </c>
      <c r="G696" s="2" t="s">
        <v>95</v>
      </c>
      <c r="H696" s="2" t="s">
        <v>97</v>
      </c>
      <c r="I696" s="2">
        <v>1673</v>
      </c>
    </row>
    <row r="697" spans="1:9" x14ac:dyDescent="0.25">
      <c r="A697" s="4" t="s">
        <v>338</v>
      </c>
      <c r="B697" s="2" t="s">
        <v>271</v>
      </c>
      <c r="C697" s="2">
        <v>353</v>
      </c>
      <c r="D697" s="2" t="s">
        <v>1414</v>
      </c>
      <c r="E697" s="2" t="s">
        <v>1344</v>
      </c>
      <c r="F697" s="2" t="s">
        <v>1415</v>
      </c>
      <c r="G697" s="2" t="s">
        <v>95</v>
      </c>
      <c r="H697" s="2" t="s">
        <v>97</v>
      </c>
      <c r="I697" s="2">
        <v>1673</v>
      </c>
    </row>
    <row r="698" spans="1:9" x14ac:dyDescent="0.25">
      <c r="A698" s="4" t="s">
        <v>338</v>
      </c>
      <c r="B698" s="2" t="s">
        <v>271</v>
      </c>
      <c r="C698" s="2">
        <v>340</v>
      </c>
      <c r="D698" s="2" t="s">
        <v>1357</v>
      </c>
      <c r="E698" s="2" t="s">
        <v>1344</v>
      </c>
      <c r="F698" s="2" t="s">
        <v>1358</v>
      </c>
      <c r="G698" s="2" t="s">
        <v>95</v>
      </c>
      <c r="H698" s="2" t="s">
        <v>97</v>
      </c>
      <c r="I698" s="2">
        <v>1673</v>
      </c>
    </row>
    <row r="699" spans="1:9" x14ac:dyDescent="0.25">
      <c r="A699" s="4" t="s">
        <v>338</v>
      </c>
      <c r="B699" s="2" t="s">
        <v>271</v>
      </c>
      <c r="C699" s="2">
        <v>344</v>
      </c>
      <c r="D699" s="2" t="s">
        <v>1375</v>
      </c>
      <c r="E699" s="2" t="s">
        <v>1344</v>
      </c>
      <c r="F699" s="2" t="s">
        <v>1358</v>
      </c>
      <c r="G699" s="2" t="s">
        <v>95</v>
      </c>
      <c r="H699" s="2" t="s">
        <v>97</v>
      </c>
      <c r="I699" s="2">
        <v>1673</v>
      </c>
    </row>
    <row r="700" spans="1:9" x14ac:dyDescent="0.25">
      <c r="A700" s="4" t="s">
        <v>338</v>
      </c>
      <c r="B700" s="2" t="s">
        <v>271</v>
      </c>
      <c r="C700" s="2">
        <v>361</v>
      </c>
      <c r="D700" s="2" t="s">
        <v>1446</v>
      </c>
      <c r="E700" s="2" t="s">
        <v>1344</v>
      </c>
      <c r="F700" s="2" t="s">
        <v>1358</v>
      </c>
      <c r="G700" s="2" t="s">
        <v>95</v>
      </c>
      <c r="H700" s="2" t="s">
        <v>97</v>
      </c>
      <c r="I700" s="2">
        <v>1673</v>
      </c>
    </row>
    <row r="701" spans="1:9" x14ac:dyDescent="0.25">
      <c r="A701" s="4" t="s">
        <v>338</v>
      </c>
      <c r="B701" s="2" t="s">
        <v>271</v>
      </c>
      <c r="C701" s="2">
        <v>365</v>
      </c>
      <c r="D701" s="2" t="s">
        <v>1461</v>
      </c>
      <c r="E701" s="2" t="s">
        <v>1344</v>
      </c>
      <c r="F701" s="2" t="s">
        <v>1358</v>
      </c>
      <c r="G701" s="2" t="s">
        <v>95</v>
      </c>
      <c r="H701" s="2" t="s">
        <v>97</v>
      </c>
      <c r="I701" s="2">
        <v>1673</v>
      </c>
    </row>
    <row r="702" spans="1:9" x14ac:dyDescent="0.25">
      <c r="A702" s="4" t="s">
        <v>338</v>
      </c>
      <c r="B702" s="2" t="s">
        <v>271</v>
      </c>
      <c r="C702" s="2">
        <v>367</v>
      </c>
      <c r="D702" s="2" t="s">
        <v>1469</v>
      </c>
      <c r="E702" s="2" t="s">
        <v>1344</v>
      </c>
      <c r="F702" s="2" t="s">
        <v>1358</v>
      </c>
      <c r="G702" s="2" t="s">
        <v>95</v>
      </c>
      <c r="H702" s="2" t="s">
        <v>97</v>
      </c>
      <c r="I702" s="2">
        <v>1673</v>
      </c>
    </row>
    <row r="703" spans="1:9" x14ac:dyDescent="0.25">
      <c r="A703" s="4" t="s">
        <v>338</v>
      </c>
      <c r="B703" s="2" t="s">
        <v>271</v>
      </c>
      <c r="C703" s="2">
        <v>377</v>
      </c>
      <c r="D703" s="2" t="s">
        <v>1507</v>
      </c>
      <c r="E703" s="2" t="s">
        <v>1344</v>
      </c>
      <c r="F703" s="2" t="s">
        <v>1358</v>
      </c>
      <c r="G703" s="2" t="s">
        <v>95</v>
      </c>
      <c r="H703" s="2" t="s">
        <v>97</v>
      </c>
      <c r="I703" s="2">
        <v>1673</v>
      </c>
    </row>
    <row r="704" spans="1:9" x14ac:dyDescent="0.25">
      <c r="A704" s="4" t="s">
        <v>338</v>
      </c>
      <c r="B704" s="2" t="s">
        <v>271</v>
      </c>
      <c r="C704" s="2">
        <v>379</v>
      </c>
      <c r="D704" s="2" t="s">
        <v>1513</v>
      </c>
      <c r="E704" s="2" t="s">
        <v>1344</v>
      </c>
      <c r="F704" s="2" t="s">
        <v>1358</v>
      </c>
      <c r="G704" s="2" t="s">
        <v>95</v>
      </c>
      <c r="H704" s="2" t="s">
        <v>97</v>
      </c>
      <c r="I704" s="2">
        <v>1673</v>
      </c>
    </row>
    <row r="705" spans="1:9" x14ac:dyDescent="0.25">
      <c r="A705" s="4" t="s">
        <v>338</v>
      </c>
      <c r="B705" s="2" t="s">
        <v>271</v>
      </c>
      <c r="C705" s="2">
        <v>385</v>
      </c>
      <c r="D705" s="2" t="s">
        <v>1538</v>
      </c>
      <c r="E705" s="2" t="s">
        <v>1344</v>
      </c>
      <c r="F705" s="2" t="s">
        <v>1358</v>
      </c>
      <c r="G705" s="2" t="s">
        <v>95</v>
      </c>
      <c r="H705" s="2" t="s">
        <v>97</v>
      </c>
      <c r="I705" s="2">
        <v>1673</v>
      </c>
    </row>
    <row r="706" spans="1:9" x14ac:dyDescent="0.25">
      <c r="A706" s="4" t="s">
        <v>338</v>
      </c>
      <c r="B706" s="2" t="s">
        <v>271</v>
      </c>
      <c r="C706" s="2">
        <v>373</v>
      </c>
      <c r="D706" s="2" t="s">
        <v>1490</v>
      </c>
      <c r="E706" s="2" t="s">
        <v>1344</v>
      </c>
      <c r="F706" s="2" t="s">
        <v>1491</v>
      </c>
      <c r="G706" s="2" t="s">
        <v>95</v>
      </c>
      <c r="H706" s="2" t="s">
        <v>97</v>
      </c>
      <c r="I706" s="2">
        <v>1673</v>
      </c>
    </row>
    <row r="707" spans="1:9" x14ac:dyDescent="0.25">
      <c r="A707" s="4" t="s">
        <v>338</v>
      </c>
      <c r="B707" s="2" t="s">
        <v>271</v>
      </c>
      <c r="C707" s="2">
        <v>346</v>
      </c>
      <c r="D707" s="2" t="s">
        <v>1383</v>
      </c>
      <c r="E707" s="2" t="s">
        <v>1344</v>
      </c>
      <c r="F707" s="2" t="s">
        <v>1384</v>
      </c>
      <c r="G707" s="2" t="s">
        <v>95</v>
      </c>
      <c r="H707" s="2" t="s">
        <v>97</v>
      </c>
      <c r="I707" s="2">
        <v>1673</v>
      </c>
    </row>
    <row r="708" spans="1:9" x14ac:dyDescent="0.25">
      <c r="A708" s="4" t="s">
        <v>338</v>
      </c>
      <c r="B708" s="2" t="s">
        <v>271</v>
      </c>
      <c r="C708" s="2">
        <v>394</v>
      </c>
      <c r="D708" s="2" t="s">
        <v>1571</v>
      </c>
      <c r="E708" s="2" t="s">
        <v>1344</v>
      </c>
      <c r="F708" s="2" t="s">
        <v>1572</v>
      </c>
      <c r="G708" s="2" t="s">
        <v>95</v>
      </c>
      <c r="H708" s="2" t="s">
        <v>97</v>
      </c>
      <c r="I708" s="2">
        <v>1673</v>
      </c>
    </row>
    <row r="709" spans="1:9" x14ac:dyDescent="0.25">
      <c r="A709" s="4" t="s">
        <v>338</v>
      </c>
      <c r="B709" s="2" t="s">
        <v>271</v>
      </c>
      <c r="C709" s="2">
        <v>355</v>
      </c>
      <c r="D709" s="2" t="s">
        <v>1422</v>
      </c>
      <c r="E709" s="2" t="s">
        <v>1344</v>
      </c>
      <c r="F709" s="2" t="s">
        <v>1423</v>
      </c>
      <c r="G709" s="2" t="s">
        <v>95</v>
      </c>
      <c r="H709" s="2" t="s">
        <v>97</v>
      </c>
      <c r="I709" s="2">
        <v>1673</v>
      </c>
    </row>
    <row r="710" spans="1:9" x14ac:dyDescent="0.25">
      <c r="A710" s="4" t="s">
        <v>338</v>
      </c>
      <c r="B710" s="2" t="s">
        <v>271</v>
      </c>
      <c r="C710" s="2">
        <v>341</v>
      </c>
      <c r="D710" s="2" t="s">
        <v>1362</v>
      </c>
      <c r="E710" s="2" t="s">
        <v>1344</v>
      </c>
      <c r="F710" s="2" t="s">
        <v>1363</v>
      </c>
      <c r="G710" s="2" t="s">
        <v>95</v>
      </c>
      <c r="H710" s="2" t="s">
        <v>97</v>
      </c>
      <c r="I710" s="2">
        <v>1673</v>
      </c>
    </row>
    <row r="711" spans="1:9" x14ac:dyDescent="0.25">
      <c r="A711" s="4" t="s">
        <v>338</v>
      </c>
      <c r="B711" s="2" t="s">
        <v>271</v>
      </c>
      <c r="C711" s="2">
        <v>384</v>
      </c>
      <c r="D711" s="2" t="s">
        <v>1534</v>
      </c>
      <c r="E711" s="2" t="s">
        <v>1344</v>
      </c>
      <c r="F711" s="2" t="s">
        <v>1535</v>
      </c>
      <c r="G711" s="2" t="s">
        <v>95</v>
      </c>
      <c r="H711" s="2" t="s">
        <v>97</v>
      </c>
      <c r="I711" s="2">
        <v>1673</v>
      </c>
    </row>
    <row r="712" spans="1:9" x14ac:dyDescent="0.25">
      <c r="A712" s="4" t="s">
        <v>338</v>
      </c>
      <c r="B712" s="2" t="s">
        <v>271</v>
      </c>
      <c r="C712" s="2">
        <v>166</v>
      </c>
      <c r="D712" s="2" t="s">
        <v>697</v>
      </c>
      <c r="E712" s="2" t="s">
        <v>678</v>
      </c>
      <c r="F712" s="2" t="s">
        <v>698</v>
      </c>
      <c r="G712" s="2" t="s">
        <v>95</v>
      </c>
      <c r="H712" s="2" t="s">
        <v>97</v>
      </c>
      <c r="I712" s="2">
        <v>105</v>
      </c>
    </row>
    <row r="713" spans="1:9" x14ac:dyDescent="0.25">
      <c r="A713" s="4" t="s">
        <v>338</v>
      </c>
      <c r="B713" s="2" t="s">
        <v>271</v>
      </c>
      <c r="C713" s="2">
        <v>184</v>
      </c>
      <c r="D713" s="2" t="s">
        <v>762</v>
      </c>
      <c r="E713" s="2" t="s">
        <v>678</v>
      </c>
      <c r="F713" s="2" t="s">
        <v>698</v>
      </c>
      <c r="G713" s="2" t="s">
        <v>95</v>
      </c>
      <c r="H713" s="2" t="s">
        <v>97</v>
      </c>
      <c r="I713" s="2">
        <v>105</v>
      </c>
    </row>
    <row r="714" spans="1:9" x14ac:dyDescent="0.25">
      <c r="A714" s="4" t="s">
        <v>338</v>
      </c>
      <c r="B714" s="2" t="s">
        <v>271</v>
      </c>
      <c r="C714" s="2">
        <v>164</v>
      </c>
      <c r="D714" s="2" t="s">
        <v>691</v>
      </c>
      <c r="E714" s="2" t="s">
        <v>678</v>
      </c>
      <c r="F714" s="2" t="s">
        <v>692</v>
      </c>
      <c r="G714" s="2" t="s">
        <v>95</v>
      </c>
      <c r="H714" s="2" t="s">
        <v>97</v>
      </c>
      <c r="I714" s="2">
        <v>105</v>
      </c>
    </row>
    <row r="715" spans="1:9" x14ac:dyDescent="0.25">
      <c r="A715" s="4" t="s">
        <v>338</v>
      </c>
      <c r="B715" s="2" t="s">
        <v>271</v>
      </c>
      <c r="C715" s="2">
        <v>170</v>
      </c>
      <c r="D715" s="2" t="s">
        <v>713</v>
      </c>
      <c r="E715" s="2" t="s">
        <v>678</v>
      </c>
      <c r="F715" s="2" t="s">
        <v>692</v>
      </c>
      <c r="G715" s="2" t="s">
        <v>95</v>
      </c>
      <c r="H715" s="2" t="s">
        <v>97</v>
      </c>
      <c r="I715" s="2">
        <v>105</v>
      </c>
    </row>
    <row r="716" spans="1:9" x14ac:dyDescent="0.25">
      <c r="A716" s="4" t="s">
        <v>338</v>
      </c>
      <c r="B716" s="2" t="s">
        <v>271</v>
      </c>
      <c r="C716" s="2">
        <v>173</v>
      </c>
      <c r="D716" s="2" t="s">
        <v>724</v>
      </c>
      <c r="E716" s="2" t="s">
        <v>678</v>
      </c>
      <c r="F716" s="2" t="s">
        <v>692</v>
      </c>
      <c r="G716" s="2" t="s">
        <v>95</v>
      </c>
      <c r="H716" s="2" t="s">
        <v>97</v>
      </c>
      <c r="I716" s="2">
        <v>105</v>
      </c>
    </row>
    <row r="717" spans="1:9" x14ac:dyDescent="0.25">
      <c r="A717" s="4" t="s">
        <v>338</v>
      </c>
      <c r="B717" s="2" t="s">
        <v>271</v>
      </c>
      <c r="C717" s="2">
        <v>175</v>
      </c>
      <c r="D717" s="2" t="s">
        <v>731</v>
      </c>
      <c r="E717" s="2" t="s">
        <v>678</v>
      </c>
      <c r="F717" s="2" t="s">
        <v>692</v>
      </c>
      <c r="G717" s="2" t="s">
        <v>95</v>
      </c>
      <c r="H717" s="2" t="s">
        <v>97</v>
      </c>
      <c r="I717" s="2">
        <v>105</v>
      </c>
    </row>
    <row r="718" spans="1:9" x14ac:dyDescent="0.25">
      <c r="A718" s="4" t="s">
        <v>338</v>
      </c>
      <c r="B718" s="2" t="s">
        <v>271</v>
      </c>
      <c r="C718" s="2">
        <v>186</v>
      </c>
      <c r="D718" s="2" t="s">
        <v>768</v>
      </c>
      <c r="E718" s="2" t="s">
        <v>678</v>
      </c>
      <c r="F718" s="2" t="s">
        <v>692</v>
      </c>
      <c r="G718" s="2" t="s">
        <v>95</v>
      </c>
      <c r="H718" s="2" t="s">
        <v>97</v>
      </c>
      <c r="I718" s="2">
        <v>105</v>
      </c>
    </row>
    <row r="719" spans="1:9" x14ac:dyDescent="0.25">
      <c r="A719" s="4" t="s">
        <v>338</v>
      </c>
      <c r="B719" s="2" t="s">
        <v>271</v>
      </c>
      <c r="C719" s="2">
        <v>176</v>
      </c>
      <c r="D719" s="2" t="s">
        <v>734</v>
      </c>
      <c r="E719" s="2" t="s">
        <v>678</v>
      </c>
      <c r="F719" s="2" t="s">
        <v>735</v>
      </c>
      <c r="G719" s="2" t="s">
        <v>95</v>
      </c>
      <c r="H719" s="2" t="s">
        <v>97</v>
      </c>
      <c r="I719" s="2">
        <v>105</v>
      </c>
    </row>
    <row r="720" spans="1:9" x14ac:dyDescent="0.25">
      <c r="A720" s="4" t="s">
        <v>338</v>
      </c>
      <c r="B720" s="2" t="s">
        <v>271</v>
      </c>
      <c r="C720" s="2">
        <v>163</v>
      </c>
      <c r="D720" s="2" t="s">
        <v>687</v>
      </c>
      <c r="E720" s="2" t="s">
        <v>678</v>
      </c>
      <c r="F720" s="2" t="s">
        <v>688</v>
      </c>
      <c r="G720" s="2" t="s">
        <v>95</v>
      </c>
      <c r="H720" s="2" t="s">
        <v>97</v>
      </c>
      <c r="I720" s="2">
        <v>105</v>
      </c>
    </row>
    <row r="721" spans="1:9" x14ac:dyDescent="0.25">
      <c r="A721" s="4" t="s">
        <v>338</v>
      </c>
      <c r="B721" s="2" t="s">
        <v>271</v>
      </c>
      <c r="C721" s="2">
        <v>165</v>
      </c>
      <c r="D721" s="2" t="s">
        <v>695</v>
      </c>
      <c r="E721" s="2" t="s">
        <v>678</v>
      </c>
      <c r="F721" s="2" t="s">
        <v>688</v>
      </c>
      <c r="G721" s="2" t="s">
        <v>95</v>
      </c>
      <c r="H721" s="2" t="s">
        <v>97</v>
      </c>
      <c r="I721" s="2">
        <v>105</v>
      </c>
    </row>
    <row r="722" spans="1:9" x14ac:dyDescent="0.25">
      <c r="A722" s="4" t="s">
        <v>338</v>
      </c>
      <c r="B722" s="2" t="s">
        <v>271</v>
      </c>
      <c r="C722" s="2">
        <v>181</v>
      </c>
      <c r="D722" s="2" t="s">
        <v>752</v>
      </c>
      <c r="E722" s="2" t="s">
        <v>678</v>
      </c>
      <c r="F722" s="2" t="s">
        <v>688</v>
      </c>
      <c r="G722" s="2" t="s">
        <v>95</v>
      </c>
      <c r="H722" s="2" t="s">
        <v>97</v>
      </c>
      <c r="I722" s="2">
        <v>105</v>
      </c>
    </row>
    <row r="723" spans="1:9" x14ac:dyDescent="0.25">
      <c r="A723" s="4" t="s">
        <v>338</v>
      </c>
      <c r="B723" s="2" t="s">
        <v>271</v>
      </c>
      <c r="C723" s="2">
        <v>168</v>
      </c>
      <c r="D723" s="2" t="s">
        <v>705</v>
      </c>
      <c r="E723" s="2" t="s">
        <v>678</v>
      </c>
      <c r="F723" s="2" t="s">
        <v>706</v>
      </c>
      <c r="G723" s="2" t="s">
        <v>95</v>
      </c>
      <c r="H723" s="2" t="s">
        <v>97</v>
      </c>
      <c r="I723" s="2">
        <v>105</v>
      </c>
    </row>
    <row r="724" spans="1:9" x14ac:dyDescent="0.25">
      <c r="A724" s="4" t="s">
        <v>338</v>
      </c>
      <c r="B724" s="2" t="s">
        <v>271</v>
      </c>
      <c r="C724" s="2">
        <v>162</v>
      </c>
      <c r="D724" s="2" t="s">
        <v>682</v>
      </c>
      <c r="E724" s="2" t="s">
        <v>678</v>
      </c>
      <c r="F724" s="2" t="s">
        <v>683</v>
      </c>
      <c r="G724" s="2" t="s">
        <v>95</v>
      </c>
      <c r="H724" s="2" t="s">
        <v>97</v>
      </c>
      <c r="I724" s="2">
        <v>105</v>
      </c>
    </row>
    <row r="725" spans="1:9" x14ac:dyDescent="0.25">
      <c r="A725" s="4" t="s">
        <v>338</v>
      </c>
      <c r="B725" s="2" t="s">
        <v>271</v>
      </c>
      <c r="C725" s="2">
        <v>171</v>
      </c>
      <c r="D725" s="2" t="s">
        <v>716</v>
      </c>
      <c r="E725" s="2" t="s">
        <v>678</v>
      </c>
      <c r="F725" s="2" t="s">
        <v>683</v>
      </c>
      <c r="G725" s="2" t="s">
        <v>95</v>
      </c>
      <c r="H725" s="2" t="s">
        <v>97</v>
      </c>
      <c r="I725" s="2">
        <v>105</v>
      </c>
    </row>
    <row r="726" spans="1:9" x14ac:dyDescent="0.25">
      <c r="A726" s="4" t="s">
        <v>338</v>
      </c>
      <c r="B726" s="2" t="s">
        <v>271</v>
      </c>
      <c r="C726" s="2">
        <v>172</v>
      </c>
      <c r="D726" s="2" t="s">
        <v>719</v>
      </c>
      <c r="E726" s="2" t="s">
        <v>678</v>
      </c>
      <c r="F726" s="2" t="s">
        <v>720</v>
      </c>
      <c r="G726" s="2" t="s">
        <v>95</v>
      </c>
      <c r="H726" s="2" t="s">
        <v>97</v>
      </c>
      <c r="I726" s="2">
        <v>105</v>
      </c>
    </row>
    <row r="727" spans="1:9" x14ac:dyDescent="0.25">
      <c r="A727" s="4" t="s">
        <v>338</v>
      </c>
      <c r="B727" s="2" t="s">
        <v>271</v>
      </c>
      <c r="C727" s="2">
        <v>174</v>
      </c>
      <c r="D727" s="2" t="s">
        <v>727</v>
      </c>
      <c r="E727" s="2" t="s">
        <v>678</v>
      </c>
      <c r="F727" s="2" t="s">
        <v>720</v>
      </c>
      <c r="G727" s="2" t="s">
        <v>95</v>
      </c>
      <c r="H727" s="2" t="s">
        <v>97</v>
      </c>
      <c r="I727" s="2">
        <v>105</v>
      </c>
    </row>
    <row r="728" spans="1:9" x14ac:dyDescent="0.25">
      <c r="A728" s="4" t="s">
        <v>338</v>
      </c>
      <c r="B728" s="2" t="s">
        <v>271</v>
      </c>
      <c r="C728" s="2">
        <v>179</v>
      </c>
      <c r="D728" s="2" t="s">
        <v>745</v>
      </c>
      <c r="E728" s="2" t="s">
        <v>678</v>
      </c>
      <c r="F728" s="2" t="s">
        <v>720</v>
      </c>
      <c r="G728" s="2" t="s">
        <v>95</v>
      </c>
      <c r="H728" s="2" t="s">
        <v>97</v>
      </c>
      <c r="I728" s="2">
        <v>105</v>
      </c>
    </row>
    <row r="729" spans="1:9" x14ac:dyDescent="0.25">
      <c r="A729" s="4" t="s">
        <v>338</v>
      </c>
      <c r="B729" s="2" t="s">
        <v>271</v>
      </c>
      <c r="C729" s="2">
        <v>180</v>
      </c>
      <c r="D729" s="2" t="s">
        <v>749</v>
      </c>
      <c r="E729" s="2" t="s">
        <v>678</v>
      </c>
      <c r="F729" s="2" t="s">
        <v>720</v>
      </c>
      <c r="G729" s="2" t="s">
        <v>95</v>
      </c>
      <c r="H729" s="2" t="s">
        <v>97</v>
      </c>
      <c r="I729" s="2">
        <v>105</v>
      </c>
    </row>
    <row r="730" spans="1:9" x14ac:dyDescent="0.25">
      <c r="A730" s="4" t="s">
        <v>338</v>
      </c>
      <c r="B730" s="2" t="s">
        <v>271</v>
      </c>
      <c r="C730" s="2">
        <v>187</v>
      </c>
      <c r="D730" s="2" t="s">
        <v>771</v>
      </c>
      <c r="E730" s="2" t="s">
        <v>678</v>
      </c>
      <c r="F730" s="2" t="s">
        <v>720</v>
      </c>
      <c r="G730" s="2" t="s">
        <v>95</v>
      </c>
      <c r="H730" s="2" t="s">
        <v>97</v>
      </c>
      <c r="I730" s="2">
        <v>105</v>
      </c>
    </row>
    <row r="731" spans="1:9" x14ac:dyDescent="0.25">
      <c r="A731" s="4" t="s">
        <v>338</v>
      </c>
      <c r="B731" s="2" t="s">
        <v>271</v>
      </c>
      <c r="C731" s="2">
        <v>185</v>
      </c>
      <c r="D731" s="2" t="s">
        <v>764</v>
      </c>
      <c r="E731" s="2" t="s">
        <v>678</v>
      </c>
      <c r="F731" s="2" t="s">
        <v>765</v>
      </c>
      <c r="G731" s="2" t="s">
        <v>95</v>
      </c>
      <c r="H731" s="2" t="s">
        <v>97</v>
      </c>
      <c r="I731" s="2">
        <v>105</v>
      </c>
    </row>
    <row r="732" spans="1:9" x14ac:dyDescent="0.25">
      <c r="A732" s="4" t="s">
        <v>338</v>
      </c>
      <c r="B732" s="2" t="s">
        <v>271</v>
      </c>
      <c r="C732" s="2">
        <v>169</v>
      </c>
      <c r="D732" s="2" t="s">
        <v>709</v>
      </c>
      <c r="E732" s="2" t="s">
        <v>678</v>
      </c>
      <c r="F732" s="2" t="s">
        <v>710</v>
      </c>
      <c r="G732" s="2" t="s">
        <v>95</v>
      </c>
      <c r="H732" s="2" t="s">
        <v>97</v>
      </c>
      <c r="I732" s="2">
        <v>105</v>
      </c>
    </row>
    <row r="733" spans="1:9" x14ac:dyDescent="0.25">
      <c r="A733" s="4" t="s">
        <v>338</v>
      </c>
      <c r="B733" s="2" t="s">
        <v>271</v>
      </c>
      <c r="C733" s="2">
        <v>178</v>
      </c>
      <c r="D733" s="2" t="s">
        <v>742</v>
      </c>
      <c r="E733" s="2" t="s">
        <v>678</v>
      </c>
      <c r="F733" s="2" t="s">
        <v>710</v>
      </c>
      <c r="G733" s="2" t="s">
        <v>95</v>
      </c>
      <c r="H733" s="2" t="s">
        <v>97</v>
      </c>
      <c r="I733" s="2">
        <v>105</v>
      </c>
    </row>
    <row r="734" spans="1:9" x14ac:dyDescent="0.25">
      <c r="A734" s="4" t="s">
        <v>338</v>
      </c>
      <c r="B734" s="2" t="s">
        <v>271</v>
      </c>
      <c r="C734" s="2">
        <v>183</v>
      </c>
      <c r="D734" s="2" t="s">
        <v>759</v>
      </c>
      <c r="E734" s="2" t="s">
        <v>678</v>
      </c>
      <c r="F734" s="2" t="s">
        <v>710</v>
      </c>
      <c r="G734" s="2" t="s">
        <v>95</v>
      </c>
      <c r="H734" s="2" t="s">
        <v>97</v>
      </c>
      <c r="I734" s="2">
        <v>105</v>
      </c>
    </row>
    <row r="735" spans="1:9" x14ac:dyDescent="0.25">
      <c r="A735" s="4" t="s">
        <v>338</v>
      </c>
      <c r="B735" s="2" t="s">
        <v>271</v>
      </c>
      <c r="C735" s="2">
        <v>167</v>
      </c>
      <c r="D735" s="2" t="s">
        <v>701</v>
      </c>
      <c r="E735" s="2" t="s">
        <v>678</v>
      </c>
      <c r="F735" s="2" t="s">
        <v>702</v>
      </c>
      <c r="G735" s="2" t="s">
        <v>95</v>
      </c>
      <c r="H735" s="2" t="s">
        <v>97</v>
      </c>
      <c r="I735" s="2">
        <v>105</v>
      </c>
    </row>
    <row r="736" spans="1:9" x14ac:dyDescent="0.25">
      <c r="A736" s="4" t="s">
        <v>338</v>
      </c>
      <c r="B736" s="2" t="s">
        <v>271</v>
      </c>
      <c r="C736" s="2">
        <v>182</v>
      </c>
      <c r="D736" s="2" t="s">
        <v>754</v>
      </c>
      <c r="E736" s="2" t="s">
        <v>678</v>
      </c>
      <c r="F736" s="2" t="s">
        <v>755</v>
      </c>
      <c r="G736" s="2" t="s">
        <v>95</v>
      </c>
      <c r="H736" s="2" t="s">
        <v>97</v>
      </c>
      <c r="I736" s="2">
        <v>105</v>
      </c>
    </row>
    <row r="737" spans="1:9" x14ac:dyDescent="0.25">
      <c r="A737" s="4" t="s">
        <v>338</v>
      </c>
      <c r="B737" s="2" t="s">
        <v>271</v>
      </c>
      <c r="C737" s="2">
        <v>189</v>
      </c>
      <c r="D737" s="2" t="s">
        <v>779</v>
      </c>
      <c r="E737" s="2" t="s">
        <v>678</v>
      </c>
      <c r="F737" s="2" t="s">
        <v>755</v>
      </c>
      <c r="G737" s="2" t="s">
        <v>95</v>
      </c>
      <c r="H737" s="2" t="s">
        <v>97</v>
      </c>
      <c r="I737" s="2">
        <v>105</v>
      </c>
    </row>
    <row r="738" spans="1:9" x14ac:dyDescent="0.25">
      <c r="A738" s="4" t="s">
        <v>338</v>
      </c>
      <c r="B738" s="2" t="s">
        <v>271</v>
      </c>
      <c r="C738" s="2">
        <v>161</v>
      </c>
      <c r="D738" s="2" t="s">
        <v>677</v>
      </c>
      <c r="E738" s="2" t="s">
        <v>678</v>
      </c>
      <c r="F738" s="2" t="s">
        <v>679</v>
      </c>
      <c r="G738" s="2" t="s">
        <v>95</v>
      </c>
      <c r="H738" s="2" t="s">
        <v>97</v>
      </c>
      <c r="I738" s="2">
        <v>105</v>
      </c>
    </row>
    <row r="739" spans="1:9" x14ac:dyDescent="0.25">
      <c r="A739" s="4" t="s">
        <v>338</v>
      </c>
      <c r="B739" s="2" t="s">
        <v>271</v>
      </c>
      <c r="C739" s="2">
        <v>177</v>
      </c>
      <c r="D739" s="2" t="s">
        <v>738</v>
      </c>
      <c r="E739" s="2" t="s">
        <v>678</v>
      </c>
      <c r="F739" s="2" t="s">
        <v>739</v>
      </c>
      <c r="G739" s="2" t="s">
        <v>95</v>
      </c>
      <c r="H739" s="2" t="s">
        <v>97</v>
      </c>
      <c r="I739" s="2">
        <v>105</v>
      </c>
    </row>
    <row r="740" spans="1:9" x14ac:dyDescent="0.25">
      <c r="A740" s="4" t="s">
        <v>338</v>
      </c>
      <c r="B740" s="2" t="s">
        <v>271</v>
      </c>
      <c r="C740" s="2">
        <v>188</v>
      </c>
      <c r="D740" s="2" t="s">
        <v>775</v>
      </c>
      <c r="E740" s="2" t="s">
        <v>678</v>
      </c>
      <c r="F740" s="2" t="s">
        <v>776</v>
      </c>
      <c r="G740" s="2" t="s">
        <v>95</v>
      </c>
      <c r="H740" s="2" t="s">
        <v>97</v>
      </c>
      <c r="I740" s="2">
        <v>105</v>
      </c>
    </row>
    <row r="741" spans="1:9" x14ac:dyDescent="0.25">
      <c r="A741" s="4" t="s">
        <v>338</v>
      </c>
      <c r="B741" s="2" t="s">
        <v>271</v>
      </c>
      <c r="C741" s="2">
        <v>241</v>
      </c>
      <c r="D741" s="2" t="s">
        <v>990</v>
      </c>
      <c r="E741" s="2" t="s">
        <v>783</v>
      </c>
      <c r="F741" s="2" t="s">
        <v>991</v>
      </c>
      <c r="G741" s="2" t="s">
        <v>95</v>
      </c>
      <c r="H741" s="2" t="s">
        <v>97</v>
      </c>
      <c r="I741" s="2">
        <v>0</v>
      </c>
    </row>
    <row r="742" spans="1:9" x14ac:dyDescent="0.25">
      <c r="A742" s="4" t="s">
        <v>338</v>
      </c>
      <c r="B742" s="2" t="s">
        <v>271</v>
      </c>
      <c r="C742" s="2">
        <v>230</v>
      </c>
      <c r="D742" s="2" t="s">
        <v>945</v>
      </c>
      <c r="E742" s="2" t="s">
        <v>783</v>
      </c>
      <c r="F742" s="2" t="s">
        <v>946</v>
      </c>
      <c r="G742" s="2" t="s">
        <v>95</v>
      </c>
      <c r="H742" s="2" t="s">
        <v>97</v>
      </c>
      <c r="I742" s="2">
        <v>0</v>
      </c>
    </row>
    <row r="743" spans="1:9" x14ac:dyDescent="0.25">
      <c r="A743" s="4" t="s">
        <v>338</v>
      </c>
      <c r="B743" s="2" t="s">
        <v>271</v>
      </c>
      <c r="C743" s="2">
        <v>224</v>
      </c>
      <c r="D743" s="2" t="s">
        <v>922</v>
      </c>
      <c r="E743" s="2" t="s">
        <v>783</v>
      </c>
      <c r="F743" s="2" t="s">
        <v>923</v>
      </c>
      <c r="G743" s="2" t="s">
        <v>95</v>
      </c>
      <c r="H743" s="2" t="s">
        <v>97</v>
      </c>
      <c r="I743" s="2">
        <v>0</v>
      </c>
    </row>
    <row r="744" spans="1:9" x14ac:dyDescent="0.25">
      <c r="A744" s="4" t="s">
        <v>338</v>
      </c>
      <c r="B744" s="2" t="s">
        <v>271</v>
      </c>
      <c r="C744" s="2">
        <v>193</v>
      </c>
      <c r="D744" s="2" t="s">
        <v>797</v>
      </c>
      <c r="E744" s="2" t="s">
        <v>783</v>
      </c>
      <c r="F744" s="2" t="s">
        <v>798</v>
      </c>
      <c r="G744" s="2" t="s">
        <v>95</v>
      </c>
      <c r="H744" s="2" t="s">
        <v>97</v>
      </c>
      <c r="I744" s="2">
        <v>0</v>
      </c>
    </row>
    <row r="745" spans="1:9" x14ac:dyDescent="0.25">
      <c r="A745" s="4" t="s">
        <v>338</v>
      </c>
      <c r="B745" s="2" t="s">
        <v>271</v>
      </c>
      <c r="C745" s="2">
        <v>227</v>
      </c>
      <c r="D745" s="2" t="s">
        <v>932</v>
      </c>
      <c r="E745" s="2" t="s">
        <v>783</v>
      </c>
      <c r="F745" s="2" t="s">
        <v>933</v>
      </c>
      <c r="G745" s="2" t="s">
        <v>95</v>
      </c>
      <c r="H745" s="2" t="s">
        <v>97</v>
      </c>
      <c r="I745" s="2">
        <v>0</v>
      </c>
    </row>
    <row r="746" spans="1:9" x14ac:dyDescent="0.25">
      <c r="A746" s="4" t="s">
        <v>338</v>
      </c>
      <c r="B746" s="2" t="s">
        <v>271</v>
      </c>
      <c r="C746" s="2">
        <v>221</v>
      </c>
      <c r="D746" s="2" t="s">
        <v>910</v>
      </c>
      <c r="E746" s="2" t="s">
        <v>783</v>
      </c>
      <c r="F746" s="2" t="s">
        <v>911</v>
      </c>
      <c r="G746" s="2" t="s">
        <v>95</v>
      </c>
      <c r="H746" s="2" t="s">
        <v>97</v>
      </c>
      <c r="I746" s="2">
        <v>0</v>
      </c>
    </row>
    <row r="747" spans="1:9" x14ac:dyDescent="0.25">
      <c r="A747" s="4" t="s">
        <v>338</v>
      </c>
      <c r="B747" s="2" t="s">
        <v>271</v>
      </c>
      <c r="C747" s="2">
        <v>236</v>
      </c>
      <c r="D747" s="2" t="s">
        <v>968</v>
      </c>
      <c r="E747" s="2" t="s">
        <v>783</v>
      </c>
      <c r="F747" s="2" t="s">
        <v>969</v>
      </c>
      <c r="G747" s="2" t="s">
        <v>95</v>
      </c>
      <c r="H747" s="2" t="s">
        <v>97</v>
      </c>
      <c r="I747" s="2">
        <v>0</v>
      </c>
    </row>
    <row r="748" spans="1:9" x14ac:dyDescent="0.25">
      <c r="A748" s="4" t="s">
        <v>338</v>
      </c>
      <c r="B748" s="2" t="s">
        <v>271</v>
      </c>
      <c r="C748" s="2">
        <v>212</v>
      </c>
      <c r="D748" s="2" t="s">
        <v>874</v>
      </c>
      <c r="E748" s="2" t="s">
        <v>783</v>
      </c>
      <c r="F748" s="2" t="s">
        <v>875</v>
      </c>
      <c r="G748" s="2" t="s">
        <v>95</v>
      </c>
      <c r="H748" s="2" t="s">
        <v>97</v>
      </c>
      <c r="I748" s="2">
        <v>0</v>
      </c>
    </row>
    <row r="749" spans="1:9" x14ac:dyDescent="0.25">
      <c r="A749" s="4" t="s">
        <v>338</v>
      </c>
      <c r="B749" s="2" t="s">
        <v>271</v>
      </c>
      <c r="C749" s="2">
        <v>202</v>
      </c>
      <c r="D749" s="2" t="s">
        <v>835</v>
      </c>
      <c r="E749" s="2" t="s">
        <v>783</v>
      </c>
      <c r="F749" s="2" t="s">
        <v>836</v>
      </c>
      <c r="G749" s="2" t="s">
        <v>95</v>
      </c>
      <c r="H749" s="2" t="s">
        <v>97</v>
      </c>
      <c r="I749" s="2">
        <v>0</v>
      </c>
    </row>
    <row r="750" spans="1:9" x14ac:dyDescent="0.25">
      <c r="A750" s="4" t="s">
        <v>338</v>
      </c>
      <c r="B750" s="2" t="s">
        <v>271</v>
      </c>
      <c r="C750" s="2">
        <v>197</v>
      </c>
      <c r="D750" s="2" t="s">
        <v>814</v>
      </c>
      <c r="E750" s="2" t="s">
        <v>783</v>
      </c>
      <c r="F750" s="2" t="s">
        <v>815</v>
      </c>
      <c r="G750" s="2" t="s">
        <v>95</v>
      </c>
      <c r="H750" s="2" t="s">
        <v>97</v>
      </c>
      <c r="I750" s="2">
        <v>0</v>
      </c>
    </row>
    <row r="751" spans="1:9" x14ac:dyDescent="0.25">
      <c r="A751" s="4" t="s">
        <v>338</v>
      </c>
      <c r="B751" s="2" t="s">
        <v>271</v>
      </c>
      <c r="C751" s="2">
        <v>199</v>
      </c>
      <c r="D751" s="2" t="s">
        <v>823</v>
      </c>
      <c r="E751" s="2" t="s">
        <v>783</v>
      </c>
      <c r="F751" s="2" t="s">
        <v>815</v>
      </c>
      <c r="G751" s="2" t="s">
        <v>95</v>
      </c>
      <c r="H751" s="2" t="s">
        <v>97</v>
      </c>
      <c r="I751" s="2">
        <v>0</v>
      </c>
    </row>
    <row r="752" spans="1:9" x14ac:dyDescent="0.25">
      <c r="A752" s="4" t="s">
        <v>338</v>
      </c>
      <c r="B752" s="2" t="s">
        <v>271</v>
      </c>
      <c r="C752" s="2">
        <v>216</v>
      </c>
      <c r="D752" s="2" t="s">
        <v>891</v>
      </c>
      <c r="E752" s="2" t="s">
        <v>783</v>
      </c>
      <c r="F752" s="2" t="s">
        <v>815</v>
      </c>
      <c r="G752" s="2" t="s">
        <v>95</v>
      </c>
      <c r="H752" s="2" t="s">
        <v>97</v>
      </c>
      <c r="I752" s="2">
        <v>0</v>
      </c>
    </row>
    <row r="753" spans="1:9" x14ac:dyDescent="0.25">
      <c r="A753" s="4" t="s">
        <v>338</v>
      </c>
      <c r="B753" s="2" t="s">
        <v>271</v>
      </c>
      <c r="C753" s="2">
        <v>233</v>
      </c>
      <c r="D753" s="2" t="s">
        <v>955</v>
      </c>
      <c r="E753" s="2" t="s">
        <v>783</v>
      </c>
      <c r="F753" s="2" t="s">
        <v>956</v>
      </c>
      <c r="G753" s="2" t="s">
        <v>95</v>
      </c>
      <c r="H753" s="2" t="s">
        <v>97</v>
      </c>
      <c r="I753" s="2">
        <v>0</v>
      </c>
    </row>
    <row r="754" spans="1:9" x14ac:dyDescent="0.25">
      <c r="A754" s="4" t="s">
        <v>338</v>
      </c>
      <c r="B754" s="2" t="s">
        <v>271</v>
      </c>
      <c r="C754" s="2">
        <v>254</v>
      </c>
      <c r="D754" s="2" t="s">
        <v>1039</v>
      </c>
      <c r="E754" s="2" t="s">
        <v>783</v>
      </c>
      <c r="F754" s="2" t="s">
        <v>1040</v>
      </c>
      <c r="G754" s="2" t="s">
        <v>95</v>
      </c>
      <c r="H754" s="2" t="s">
        <v>97</v>
      </c>
      <c r="I754" s="2">
        <v>0</v>
      </c>
    </row>
    <row r="755" spans="1:9" x14ac:dyDescent="0.25">
      <c r="A755" s="4" t="s">
        <v>338</v>
      </c>
      <c r="B755" s="2" t="s">
        <v>271</v>
      </c>
      <c r="C755" s="2">
        <v>190</v>
      </c>
      <c r="D755" s="2" t="s">
        <v>782</v>
      </c>
      <c r="E755" s="2" t="s">
        <v>783</v>
      </c>
      <c r="F755" s="2" t="s">
        <v>784</v>
      </c>
      <c r="G755" s="2" t="s">
        <v>95</v>
      </c>
      <c r="H755" s="2" t="s">
        <v>97</v>
      </c>
      <c r="I755" s="2">
        <v>0</v>
      </c>
    </row>
    <row r="756" spans="1:9" x14ac:dyDescent="0.25">
      <c r="A756" s="4" t="s">
        <v>338</v>
      </c>
      <c r="B756" s="2" t="s">
        <v>271</v>
      </c>
      <c r="C756" s="2">
        <v>210</v>
      </c>
      <c r="D756" s="2" t="s">
        <v>868</v>
      </c>
      <c r="E756" s="2" t="s">
        <v>783</v>
      </c>
      <c r="F756" s="2" t="s">
        <v>784</v>
      </c>
      <c r="G756" s="2" t="s">
        <v>95</v>
      </c>
      <c r="H756" s="2" t="s">
        <v>97</v>
      </c>
      <c r="I756" s="2">
        <v>0</v>
      </c>
    </row>
    <row r="757" spans="1:9" x14ac:dyDescent="0.25">
      <c r="A757" s="4" t="s">
        <v>338</v>
      </c>
      <c r="B757" s="2" t="s">
        <v>271</v>
      </c>
      <c r="C757" s="2">
        <v>209</v>
      </c>
      <c r="D757" s="2" t="s">
        <v>863</v>
      </c>
      <c r="E757" s="2" t="s">
        <v>783</v>
      </c>
      <c r="F757" s="2" t="s">
        <v>864</v>
      </c>
      <c r="G757" s="2" t="s">
        <v>95</v>
      </c>
      <c r="H757" s="2" t="s">
        <v>97</v>
      </c>
      <c r="I757" s="2">
        <v>0</v>
      </c>
    </row>
    <row r="758" spans="1:9" x14ac:dyDescent="0.25">
      <c r="A758" s="4" t="s">
        <v>338</v>
      </c>
      <c r="B758" s="2" t="s">
        <v>271</v>
      </c>
      <c r="C758" s="2">
        <v>231</v>
      </c>
      <c r="D758" s="2" t="s">
        <v>949</v>
      </c>
      <c r="E758" s="2" t="s">
        <v>783</v>
      </c>
      <c r="F758" s="2" t="s">
        <v>864</v>
      </c>
      <c r="G758" s="2" t="s">
        <v>95</v>
      </c>
      <c r="H758" s="2" t="s">
        <v>97</v>
      </c>
      <c r="I758" s="2">
        <v>0</v>
      </c>
    </row>
    <row r="759" spans="1:9" x14ac:dyDescent="0.25">
      <c r="A759" s="4" t="s">
        <v>338</v>
      </c>
      <c r="B759" s="2" t="s">
        <v>271</v>
      </c>
      <c r="C759" s="2">
        <v>238</v>
      </c>
      <c r="D759" s="2" t="s">
        <v>978</v>
      </c>
      <c r="E759" s="2" t="s">
        <v>783</v>
      </c>
      <c r="F759" s="2" t="s">
        <v>864</v>
      </c>
      <c r="G759" s="2" t="s">
        <v>95</v>
      </c>
      <c r="H759" s="2" t="s">
        <v>97</v>
      </c>
      <c r="I759" s="2">
        <v>0</v>
      </c>
    </row>
    <row r="760" spans="1:9" x14ac:dyDescent="0.25">
      <c r="A760" s="4" t="s">
        <v>338</v>
      </c>
      <c r="B760" s="2" t="s">
        <v>271</v>
      </c>
      <c r="C760" s="2">
        <v>214</v>
      </c>
      <c r="D760" s="2" t="s">
        <v>883</v>
      </c>
      <c r="E760" s="2" t="s">
        <v>783</v>
      </c>
      <c r="F760" s="2" t="s">
        <v>884</v>
      </c>
      <c r="G760" s="2" t="s">
        <v>95</v>
      </c>
      <c r="H760" s="2" t="s">
        <v>97</v>
      </c>
      <c r="I760" s="2">
        <v>0</v>
      </c>
    </row>
    <row r="761" spans="1:9" x14ac:dyDescent="0.25">
      <c r="A761" s="4" t="s">
        <v>338</v>
      </c>
      <c r="B761" s="2" t="s">
        <v>271</v>
      </c>
      <c r="C761" s="2">
        <v>198</v>
      </c>
      <c r="D761" s="2" t="s">
        <v>819</v>
      </c>
      <c r="E761" s="2" t="s">
        <v>783</v>
      </c>
      <c r="F761" s="2" t="s">
        <v>820</v>
      </c>
      <c r="G761" s="2" t="s">
        <v>95</v>
      </c>
      <c r="H761" s="2" t="s">
        <v>97</v>
      </c>
      <c r="I761" s="2">
        <v>0</v>
      </c>
    </row>
    <row r="762" spans="1:9" x14ac:dyDescent="0.25">
      <c r="A762" s="4" t="s">
        <v>338</v>
      </c>
      <c r="B762" s="2" t="s">
        <v>271</v>
      </c>
      <c r="C762" s="2">
        <v>232</v>
      </c>
      <c r="D762" s="2" t="s">
        <v>952</v>
      </c>
      <c r="E762" s="2" t="s">
        <v>783</v>
      </c>
      <c r="F762" s="2" t="s">
        <v>820</v>
      </c>
      <c r="G762" s="2" t="s">
        <v>95</v>
      </c>
      <c r="H762" s="2" t="s">
        <v>97</v>
      </c>
      <c r="I762" s="2">
        <v>0</v>
      </c>
    </row>
    <row r="763" spans="1:9" x14ac:dyDescent="0.25">
      <c r="A763" s="4" t="s">
        <v>338</v>
      </c>
      <c r="B763" s="2" t="s">
        <v>271</v>
      </c>
      <c r="C763" s="2">
        <v>201</v>
      </c>
      <c r="D763" s="2" t="s">
        <v>831</v>
      </c>
      <c r="E763" s="2" t="s">
        <v>783</v>
      </c>
      <c r="F763" s="2" t="s">
        <v>832</v>
      </c>
      <c r="G763" s="2" t="s">
        <v>95</v>
      </c>
      <c r="H763" s="2" t="s">
        <v>97</v>
      </c>
      <c r="I763" s="2">
        <v>0</v>
      </c>
    </row>
    <row r="764" spans="1:9" x14ac:dyDescent="0.25">
      <c r="A764" s="4" t="s">
        <v>338</v>
      </c>
      <c r="B764" s="2" t="s">
        <v>271</v>
      </c>
      <c r="C764" s="2">
        <v>215</v>
      </c>
      <c r="D764" s="2" t="s">
        <v>887</v>
      </c>
      <c r="E764" s="2" t="s">
        <v>783</v>
      </c>
      <c r="F764" s="2" t="s">
        <v>888</v>
      </c>
      <c r="G764" s="2" t="s">
        <v>95</v>
      </c>
      <c r="H764" s="2" t="s">
        <v>97</v>
      </c>
      <c r="I764" s="2">
        <v>0</v>
      </c>
    </row>
    <row r="765" spans="1:9" x14ac:dyDescent="0.25">
      <c r="A765" s="4" t="s">
        <v>338</v>
      </c>
      <c r="B765" s="2" t="s">
        <v>271</v>
      </c>
      <c r="C765" s="2">
        <v>237</v>
      </c>
      <c r="D765" s="2" t="s">
        <v>973</v>
      </c>
      <c r="E765" s="2" t="s">
        <v>783</v>
      </c>
      <c r="F765" s="2" t="s">
        <v>974</v>
      </c>
      <c r="G765" s="2" t="s">
        <v>95</v>
      </c>
      <c r="H765" s="2" t="s">
        <v>97</v>
      </c>
      <c r="I765" s="2">
        <v>0</v>
      </c>
    </row>
    <row r="766" spans="1:9" x14ac:dyDescent="0.25">
      <c r="A766" s="4" t="s">
        <v>338</v>
      </c>
      <c r="B766" s="2" t="s">
        <v>271</v>
      </c>
      <c r="C766" s="2">
        <v>229</v>
      </c>
      <c r="D766" s="2" t="s">
        <v>941</v>
      </c>
      <c r="E766" s="2" t="s">
        <v>783</v>
      </c>
      <c r="F766" s="2" t="s">
        <v>942</v>
      </c>
      <c r="G766" s="2" t="s">
        <v>95</v>
      </c>
      <c r="H766" s="2" t="s">
        <v>97</v>
      </c>
      <c r="I766" s="2">
        <v>0</v>
      </c>
    </row>
    <row r="767" spans="1:9" x14ac:dyDescent="0.25">
      <c r="A767" s="4" t="s">
        <v>338</v>
      </c>
      <c r="B767" s="2" t="s">
        <v>271</v>
      </c>
      <c r="C767" s="2">
        <v>251</v>
      </c>
      <c r="D767" s="2" t="s">
        <v>1029</v>
      </c>
      <c r="E767" s="2" t="s">
        <v>783</v>
      </c>
      <c r="F767" s="2" t="s">
        <v>1030</v>
      </c>
      <c r="G767" s="2" t="s">
        <v>95</v>
      </c>
      <c r="H767" s="2" t="s">
        <v>97</v>
      </c>
      <c r="I767" s="2">
        <v>0</v>
      </c>
    </row>
    <row r="768" spans="1:9" x14ac:dyDescent="0.25">
      <c r="A768" s="4" t="s">
        <v>338</v>
      </c>
      <c r="B768" s="2" t="s">
        <v>271</v>
      </c>
      <c r="C768" s="2">
        <v>196</v>
      </c>
      <c r="D768" s="2" t="s">
        <v>809</v>
      </c>
      <c r="E768" s="2" t="s">
        <v>783</v>
      </c>
      <c r="F768" s="2" t="s">
        <v>810</v>
      </c>
      <c r="G768" s="2" t="s">
        <v>95</v>
      </c>
      <c r="H768" s="2" t="s">
        <v>97</v>
      </c>
      <c r="I768" s="2">
        <v>0</v>
      </c>
    </row>
    <row r="769" spans="1:9" x14ac:dyDescent="0.25">
      <c r="A769" s="4" t="s">
        <v>338</v>
      </c>
      <c r="B769" s="2" t="s">
        <v>271</v>
      </c>
      <c r="C769" s="2">
        <v>247</v>
      </c>
      <c r="D769" s="2" t="s">
        <v>1014</v>
      </c>
      <c r="E769" s="2" t="s">
        <v>783</v>
      </c>
      <c r="F769" s="2" t="s">
        <v>1015</v>
      </c>
      <c r="G769" s="2" t="s">
        <v>95</v>
      </c>
      <c r="H769" s="2" t="s">
        <v>97</v>
      </c>
      <c r="I769" s="2">
        <v>0</v>
      </c>
    </row>
    <row r="770" spans="1:9" x14ac:dyDescent="0.25">
      <c r="A770" s="4" t="s">
        <v>338</v>
      </c>
      <c r="B770" s="2" t="s">
        <v>96</v>
      </c>
      <c r="C770" s="2">
        <v>239</v>
      </c>
      <c r="D770" s="2" t="s">
        <v>982</v>
      </c>
      <c r="E770" s="2" t="s">
        <v>783</v>
      </c>
      <c r="F770" s="2" t="s">
        <v>983</v>
      </c>
      <c r="G770" s="2" t="s">
        <v>95</v>
      </c>
      <c r="H770" s="2" t="s">
        <v>97</v>
      </c>
      <c r="I770" s="2">
        <v>0</v>
      </c>
    </row>
    <row r="771" spans="1:9" x14ac:dyDescent="0.25">
      <c r="A771" s="4" t="s">
        <v>338</v>
      </c>
      <c r="B771" s="2" t="s">
        <v>96</v>
      </c>
      <c r="C771" s="2">
        <v>240</v>
      </c>
      <c r="D771" s="2" t="s">
        <v>986</v>
      </c>
      <c r="E771" s="2" t="s">
        <v>783</v>
      </c>
      <c r="F771" s="2" t="s">
        <v>987</v>
      </c>
      <c r="G771" s="2" t="s">
        <v>95</v>
      </c>
      <c r="H771" s="2" t="s">
        <v>97</v>
      </c>
      <c r="I771" s="2">
        <v>0</v>
      </c>
    </row>
    <row r="772" spans="1:9" x14ac:dyDescent="0.25">
      <c r="A772" s="4" t="s">
        <v>338</v>
      </c>
      <c r="B772" s="2" t="s">
        <v>96</v>
      </c>
      <c r="C772" s="2">
        <v>253</v>
      </c>
      <c r="D772" s="2" t="s">
        <v>1037</v>
      </c>
      <c r="E772" s="2" t="s">
        <v>783</v>
      </c>
      <c r="F772" s="2" t="s">
        <v>987</v>
      </c>
      <c r="G772" s="2" t="s">
        <v>95</v>
      </c>
      <c r="H772" s="2" t="s">
        <v>97</v>
      </c>
      <c r="I772" s="2">
        <v>0</v>
      </c>
    </row>
    <row r="773" spans="1:9" x14ac:dyDescent="0.25">
      <c r="A773" s="4" t="s">
        <v>338</v>
      </c>
      <c r="B773" s="2" t="s">
        <v>96</v>
      </c>
      <c r="C773" s="2">
        <v>242</v>
      </c>
      <c r="D773" s="2" t="s">
        <v>994</v>
      </c>
      <c r="E773" s="2" t="s">
        <v>783</v>
      </c>
      <c r="F773" s="2" t="s">
        <v>995</v>
      </c>
      <c r="G773" s="2" t="s">
        <v>95</v>
      </c>
      <c r="H773" s="2" t="s">
        <v>97</v>
      </c>
      <c r="I773" s="2">
        <v>0</v>
      </c>
    </row>
    <row r="774" spans="1:9" x14ac:dyDescent="0.25">
      <c r="A774" s="4" t="s">
        <v>338</v>
      </c>
      <c r="B774" s="2" t="s">
        <v>96</v>
      </c>
      <c r="C774" s="2">
        <v>205</v>
      </c>
      <c r="D774" s="2" t="s">
        <v>848</v>
      </c>
      <c r="E774" s="2" t="s">
        <v>783</v>
      </c>
      <c r="F774" s="2" t="s">
        <v>849</v>
      </c>
      <c r="G774" s="2" t="s">
        <v>95</v>
      </c>
      <c r="H774" s="2" t="s">
        <v>97</v>
      </c>
      <c r="I774" s="2">
        <v>0</v>
      </c>
    </row>
    <row r="775" spans="1:9" x14ac:dyDescent="0.25">
      <c r="A775" s="4" t="s">
        <v>338</v>
      </c>
      <c r="B775" s="2" t="s">
        <v>96</v>
      </c>
      <c r="C775" s="2">
        <v>226</v>
      </c>
      <c r="D775" s="2" t="s">
        <v>930</v>
      </c>
      <c r="E775" s="2" t="s">
        <v>783</v>
      </c>
      <c r="F775" s="2" t="s">
        <v>849</v>
      </c>
      <c r="G775" s="2" t="s">
        <v>95</v>
      </c>
      <c r="H775" s="2" t="s">
        <v>97</v>
      </c>
      <c r="I775" s="2">
        <v>0</v>
      </c>
    </row>
    <row r="776" spans="1:9" x14ac:dyDescent="0.25">
      <c r="A776" s="4" t="s">
        <v>338</v>
      </c>
      <c r="B776" s="2" t="s">
        <v>96</v>
      </c>
      <c r="C776" s="2">
        <v>244</v>
      </c>
      <c r="D776" s="2" t="s">
        <v>1002</v>
      </c>
      <c r="E776" s="2" t="s">
        <v>783</v>
      </c>
      <c r="F776" s="2" t="s">
        <v>1003</v>
      </c>
      <c r="G776" s="2" t="s">
        <v>95</v>
      </c>
      <c r="H776" s="2" t="s">
        <v>97</v>
      </c>
      <c r="I776" s="2">
        <v>0</v>
      </c>
    </row>
    <row r="777" spans="1:9" x14ac:dyDescent="0.25">
      <c r="A777" s="4" t="s">
        <v>338</v>
      </c>
      <c r="B777" s="2" t="s">
        <v>96</v>
      </c>
      <c r="C777" s="2">
        <v>206</v>
      </c>
      <c r="D777" s="2" t="s">
        <v>852</v>
      </c>
      <c r="E777" s="2" t="s">
        <v>783</v>
      </c>
      <c r="F777" s="2" t="s">
        <v>853</v>
      </c>
      <c r="G777" s="2" t="s">
        <v>95</v>
      </c>
      <c r="H777" s="2" t="s">
        <v>97</v>
      </c>
      <c r="I777" s="2">
        <v>0</v>
      </c>
    </row>
    <row r="778" spans="1:9" x14ac:dyDescent="0.25">
      <c r="A778" s="4" t="s">
        <v>338</v>
      </c>
      <c r="B778" s="2" t="s">
        <v>96</v>
      </c>
      <c r="C778" s="2">
        <v>220</v>
      </c>
      <c r="D778" s="2" t="s">
        <v>908</v>
      </c>
      <c r="E778" s="2" t="s">
        <v>783</v>
      </c>
      <c r="F778" s="2" t="s">
        <v>853</v>
      </c>
      <c r="G778" s="2" t="s">
        <v>95</v>
      </c>
      <c r="H778" s="2" t="s">
        <v>97</v>
      </c>
      <c r="I778" s="2">
        <v>0</v>
      </c>
    </row>
    <row r="779" spans="1:9" x14ac:dyDescent="0.25">
      <c r="A779" s="4" t="s">
        <v>338</v>
      </c>
      <c r="B779" s="2" t="s">
        <v>96</v>
      </c>
      <c r="C779" s="2">
        <v>235</v>
      </c>
      <c r="D779" s="2" t="s">
        <v>963</v>
      </c>
      <c r="E779" s="2" t="s">
        <v>783</v>
      </c>
      <c r="F779" s="2" t="s">
        <v>964</v>
      </c>
      <c r="G779" s="2" t="s">
        <v>95</v>
      </c>
      <c r="H779" s="2" t="s">
        <v>97</v>
      </c>
      <c r="I779" s="2">
        <v>0</v>
      </c>
    </row>
    <row r="780" spans="1:9" x14ac:dyDescent="0.25">
      <c r="A780" s="4" t="s">
        <v>338</v>
      </c>
      <c r="B780" s="2" t="s">
        <v>96</v>
      </c>
      <c r="C780" s="2">
        <v>246</v>
      </c>
      <c r="D780" s="2" t="s">
        <v>1010</v>
      </c>
      <c r="E780" s="2" t="s">
        <v>783</v>
      </c>
      <c r="F780" s="2" t="s">
        <v>964</v>
      </c>
      <c r="G780" s="2" t="s">
        <v>95</v>
      </c>
      <c r="H780" s="2" t="s">
        <v>97</v>
      </c>
      <c r="I780" s="2">
        <v>0</v>
      </c>
    </row>
    <row r="781" spans="1:9" x14ac:dyDescent="0.25">
      <c r="A781" s="4" t="s">
        <v>338</v>
      </c>
      <c r="B781" s="2" t="s">
        <v>96</v>
      </c>
      <c r="C781" s="2">
        <v>211</v>
      </c>
      <c r="D781" s="2" t="s">
        <v>870</v>
      </c>
      <c r="E781" s="2" t="s">
        <v>783</v>
      </c>
      <c r="F781" s="2" t="s">
        <v>871</v>
      </c>
      <c r="G781" s="2" t="s">
        <v>95</v>
      </c>
      <c r="H781" s="2" t="s">
        <v>97</v>
      </c>
      <c r="I781" s="2">
        <v>0</v>
      </c>
    </row>
    <row r="782" spans="1:9" x14ac:dyDescent="0.25">
      <c r="A782" s="4" t="s">
        <v>338</v>
      </c>
      <c r="B782" s="2" t="s">
        <v>96</v>
      </c>
      <c r="C782" s="2">
        <v>200</v>
      </c>
      <c r="D782" s="2" t="s">
        <v>827</v>
      </c>
      <c r="E782" s="2" t="s">
        <v>783</v>
      </c>
      <c r="F782" s="2" t="s">
        <v>828</v>
      </c>
      <c r="G782" s="2" t="s">
        <v>95</v>
      </c>
      <c r="H782" s="2" t="s">
        <v>97</v>
      </c>
      <c r="I782" s="2">
        <v>0</v>
      </c>
    </row>
    <row r="783" spans="1:9" x14ac:dyDescent="0.25">
      <c r="A783" s="4" t="s">
        <v>338</v>
      </c>
      <c r="B783" s="2" t="s">
        <v>96</v>
      </c>
      <c r="C783" s="2">
        <v>204</v>
      </c>
      <c r="D783" s="2" t="s">
        <v>844</v>
      </c>
      <c r="E783" s="2" t="s">
        <v>783</v>
      </c>
      <c r="F783" s="2" t="s">
        <v>828</v>
      </c>
      <c r="G783" s="2" t="s">
        <v>95</v>
      </c>
      <c r="H783" s="2" t="s">
        <v>97</v>
      </c>
      <c r="I783" s="2">
        <v>0</v>
      </c>
    </row>
    <row r="784" spans="1:9" x14ac:dyDescent="0.25">
      <c r="A784" s="4" t="s">
        <v>338</v>
      </c>
      <c r="B784" s="2" t="s">
        <v>96</v>
      </c>
      <c r="C784" s="2">
        <v>207</v>
      </c>
      <c r="D784" s="2" t="s">
        <v>856</v>
      </c>
      <c r="E784" s="2" t="s">
        <v>783</v>
      </c>
      <c r="F784" s="2" t="s">
        <v>828</v>
      </c>
      <c r="G784" s="2" t="s">
        <v>95</v>
      </c>
      <c r="H784" s="2" t="s">
        <v>97</v>
      </c>
      <c r="I784" s="2">
        <v>0</v>
      </c>
    </row>
    <row r="785" spans="1:9" x14ac:dyDescent="0.25">
      <c r="A785" s="4" t="s">
        <v>338</v>
      </c>
      <c r="B785" s="2" t="s">
        <v>96</v>
      </c>
      <c r="C785" s="2">
        <v>213</v>
      </c>
      <c r="D785" s="2" t="s">
        <v>879</v>
      </c>
      <c r="E785" s="2" t="s">
        <v>783</v>
      </c>
      <c r="F785" s="2" t="s">
        <v>828</v>
      </c>
      <c r="G785" s="2" t="s">
        <v>95</v>
      </c>
      <c r="H785" s="2" t="s">
        <v>97</v>
      </c>
      <c r="I785" s="2">
        <v>0</v>
      </c>
    </row>
    <row r="786" spans="1:9" x14ac:dyDescent="0.25">
      <c r="A786" s="4" t="s">
        <v>338</v>
      </c>
      <c r="B786" s="2" t="s">
        <v>96</v>
      </c>
      <c r="C786" s="2">
        <v>217</v>
      </c>
      <c r="D786" s="2" t="s">
        <v>895</v>
      </c>
      <c r="E786" s="2" t="s">
        <v>783</v>
      </c>
      <c r="F786" s="2" t="s">
        <v>896</v>
      </c>
      <c r="G786" s="2" t="s">
        <v>95</v>
      </c>
      <c r="H786" s="2" t="s">
        <v>97</v>
      </c>
      <c r="I786" s="2">
        <v>0</v>
      </c>
    </row>
    <row r="787" spans="1:9" x14ac:dyDescent="0.25">
      <c r="A787" s="4" t="s">
        <v>338</v>
      </c>
      <c r="B787" s="2" t="s">
        <v>96</v>
      </c>
      <c r="C787" s="2">
        <v>223</v>
      </c>
      <c r="D787" s="2" t="s">
        <v>918</v>
      </c>
      <c r="E787" s="2" t="s">
        <v>783</v>
      </c>
      <c r="F787" s="2" t="s">
        <v>919</v>
      </c>
      <c r="G787" s="2" t="s">
        <v>95</v>
      </c>
      <c r="H787" s="2" t="s">
        <v>97</v>
      </c>
      <c r="I787" s="2">
        <v>0</v>
      </c>
    </row>
    <row r="788" spans="1:9" x14ac:dyDescent="0.25">
      <c r="A788" s="4" t="s">
        <v>338</v>
      </c>
      <c r="B788" s="2" t="s">
        <v>96</v>
      </c>
      <c r="C788" s="2">
        <v>192</v>
      </c>
      <c r="D788" s="2" t="s">
        <v>792</v>
      </c>
      <c r="E788" s="2" t="s">
        <v>783</v>
      </c>
      <c r="F788" s="2" t="s">
        <v>793</v>
      </c>
      <c r="G788" s="2" t="s">
        <v>95</v>
      </c>
      <c r="H788" s="2" t="s">
        <v>97</v>
      </c>
      <c r="I788" s="2">
        <v>0</v>
      </c>
    </row>
    <row r="789" spans="1:9" x14ac:dyDescent="0.25">
      <c r="A789" s="4" t="s">
        <v>338</v>
      </c>
      <c r="B789" s="2" t="s">
        <v>96</v>
      </c>
      <c r="C789" s="2">
        <v>234</v>
      </c>
      <c r="D789" s="2" t="s">
        <v>959</v>
      </c>
      <c r="E789" s="2" t="s">
        <v>783</v>
      </c>
      <c r="F789" s="2" t="s">
        <v>793</v>
      </c>
      <c r="G789" s="2" t="s">
        <v>95</v>
      </c>
      <c r="H789" s="2" t="s">
        <v>97</v>
      </c>
      <c r="I789" s="2">
        <v>0</v>
      </c>
    </row>
    <row r="790" spans="1:9" x14ac:dyDescent="0.25">
      <c r="A790" s="4" t="s">
        <v>338</v>
      </c>
      <c r="B790" s="2" t="s">
        <v>96</v>
      </c>
      <c r="C790" s="2">
        <v>243</v>
      </c>
      <c r="D790" s="2" t="s">
        <v>998</v>
      </c>
      <c r="E790" s="2" t="s">
        <v>783</v>
      </c>
      <c r="F790" s="2" t="s">
        <v>793</v>
      </c>
      <c r="G790" s="2" t="s">
        <v>95</v>
      </c>
      <c r="H790" s="2" t="s">
        <v>97</v>
      </c>
      <c r="I790" s="2">
        <v>0</v>
      </c>
    </row>
    <row r="791" spans="1:9" x14ac:dyDescent="0.25">
      <c r="A791" s="4" t="s">
        <v>338</v>
      </c>
      <c r="B791" s="2" t="s">
        <v>96</v>
      </c>
      <c r="C791" s="2">
        <v>249</v>
      </c>
      <c r="D791" s="2" t="s">
        <v>1021</v>
      </c>
      <c r="E791" s="2" t="s">
        <v>783</v>
      </c>
      <c r="F791" s="2" t="s">
        <v>1022</v>
      </c>
      <c r="G791" s="2" t="s">
        <v>95</v>
      </c>
      <c r="H791" s="2" t="s">
        <v>97</v>
      </c>
      <c r="I791" s="2">
        <v>0</v>
      </c>
    </row>
    <row r="792" spans="1:9" x14ac:dyDescent="0.25">
      <c r="A792" s="4" t="s">
        <v>338</v>
      </c>
      <c r="B792" s="2" t="s">
        <v>96</v>
      </c>
      <c r="C792" s="2">
        <v>195</v>
      </c>
      <c r="D792" s="2" t="s">
        <v>805</v>
      </c>
      <c r="E792" s="2" t="s">
        <v>783</v>
      </c>
      <c r="F792" s="2" t="s">
        <v>806</v>
      </c>
      <c r="G792" s="2" t="s">
        <v>95</v>
      </c>
      <c r="H792" s="2" t="s">
        <v>97</v>
      </c>
      <c r="I792" s="2">
        <v>0</v>
      </c>
    </row>
    <row r="793" spans="1:9" x14ac:dyDescent="0.25">
      <c r="A793" s="4" t="s">
        <v>338</v>
      </c>
      <c r="B793" s="2" t="s">
        <v>96</v>
      </c>
      <c r="C793" s="2">
        <v>222</v>
      </c>
      <c r="D793" s="2" t="s">
        <v>914</v>
      </c>
      <c r="E793" s="2" t="s">
        <v>783</v>
      </c>
      <c r="F793" s="2" t="s">
        <v>915</v>
      </c>
      <c r="G793" s="2" t="s">
        <v>95</v>
      </c>
      <c r="H793" s="2" t="s">
        <v>97</v>
      </c>
      <c r="I793" s="2">
        <v>0</v>
      </c>
    </row>
    <row r="794" spans="1:9" x14ac:dyDescent="0.25">
      <c r="A794" s="4" t="s">
        <v>338</v>
      </c>
      <c r="B794" s="2" t="s">
        <v>96</v>
      </c>
      <c r="C794" s="2">
        <v>208</v>
      </c>
      <c r="D794" s="2" t="s">
        <v>859</v>
      </c>
      <c r="E794" s="2" t="s">
        <v>783</v>
      </c>
      <c r="F794" s="2" t="s">
        <v>860</v>
      </c>
      <c r="G794" s="2" t="s">
        <v>95</v>
      </c>
      <c r="H794" s="2" t="s">
        <v>97</v>
      </c>
      <c r="I794" s="2">
        <v>0</v>
      </c>
    </row>
    <row r="795" spans="1:9" x14ac:dyDescent="0.25">
      <c r="A795" s="4" t="s">
        <v>338</v>
      </c>
      <c r="B795" s="2" t="s">
        <v>96</v>
      </c>
      <c r="C795" s="2">
        <v>219</v>
      </c>
      <c r="D795" s="2" t="s">
        <v>904</v>
      </c>
      <c r="E795" s="2" t="s">
        <v>783</v>
      </c>
      <c r="F795" s="2" t="s">
        <v>905</v>
      </c>
      <c r="G795" s="2" t="s">
        <v>95</v>
      </c>
      <c r="H795" s="2" t="s">
        <v>97</v>
      </c>
      <c r="I795" s="2">
        <v>0</v>
      </c>
    </row>
    <row r="796" spans="1:9" x14ac:dyDescent="0.25">
      <c r="A796" s="4" t="s">
        <v>338</v>
      </c>
      <c r="B796" s="2" t="s">
        <v>96</v>
      </c>
      <c r="C796" s="2">
        <v>258</v>
      </c>
      <c r="D796" s="2" t="s">
        <v>1056</v>
      </c>
      <c r="E796" s="2" t="s">
        <v>1044</v>
      </c>
      <c r="F796" s="2" t="s">
        <v>1057</v>
      </c>
      <c r="G796" s="2" t="s">
        <v>95</v>
      </c>
      <c r="H796" s="2" t="s">
        <v>97</v>
      </c>
      <c r="I796" s="2">
        <v>933</v>
      </c>
    </row>
    <row r="797" spans="1:9" x14ac:dyDescent="0.25">
      <c r="A797" s="4" t="s">
        <v>338</v>
      </c>
      <c r="B797" s="2" t="s">
        <v>96</v>
      </c>
      <c r="C797" s="2">
        <v>260</v>
      </c>
      <c r="D797" s="2" t="s">
        <v>1064</v>
      </c>
      <c r="E797" s="2" t="s">
        <v>1044</v>
      </c>
      <c r="F797" s="2" t="s">
        <v>1065</v>
      </c>
      <c r="G797" s="2" t="s">
        <v>95</v>
      </c>
      <c r="H797" s="2" t="s">
        <v>97</v>
      </c>
      <c r="I797" s="2">
        <v>933</v>
      </c>
    </row>
    <row r="798" spans="1:9" x14ac:dyDescent="0.25">
      <c r="A798" s="4" t="s">
        <v>338</v>
      </c>
      <c r="B798" s="2" t="s">
        <v>96</v>
      </c>
      <c r="C798" s="2">
        <v>259</v>
      </c>
      <c r="D798" s="2" t="s">
        <v>1060</v>
      </c>
      <c r="E798" s="2" t="s">
        <v>1044</v>
      </c>
      <c r="F798" s="2" t="s">
        <v>1061</v>
      </c>
      <c r="G798" s="2" t="s">
        <v>95</v>
      </c>
      <c r="H798" s="2" t="s">
        <v>97</v>
      </c>
      <c r="I798" s="2">
        <v>933</v>
      </c>
    </row>
    <row r="799" spans="1:9" x14ac:dyDescent="0.25">
      <c r="A799" s="4" t="s">
        <v>338</v>
      </c>
      <c r="B799" s="2" t="s">
        <v>96</v>
      </c>
      <c r="C799" s="2">
        <v>255</v>
      </c>
      <c r="D799" s="2" t="s">
        <v>1043</v>
      </c>
      <c r="E799" s="2" t="s">
        <v>1044</v>
      </c>
      <c r="F799" s="2" t="s">
        <v>1045</v>
      </c>
      <c r="G799" s="2" t="s">
        <v>95</v>
      </c>
      <c r="H799" s="2" t="s">
        <v>97</v>
      </c>
      <c r="I799" s="2">
        <v>933</v>
      </c>
    </row>
    <row r="800" spans="1:9" x14ac:dyDescent="0.25">
      <c r="A800" s="4" t="s">
        <v>338</v>
      </c>
      <c r="B800" s="2" t="s">
        <v>96</v>
      </c>
      <c r="C800" s="2">
        <v>256</v>
      </c>
      <c r="D800" s="2" t="s">
        <v>1049</v>
      </c>
      <c r="E800" s="2" t="s">
        <v>1044</v>
      </c>
      <c r="F800" s="2" t="s">
        <v>1045</v>
      </c>
      <c r="G800" s="2" t="s">
        <v>95</v>
      </c>
      <c r="H800" s="2" t="s">
        <v>97</v>
      </c>
      <c r="I800" s="2">
        <v>933</v>
      </c>
    </row>
    <row r="801" spans="1:9" x14ac:dyDescent="0.25">
      <c r="A801" s="4" t="s">
        <v>338</v>
      </c>
      <c r="B801" s="2" t="s">
        <v>96</v>
      </c>
      <c r="C801" s="2">
        <v>257</v>
      </c>
      <c r="D801" s="2" t="s">
        <v>1053</v>
      </c>
      <c r="E801" s="2" t="s">
        <v>1044</v>
      </c>
      <c r="F801" s="2" t="s">
        <v>1045</v>
      </c>
      <c r="G801" s="2" t="s">
        <v>95</v>
      </c>
      <c r="H801" s="2" t="s">
        <v>97</v>
      </c>
      <c r="I801" s="2">
        <v>933</v>
      </c>
    </row>
    <row r="802" spans="1:9" x14ac:dyDescent="0.25">
      <c r="A802" s="4" t="s">
        <v>338</v>
      </c>
      <c r="B802" s="2" t="s">
        <v>96</v>
      </c>
      <c r="C802" s="2">
        <v>261</v>
      </c>
      <c r="D802" s="2" t="s">
        <v>1068</v>
      </c>
      <c r="E802" s="2" t="s">
        <v>1044</v>
      </c>
      <c r="F802" s="2" t="s">
        <v>1045</v>
      </c>
      <c r="G802" s="2" t="s">
        <v>95</v>
      </c>
      <c r="H802" s="2" t="s">
        <v>97</v>
      </c>
      <c r="I802" s="2">
        <v>933</v>
      </c>
    </row>
    <row r="803" spans="1:9" x14ac:dyDescent="0.25">
      <c r="A803" s="4" t="s">
        <v>338</v>
      </c>
      <c r="B803" s="2" t="s">
        <v>96</v>
      </c>
      <c r="C803" s="2">
        <v>268</v>
      </c>
      <c r="D803" s="2" t="s">
        <v>1095</v>
      </c>
      <c r="E803" s="2" t="s">
        <v>1071</v>
      </c>
      <c r="F803" s="2" t="s">
        <v>1096</v>
      </c>
      <c r="G803" s="2" t="s">
        <v>95</v>
      </c>
      <c r="H803" s="2" t="s">
        <v>97</v>
      </c>
      <c r="I803" s="2">
        <v>253</v>
      </c>
    </row>
    <row r="804" spans="1:9" x14ac:dyDescent="0.25">
      <c r="A804" s="4" t="s">
        <v>338</v>
      </c>
      <c r="B804" s="2" t="s">
        <v>96</v>
      </c>
      <c r="C804" s="2">
        <v>280</v>
      </c>
      <c r="D804" s="2" t="s">
        <v>1138</v>
      </c>
      <c r="E804" s="2" t="s">
        <v>1071</v>
      </c>
      <c r="F804" s="2" t="s">
        <v>1139</v>
      </c>
      <c r="G804" s="2" t="s">
        <v>95</v>
      </c>
      <c r="H804" s="2" t="s">
        <v>97</v>
      </c>
      <c r="I804" s="2">
        <v>253</v>
      </c>
    </row>
    <row r="805" spans="1:9" x14ac:dyDescent="0.25">
      <c r="A805" s="4" t="s">
        <v>338</v>
      </c>
      <c r="B805" s="2" t="s">
        <v>96</v>
      </c>
      <c r="C805" s="2">
        <v>266</v>
      </c>
      <c r="D805" s="2" t="s">
        <v>1086</v>
      </c>
      <c r="E805" s="2" t="s">
        <v>1071</v>
      </c>
      <c r="F805" s="2" t="s">
        <v>1087</v>
      </c>
      <c r="G805" s="2" t="s">
        <v>95</v>
      </c>
      <c r="H805" s="2" t="s">
        <v>97</v>
      </c>
      <c r="I805" s="2">
        <v>253</v>
      </c>
    </row>
    <row r="806" spans="1:9" x14ac:dyDescent="0.25">
      <c r="A806" s="4" t="s">
        <v>338</v>
      </c>
      <c r="B806" s="2" t="s">
        <v>96</v>
      </c>
      <c r="C806" s="2">
        <v>262</v>
      </c>
      <c r="D806" s="2" t="s">
        <v>1070</v>
      </c>
      <c r="E806" s="2" t="s">
        <v>1071</v>
      </c>
      <c r="F806" s="2" t="s">
        <v>1072</v>
      </c>
      <c r="G806" s="2" t="s">
        <v>95</v>
      </c>
      <c r="H806" s="2" t="s">
        <v>97</v>
      </c>
      <c r="I806" s="2">
        <v>253</v>
      </c>
    </row>
    <row r="807" spans="1:9" x14ac:dyDescent="0.25">
      <c r="A807" s="4" t="s">
        <v>338</v>
      </c>
      <c r="B807" s="2" t="s">
        <v>96</v>
      </c>
      <c r="C807" s="2">
        <v>263</v>
      </c>
      <c r="D807" s="2" t="s">
        <v>1075</v>
      </c>
      <c r="E807" s="2" t="s">
        <v>1071</v>
      </c>
      <c r="F807" s="2" t="s">
        <v>1072</v>
      </c>
      <c r="G807" s="2" t="s">
        <v>95</v>
      </c>
      <c r="H807" s="2" t="s">
        <v>97</v>
      </c>
      <c r="I807" s="2">
        <v>253</v>
      </c>
    </row>
    <row r="808" spans="1:9" x14ac:dyDescent="0.25">
      <c r="A808" s="4" t="s">
        <v>338</v>
      </c>
      <c r="B808" s="2" t="s">
        <v>96</v>
      </c>
      <c r="C808" s="2">
        <v>274</v>
      </c>
      <c r="D808" s="2" t="s">
        <v>1117</v>
      </c>
      <c r="E808" s="2" t="s">
        <v>1071</v>
      </c>
      <c r="F808" s="2" t="s">
        <v>1072</v>
      </c>
      <c r="G808" s="2" t="s">
        <v>95</v>
      </c>
      <c r="H808" s="2" t="s">
        <v>97</v>
      </c>
      <c r="I808" s="2">
        <v>253</v>
      </c>
    </row>
    <row r="809" spans="1:9" x14ac:dyDescent="0.25">
      <c r="A809" s="4" t="s">
        <v>338</v>
      </c>
      <c r="B809" s="2" t="s">
        <v>96</v>
      </c>
      <c r="C809" s="2">
        <v>276</v>
      </c>
      <c r="D809" s="2" t="s">
        <v>1126</v>
      </c>
      <c r="E809" s="2" t="s">
        <v>1071</v>
      </c>
      <c r="F809" s="2" t="s">
        <v>1072</v>
      </c>
      <c r="G809" s="2" t="s">
        <v>95</v>
      </c>
      <c r="H809" s="2" t="s">
        <v>97</v>
      </c>
      <c r="I809" s="2">
        <v>253</v>
      </c>
    </row>
    <row r="810" spans="1:9" x14ac:dyDescent="0.25">
      <c r="A810" s="4" t="s">
        <v>338</v>
      </c>
      <c r="B810" s="2" t="s">
        <v>96</v>
      </c>
      <c r="C810" s="2">
        <v>267</v>
      </c>
      <c r="D810" s="2" t="s">
        <v>1090</v>
      </c>
      <c r="E810" s="2" t="s">
        <v>1071</v>
      </c>
      <c r="F810" s="2" t="s">
        <v>1091</v>
      </c>
      <c r="G810" s="2" t="s">
        <v>95</v>
      </c>
      <c r="H810" s="2" t="s">
        <v>97</v>
      </c>
      <c r="I810" s="2">
        <v>253</v>
      </c>
    </row>
    <row r="811" spans="1:9" x14ac:dyDescent="0.25">
      <c r="A811" s="4" t="s">
        <v>338</v>
      </c>
      <c r="B811" s="2" t="s">
        <v>96</v>
      </c>
      <c r="C811" s="2">
        <v>269</v>
      </c>
      <c r="D811" s="2" t="s">
        <v>1099</v>
      </c>
      <c r="E811" s="2" t="s">
        <v>1071</v>
      </c>
      <c r="F811" s="2" t="s">
        <v>1091</v>
      </c>
      <c r="G811" s="2" t="s">
        <v>95</v>
      </c>
      <c r="H811" s="2" t="s">
        <v>97</v>
      </c>
      <c r="I811" s="2">
        <v>253</v>
      </c>
    </row>
    <row r="812" spans="1:9" x14ac:dyDescent="0.25">
      <c r="A812" s="4" t="s">
        <v>338</v>
      </c>
      <c r="B812" s="2" t="s">
        <v>96</v>
      </c>
      <c r="C812" s="2">
        <v>271</v>
      </c>
      <c r="D812" s="2" t="s">
        <v>1107</v>
      </c>
      <c r="E812" s="2" t="s">
        <v>1071</v>
      </c>
      <c r="F812" s="2" t="s">
        <v>1091</v>
      </c>
      <c r="G812" s="2" t="s">
        <v>95</v>
      </c>
      <c r="H812" s="2" t="s">
        <v>97</v>
      </c>
      <c r="I812" s="2">
        <v>253</v>
      </c>
    </row>
    <row r="813" spans="1:9" x14ac:dyDescent="0.25">
      <c r="A813" s="4" t="s">
        <v>338</v>
      </c>
      <c r="B813" s="2" t="s">
        <v>96</v>
      </c>
      <c r="C813" s="2">
        <v>273</v>
      </c>
      <c r="D813" s="2" t="s">
        <v>1114</v>
      </c>
      <c r="E813" s="2" t="s">
        <v>1071</v>
      </c>
      <c r="F813" s="2" t="s">
        <v>1091</v>
      </c>
      <c r="G813" s="2" t="s">
        <v>95</v>
      </c>
      <c r="H813" s="2" t="s">
        <v>97</v>
      </c>
      <c r="I813" s="2">
        <v>253</v>
      </c>
    </row>
    <row r="814" spans="1:9" x14ac:dyDescent="0.25">
      <c r="A814" s="4" t="s">
        <v>338</v>
      </c>
      <c r="B814" s="2" t="s">
        <v>96</v>
      </c>
      <c r="C814" s="2">
        <v>275</v>
      </c>
      <c r="D814" s="2" t="s">
        <v>1121</v>
      </c>
      <c r="E814" s="2" t="s">
        <v>1071</v>
      </c>
      <c r="F814" s="2" t="s">
        <v>1122</v>
      </c>
      <c r="G814" s="2" t="s">
        <v>95</v>
      </c>
      <c r="H814" s="2" t="s">
        <v>97</v>
      </c>
      <c r="I814" s="2">
        <v>253</v>
      </c>
    </row>
    <row r="815" spans="1:9" x14ac:dyDescent="0.25">
      <c r="A815" s="4" t="s">
        <v>338</v>
      </c>
      <c r="B815" s="2" t="s">
        <v>96</v>
      </c>
      <c r="C815" s="2">
        <v>264</v>
      </c>
      <c r="D815" s="2" t="s">
        <v>1078</v>
      </c>
      <c r="E815" s="2" t="s">
        <v>1071</v>
      </c>
      <c r="F815" s="2" t="s">
        <v>1079</v>
      </c>
      <c r="G815" s="2" t="s">
        <v>95</v>
      </c>
      <c r="H815" s="2" t="s">
        <v>97</v>
      </c>
      <c r="I815" s="2">
        <v>253</v>
      </c>
    </row>
    <row r="816" spans="1:9" x14ac:dyDescent="0.25">
      <c r="A816" s="4" t="s">
        <v>338</v>
      </c>
      <c r="B816" s="2" t="s">
        <v>96</v>
      </c>
      <c r="C816" s="2">
        <v>278</v>
      </c>
      <c r="D816" s="2" t="s">
        <v>1134</v>
      </c>
      <c r="E816" s="2" t="s">
        <v>1071</v>
      </c>
      <c r="F816" s="2" t="s">
        <v>1079</v>
      </c>
      <c r="G816" s="2" t="s">
        <v>95</v>
      </c>
      <c r="H816" s="2" t="s">
        <v>97</v>
      </c>
      <c r="I816" s="2">
        <v>253</v>
      </c>
    </row>
    <row r="817" spans="1:9" x14ac:dyDescent="0.25">
      <c r="A817" s="4" t="s">
        <v>338</v>
      </c>
      <c r="B817" s="2" t="s">
        <v>96</v>
      </c>
      <c r="C817" s="2">
        <v>279</v>
      </c>
      <c r="D817" s="2" t="s">
        <v>1136</v>
      </c>
      <c r="E817" s="2" t="s">
        <v>1071</v>
      </c>
      <c r="F817" s="2" t="s">
        <v>1079</v>
      </c>
      <c r="G817" s="2" t="s">
        <v>95</v>
      </c>
      <c r="H817" s="2" t="s">
        <v>97</v>
      </c>
      <c r="I817" s="2">
        <v>253</v>
      </c>
    </row>
    <row r="818" spans="1:9" x14ac:dyDescent="0.25">
      <c r="A818" s="4" t="s">
        <v>338</v>
      </c>
      <c r="B818" s="2" t="s">
        <v>96</v>
      </c>
      <c r="C818" s="2">
        <v>270</v>
      </c>
      <c r="D818" s="2" t="s">
        <v>1103</v>
      </c>
      <c r="E818" s="2" t="s">
        <v>1071</v>
      </c>
      <c r="F818" s="2" t="s">
        <v>1104</v>
      </c>
      <c r="G818" s="2" t="s">
        <v>95</v>
      </c>
      <c r="H818" s="2" t="s">
        <v>97</v>
      </c>
      <c r="I818" s="2">
        <v>253</v>
      </c>
    </row>
    <row r="819" spans="1:9" x14ac:dyDescent="0.25">
      <c r="A819" s="4" t="s">
        <v>338</v>
      </c>
      <c r="B819" s="2" t="s">
        <v>96</v>
      </c>
      <c r="C819" s="2">
        <v>277</v>
      </c>
      <c r="D819" s="2" t="s">
        <v>1130</v>
      </c>
      <c r="E819" s="2" t="s">
        <v>1071</v>
      </c>
      <c r="F819" s="2" t="s">
        <v>1131</v>
      </c>
      <c r="G819" s="2" t="s">
        <v>95</v>
      </c>
      <c r="H819" s="2" t="s">
        <v>97</v>
      </c>
      <c r="I819" s="2">
        <v>253</v>
      </c>
    </row>
    <row r="820" spans="1:9" x14ac:dyDescent="0.25">
      <c r="A820" s="4" t="s">
        <v>338</v>
      </c>
      <c r="B820" s="2" t="s">
        <v>96</v>
      </c>
      <c r="C820" s="2">
        <v>265</v>
      </c>
      <c r="D820" s="2" t="s">
        <v>1082</v>
      </c>
      <c r="E820" s="2" t="s">
        <v>1071</v>
      </c>
      <c r="F820" s="2" t="s">
        <v>1083</v>
      </c>
      <c r="G820" s="2" t="s">
        <v>95</v>
      </c>
      <c r="H820" s="2" t="s">
        <v>97</v>
      </c>
      <c r="I820" s="2">
        <v>253</v>
      </c>
    </row>
    <row r="821" spans="1:9" x14ac:dyDescent="0.25">
      <c r="A821" s="4" t="s">
        <v>338</v>
      </c>
      <c r="B821" s="2" t="s">
        <v>96</v>
      </c>
      <c r="C821" s="2">
        <v>272</v>
      </c>
      <c r="D821" s="2" t="s">
        <v>1110</v>
      </c>
      <c r="E821" s="2" t="s">
        <v>1071</v>
      </c>
      <c r="F821" s="2" t="s">
        <v>1111</v>
      </c>
      <c r="G821" s="2" t="s">
        <v>95</v>
      </c>
      <c r="H821" s="2" t="s">
        <v>97</v>
      </c>
      <c r="I821" s="2">
        <v>253</v>
      </c>
    </row>
    <row r="822" spans="1:9" x14ac:dyDescent="0.25">
      <c r="A822" s="4" t="s">
        <v>338</v>
      </c>
      <c r="B822" s="2" t="s">
        <v>96</v>
      </c>
      <c r="C822" s="2">
        <v>405</v>
      </c>
      <c r="D822" s="2" t="s">
        <v>1619</v>
      </c>
      <c r="E822" s="2" t="s">
        <v>1601</v>
      </c>
      <c r="F822" s="2" t="s">
        <v>1620</v>
      </c>
      <c r="G822" s="2" t="s">
        <v>95</v>
      </c>
      <c r="H822" s="2" t="s">
        <v>97</v>
      </c>
      <c r="I822" s="2">
        <v>3190</v>
      </c>
    </row>
    <row r="823" spans="1:9" x14ac:dyDescent="0.25">
      <c r="A823" s="4" t="s">
        <v>338</v>
      </c>
      <c r="B823" s="2" t="s">
        <v>96</v>
      </c>
      <c r="C823" s="2">
        <v>404</v>
      </c>
      <c r="D823" s="2" t="s">
        <v>1615</v>
      </c>
      <c r="E823" s="2" t="s">
        <v>1601</v>
      </c>
      <c r="F823" s="2" t="s">
        <v>1616</v>
      </c>
      <c r="G823" s="2" t="s">
        <v>95</v>
      </c>
      <c r="H823" s="2" t="s">
        <v>97</v>
      </c>
      <c r="I823" s="2">
        <v>3190</v>
      </c>
    </row>
    <row r="824" spans="1:9" x14ac:dyDescent="0.25">
      <c r="A824" s="4" t="s">
        <v>338</v>
      </c>
      <c r="B824" s="2" t="s">
        <v>96</v>
      </c>
      <c r="C824" s="2">
        <v>402</v>
      </c>
      <c r="D824" s="2" t="s">
        <v>1606</v>
      </c>
      <c r="E824" s="2" t="s">
        <v>1601</v>
      </c>
      <c r="F824" s="2" t="s">
        <v>1607</v>
      </c>
      <c r="G824" s="2" t="s">
        <v>95</v>
      </c>
      <c r="H824" s="2" t="s">
        <v>97</v>
      </c>
      <c r="I824" s="2">
        <v>3190</v>
      </c>
    </row>
    <row r="825" spans="1:9" x14ac:dyDescent="0.25">
      <c r="A825" s="4" t="s">
        <v>338</v>
      </c>
      <c r="B825" s="2" t="s">
        <v>96</v>
      </c>
      <c r="C825" s="2">
        <v>406</v>
      </c>
      <c r="D825" s="2" t="s">
        <v>1624</v>
      </c>
      <c r="E825" s="2" t="s">
        <v>1601</v>
      </c>
      <c r="F825" s="2" t="s">
        <v>1607</v>
      </c>
      <c r="G825" s="2" t="s">
        <v>95</v>
      </c>
      <c r="H825" s="2" t="s">
        <v>97</v>
      </c>
      <c r="I825" s="2">
        <v>3190</v>
      </c>
    </row>
    <row r="826" spans="1:9" x14ac:dyDescent="0.25">
      <c r="A826" s="4" t="s">
        <v>338</v>
      </c>
      <c r="B826" s="2" t="s">
        <v>96</v>
      </c>
      <c r="C826" s="2">
        <v>410</v>
      </c>
      <c r="D826" s="2" t="s">
        <v>1637</v>
      </c>
      <c r="E826" s="2" t="s">
        <v>1601</v>
      </c>
      <c r="F826" s="2" t="s">
        <v>1607</v>
      </c>
      <c r="G826" s="2" t="s">
        <v>95</v>
      </c>
      <c r="H826" s="2" t="s">
        <v>97</v>
      </c>
      <c r="I826" s="2">
        <v>3190</v>
      </c>
    </row>
    <row r="827" spans="1:9" x14ac:dyDescent="0.25">
      <c r="A827" s="4" t="s">
        <v>338</v>
      </c>
      <c r="B827" s="2" t="s">
        <v>96</v>
      </c>
      <c r="C827" s="2">
        <v>409</v>
      </c>
      <c r="D827" s="2" t="s">
        <v>1633</v>
      </c>
      <c r="E827" s="2" t="s">
        <v>1601</v>
      </c>
      <c r="F827" s="2" t="s">
        <v>1634</v>
      </c>
      <c r="G827" s="2" t="s">
        <v>95</v>
      </c>
      <c r="H827" s="2" t="s">
        <v>97</v>
      </c>
      <c r="I827" s="2">
        <v>3190</v>
      </c>
    </row>
    <row r="828" spans="1:9" x14ac:dyDescent="0.25">
      <c r="A828" s="4" t="s">
        <v>338</v>
      </c>
      <c r="B828" s="2" t="s">
        <v>96</v>
      </c>
      <c r="C828" s="2">
        <v>403</v>
      </c>
      <c r="D828" s="2" t="s">
        <v>1610</v>
      </c>
      <c r="E828" s="2" t="s">
        <v>1601</v>
      </c>
      <c r="F828" s="2" t="s">
        <v>1611</v>
      </c>
      <c r="G828" s="2" t="s">
        <v>95</v>
      </c>
      <c r="H828" s="2" t="s">
        <v>97</v>
      </c>
      <c r="I828" s="2">
        <v>3190</v>
      </c>
    </row>
    <row r="829" spans="1:9" x14ac:dyDescent="0.25">
      <c r="A829" s="4" t="s">
        <v>338</v>
      </c>
      <c r="B829" s="2" t="s">
        <v>96</v>
      </c>
      <c r="C829" s="2">
        <v>407</v>
      </c>
      <c r="D829" s="2" t="s">
        <v>1627</v>
      </c>
      <c r="E829" s="2" t="s">
        <v>1601</v>
      </c>
      <c r="F829" s="2" t="s">
        <v>1611</v>
      </c>
      <c r="G829" s="2" t="s">
        <v>95</v>
      </c>
      <c r="H829" s="2" t="s">
        <v>97</v>
      </c>
      <c r="I829" s="2">
        <v>3190</v>
      </c>
    </row>
    <row r="830" spans="1:9" x14ac:dyDescent="0.25">
      <c r="A830" s="4" t="s">
        <v>338</v>
      </c>
      <c r="B830" s="2" t="s">
        <v>96</v>
      </c>
      <c r="C830" s="2">
        <v>408</v>
      </c>
      <c r="D830" s="2" t="s">
        <v>1630</v>
      </c>
      <c r="E830" s="2" t="s">
        <v>1601</v>
      </c>
      <c r="F830" s="2" t="s">
        <v>1611</v>
      </c>
      <c r="G830" s="2" t="s">
        <v>95</v>
      </c>
      <c r="H830" s="2" t="s">
        <v>97</v>
      </c>
      <c r="I830" s="2">
        <v>3190</v>
      </c>
    </row>
    <row r="831" spans="1:9" x14ac:dyDescent="0.25">
      <c r="A831" s="4" t="s">
        <v>338</v>
      </c>
      <c r="B831" s="2" t="s">
        <v>96</v>
      </c>
      <c r="C831" s="2">
        <v>401</v>
      </c>
      <c r="D831" s="2" t="s">
        <v>1600</v>
      </c>
      <c r="E831" s="2" t="s">
        <v>1601</v>
      </c>
      <c r="F831" s="2" t="s">
        <v>1602</v>
      </c>
      <c r="G831" s="2" t="s">
        <v>95</v>
      </c>
      <c r="H831" s="2" t="s">
        <v>97</v>
      </c>
      <c r="I831" s="2">
        <v>3190</v>
      </c>
    </row>
    <row r="832" spans="1:9" x14ac:dyDescent="0.25">
      <c r="A832" s="4" t="s">
        <v>338</v>
      </c>
      <c r="B832" s="2" t="s">
        <v>96</v>
      </c>
      <c r="C832" s="2">
        <v>411</v>
      </c>
      <c r="D832" s="2" t="s">
        <v>1640</v>
      </c>
      <c r="E832" s="2" t="s">
        <v>1641</v>
      </c>
      <c r="F832" s="2" t="s">
        <v>1642</v>
      </c>
      <c r="G832" s="2" t="s">
        <v>95</v>
      </c>
      <c r="H832" s="2" t="s">
        <v>97</v>
      </c>
      <c r="I832" s="2">
        <v>3103</v>
      </c>
    </row>
    <row r="833" spans="1:9" x14ac:dyDescent="0.25">
      <c r="A833" s="4" t="s">
        <v>338</v>
      </c>
      <c r="B833" s="2" t="s">
        <v>96</v>
      </c>
      <c r="C833" s="2">
        <v>412</v>
      </c>
      <c r="D833" s="2" t="s">
        <v>1646</v>
      </c>
      <c r="E833" s="2" t="s">
        <v>1641</v>
      </c>
      <c r="F833" s="2" t="s">
        <v>1642</v>
      </c>
      <c r="G833" s="2" t="s">
        <v>95</v>
      </c>
      <c r="H833" s="2" t="s">
        <v>97</v>
      </c>
      <c r="I833" s="2">
        <v>3103</v>
      </c>
    </row>
    <row r="834" spans="1:9" x14ac:dyDescent="0.25">
      <c r="A834" s="4" t="s">
        <v>338</v>
      </c>
      <c r="B834" s="2" t="s">
        <v>96</v>
      </c>
      <c r="C834" s="2">
        <v>413</v>
      </c>
      <c r="D834" s="2" t="s">
        <v>1650</v>
      </c>
      <c r="E834" s="2" t="s">
        <v>1641</v>
      </c>
      <c r="F834" s="2" t="s">
        <v>1642</v>
      </c>
      <c r="G834" s="2" t="s">
        <v>95</v>
      </c>
      <c r="H834" s="2" t="s">
        <v>97</v>
      </c>
      <c r="I834" s="2">
        <v>3103</v>
      </c>
    </row>
    <row r="835" spans="1:9" x14ac:dyDescent="0.25">
      <c r="A835" s="4" t="s">
        <v>338</v>
      </c>
      <c r="B835" s="2" t="s">
        <v>96</v>
      </c>
      <c r="C835" s="2">
        <v>414</v>
      </c>
      <c r="D835" s="2" t="s">
        <v>1654</v>
      </c>
      <c r="E835" s="2" t="s">
        <v>1641</v>
      </c>
      <c r="F835" s="2" t="s">
        <v>1642</v>
      </c>
      <c r="G835" s="2" t="s">
        <v>95</v>
      </c>
      <c r="H835" s="2" t="s">
        <v>97</v>
      </c>
      <c r="I835" s="2">
        <v>3103</v>
      </c>
    </row>
    <row r="836" spans="1:9" x14ac:dyDescent="0.25">
      <c r="A836" s="4" t="s">
        <v>338</v>
      </c>
      <c r="B836" s="2" t="s">
        <v>96</v>
      </c>
      <c r="C836" s="2">
        <v>415</v>
      </c>
      <c r="D836" s="2" t="s">
        <v>1658</v>
      </c>
      <c r="E836" s="2" t="s">
        <v>1641</v>
      </c>
      <c r="F836" s="2" t="s">
        <v>1642</v>
      </c>
      <c r="G836" s="2" t="s">
        <v>95</v>
      </c>
      <c r="H836" s="2" t="s">
        <v>97</v>
      </c>
      <c r="I836" s="2">
        <v>3103</v>
      </c>
    </row>
    <row r="837" spans="1:9" x14ac:dyDescent="0.25">
      <c r="A837" s="4" t="s">
        <v>338</v>
      </c>
      <c r="B837" s="2" t="s">
        <v>96</v>
      </c>
      <c r="C837" s="2">
        <v>281</v>
      </c>
      <c r="D837" s="2" t="s">
        <v>1142</v>
      </c>
      <c r="E837" s="2" t="s">
        <v>1143</v>
      </c>
      <c r="F837" s="2" t="s">
        <v>1144</v>
      </c>
      <c r="G837" s="2" t="s">
        <v>95</v>
      </c>
      <c r="H837" s="2" t="s">
        <v>97</v>
      </c>
      <c r="I837" s="2">
        <v>400</v>
      </c>
    </row>
    <row r="838" spans="1:9" x14ac:dyDescent="0.25">
      <c r="A838" s="4" t="s">
        <v>338</v>
      </c>
      <c r="B838" s="2" t="s">
        <v>96</v>
      </c>
      <c r="C838" s="2">
        <v>282</v>
      </c>
      <c r="D838" s="2" t="s">
        <v>1147</v>
      </c>
      <c r="E838" s="2" t="s">
        <v>1143</v>
      </c>
      <c r="F838" s="2" t="s">
        <v>1148</v>
      </c>
      <c r="G838" s="2" t="s">
        <v>95</v>
      </c>
      <c r="H838" s="2" t="s">
        <v>97</v>
      </c>
      <c r="I838" s="2">
        <v>400</v>
      </c>
    </row>
    <row r="839" spans="1:9" x14ac:dyDescent="0.25">
      <c r="A839" s="4" t="s">
        <v>338</v>
      </c>
      <c r="B839" s="2" t="s">
        <v>96</v>
      </c>
      <c r="C839" s="2">
        <v>286</v>
      </c>
      <c r="D839" s="2" t="s">
        <v>1164</v>
      </c>
      <c r="E839" s="2" t="s">
        <v>1143</v>
      </c>
      <c r="F839" s="2" t="s">
        <v>1148</v>
      </c>
      <c r="G839" s="2" t="s">
        <v>95</v>
      </c>
      <c r="H839" s="2" t="s">
        <v>97</v>
      </c>
      <c r="I839" s="2">
        <v>400</v>
      </c>
    </row>
    <row r="840" spans="1:9" x14ac:dyDescent="0.25">
      <c r="A840" s="4" t="s">
        <v>338</v>
      </c>
      <c r="B840" s="2" t="s">
        <v>96</v>
      </c>
      <c r="C840" s="2">
        <v>288</v>
      </c>
      <c r="D840" s="2" t="s">
        <v>1170</v>
      </c>
      <c r="E840" s="2" t="s">
        <v>1143</v>
      </c>
      <c r="F840" s="2" t="s">
        <v>1148</v>
      </c>
      <c r="G840" s="2" t="s">
        <v>95</v>
      </c>
      <c r="H840" s="2" t="s">
        <v>97</v>
      </c>
      <c r="I840" s="2">
        <v>400</v>
      </c>
    </row>
    <row r="841" spans="1:9" x14ac:dyDescent="0.25">
      <c r="A841" s="4" t="s">
        <v>338</v>
      </c>
      <c r="B841" s="2" t="s">
        <v>96</v>
      </c>
      <c r="C841" s="2">
        <v>284</v>
      </c>
      <c r="D841" s="2" t="s">
        <v>1155</v>
      </c>
      <c r="E841" s="2" t="s">
        <v>1143</v>
      </c>
      <c r="F841" s="2" t="s">
        <v>1156</v>
      </c>
      <c r="G841" s="2" t="s">
        <v>95</v>
      </c>
      <c r="H841" s="2" t="s">
        <v>97</v>
      </c>
      <c r="I841" s="2">
        <v>400</v>
      </c>
    </row>
    <row r="842" spans="1:9" x14ac:dyDescent="0.25">
      <c r="A842" s="4" t="s">
        <v>338</v>
      </c>
      <c r="B842" s="2" t="s">
        <v>96</v>
      </c>
      <c r="C842" s="2">
        <v>285</v>
      </c>
      <c r="D842" s="2" t="s">
        <v>1160</v>
      </c>
      <c r="E842" s="2" t="s">
        <v>1143</v>
      </c>
      <c r="F842" s="2" t="s">
        <v>1161</v>
      </c>
      <c r="G842" s="2" t="s">
        <v>95</v>
      </c>
      <c r="H842" s="2" t="s">
        <v>97</v>
      </c>
      <c r="I842" s="2">
        <v>400</v>
      </c>
    </row>
    <row r="843" spans="1:9" x14ac:dyDescent="0.25">
      <c r="A843" s="4" t="s">
        <v>338</v>
      </c>
      <c r="B843" s="2" t="s">
        <v>96</v>
      </c>
      <c r="C843" s="2">
        <v>283</v>
      </c>
      <c r="D843" s="2" t="s">
        <v>1151</v>
      </c>
      <c r="E843" s="2" t="s">
        <v>1143</v>
      </c>
      <c r="F843" s="2" t="s">
        <v>1152</v>
      </c>
      <c r="G843" s="2" t="s">
        <v>95</v>
      </c>
      <c r="H843" s="2" t="s">
        <v>97</v>
      </c>
      <c r="I843" s="2">
        <v>400</v>
      </c>
    </row>
    <row r="844" spans="1:9" x14ac:dyDescent="0.25">
      <c r="A844" s="4" t="s">
        <v>338</v>
      </c>
      <c r="B844" s="2" t="s">
        <v>96</v>
      </c>
      <c r="C844" s="2">
        <v>287</v>
      </c>
      <c r="D844" s="2" t="s">
        <v>1166</v>
      </c>
      <c r="E844" s="2" t="s">
        <v>1143</v>
      </c>
      <c r="F844" s="2" t="s">
        <v>1167</v>
      </c>
      <c r="G844" s="2" t="s">
        <v>95</v>
      </c>
      <c r="H844" s="2" t="s">
        <v>97</v>
      </c>
      <c r="I844" s="2">
        <v>400</v>
      </c>
    </row>
    <row r="845" spans="1:9" x14ac:dyDescent="0.25">
      <c r="A845" s="4" t="s">
        <v>338</v>
      </c>
      <c r="B845" s="2" t="s">
        <v>96</v>
      </c>
      <c r="C845" s="2">
        <v>420</v>
      </c>
      <c r="D845" s="2" t="s">
        <v>1680</v>
      </c>
      <c r="E845" s="2" t="s">
        <v>1663</v>
      </c>
      <c r="F845" s="2" t="s">
        <v>1681</v>
      </c>
      <c r="G845" s="2" t="s">
        <v>95</v>
      </c>
      <c r="H845" s="2" t="s">
        <v>97</v>
      </c>
      <c r="I845" s="2">
        <v>1493</v>
      </c>
    </row>
    <row r="846" spans="1:9" x14ac:dyDescent="0.25">
      <c r="A846" s="4" t="s">
        <v>338</v>
      </c>
      <c r="B846" s="2" t="s">
        <v>96</v>
      </c>
      <c r="C846" s="2">
        <v>421</v>
      </c>
      <c r="D846" s="2" t="s">
        <v>1685</v>
      </c>
      <c r="E846" s="2" t="s">
        <v>1663</v>
      </c>
      <c r="F846" s="2" t="s">
        <v>1681</v>
      </c>
      <c r="G846" s="2" t="s">
        <v>95</v>
      </c>
      <c r="H846" s="2" t="s">
        <v>97</v>
      </c>
      <c r="I846" s="2">
        <v>1493</v>
      </c>
    </row>
    <row r="847" spans="1:9" x14ac:dyDescent="0.25">
      <c r="A847" s="4" t="s">
        <v>338</v>
      </c>
      <c r="B847" s="2" t="s">
        <v>96</v>
      </c>
      <c r="C847" s="2">
        <v>425</v>
      </c>
      <c r="D847" s="2" t="s">
        <v>1701</v>
      </c>
      <c r="E847" s="2" t="s">
        <v>1663</v>
      </c>
      <c r="F847" s="2" t="s">
        <v>1681</v>
      </c>
      <c r="G847" s="2" t="s">
        <v>95</v>
      </c>
      <c r="H847" s="2" t="s">
        <v>97</v>
      </c>
      <c r="I847" s="2">
        <v>1493</v>
      </c>
    </row>
    <row r="848" spans="1:9" x14ac:dyDescent="0.25">
      <c r="A848" s="4" t="s">
        <v>338</v>
      </c>
      <c r="B848" s="2" t="s">
        <v>96</v>
      </c>
      <c r="C848" s="2">
        <v>427</v>
      </c>
      <c r="D848" s="2" t="s">
        <v>1708</v>
      </c>
      <c r="E848" s="2" t="s">
        <v>1663</v>
      </c>
      <c r="F848" s="2" t="s">
        <v>1681</v>
      </c>
      <c r="G848" s="2" t="s">
        <v>95</v>
      </c>
      <c r="H848" s="2" t="s">
        <v>97</v>
      </c>
      <c r="I848" s="2">
        <v>1493</v>
      </c>
    </row>
    <row r="849" spans="1:9" x14ac:dyDescent="0.25">
      <c r="A849" s="4" t="s">
        <v>338</v>
      </c>
      <c r="B849" s="2" t="s">
        <v>96</v>
      </c>
      <c r="C849" s="2">
        <v>428</v>
      </c>
      <c r="D849" s="2" t="s">
        <v>1711</v>
      </c>
      <c r="E849" s="2" t="s">
        <v>1663</v>
      </c>
      <c r="F849" s="2" t="s">
        <v>1681</v>
      </c>
      <c r="G849" s="2" t="s">
        <v>95</v>
      </c>
      <c r="H849" s="2" t="s">
        <v>97</v>
      </c>
      <c r="I849" s="2">
        <v>1493</v>
      </c>
    </row>
    <row r="850" spans="1:9" x14ac:dyDescent="0.25">
      <c r="A850" s="4" t="s">
        <v>338</v>
      </c>
      <c r="B850" s="2" t="s">
        <v>96</v>
      </c>
      <c r="C850" s="2">
        <v>417</v>
      </c>
      <c r="D850" s="2" t="s">
        <v>1668</v>
      </c>
      <c r="E850" s="2" t="s">
        <v>1663</v>
      </c>
      <c r="F850" s="2" t="s">
        <v>1669</v>
      </c>
      <c r="G850" s="2" t="s">
        <v>95</v>
      </c>
      <c r="H850" s="2" t="s">
        <v>97</v>
      </c>
      <c r="I850" s="2">
        <v>1493</v>
      </c>
    </row>
    <row r="851" spans="1:9" x14ac:dyDescent="0.25">
      <c r="A851" s="4" t="s">
        <v>338</v>
      </c>
      <c r="B851" s="2" t="s">
        <v>96</v>
      </c>
      <c r="C851" s="2">
        <v>424</v>
      </c>
      <c r="D851" s="2" t="s">
        <v>1696</v>
      </c>
      <c r="E851" s="2" t="s">
        <v>1663</v>
      </c>
      <c r="F851" s="2" t="s">
        <v>1697</v>
      </c>
      <c r="G851" s="2" t="s">
        <v>95</v>
      </c>
      <c r="H851" s="2" t="s">
        <v>97</v>
      </c>
      <c r="I851" s="2">
        <v>1493</v>
      </c>
    </row>
    <row r="852" spans="1:9" x14ac:dyDescent="0.25">
      <c r="A852" s="4" t="s">
        <v>338</v>
      </c>
      <c r="B852" s="2" t="s">
        <v>96</v>
      </c>
      <c r="C852" s="2">
        <v>429</v>
      </c>
      <c r="D852" s="2" t="s">
        <v>1713</v>
      </c>
      <c r="E852" s="2" t="s">
        <v>1663</v>
      </c>
      <c r="F852" s="2" t="s">
        <v>1714</v>
      </c>
      <c r="G852" s="2" t="s">
        <v>95</v>
      </c>
      <c r="H852" s="2" t="s">
        <v>97</v>
      </c>
      <c r="I852" s="2">
        <v>1493</v>
      </c>
    </row>
    <row r="853" spans="1:9" x14ac:dyDescent="0.25">
      <c r="A853" s="4" t="s">
        <v>338</v>
      </c>
      <c r="B853" s="2" t="s">
        <v>96</v>
      </c>
      <c r="C853" s="2">
        <v>426</v>
      </c>
      <c r="D853" s="2" t="s">
        <v>1704</v>
      </c>
      <c r="E853" s="2" t="s">
        <v>1663</v>
      </c>
      <c r="F853" s="2" t="s">
        <v>1705</v>
      </c>
      <c r="G853" s="2" t="s">
        <v>95</v>
      </c>
      <c r="H853" s="2" t="s">
        <v>97</v>
      </c>
      <c r="I853" s="2">
        <v>1493</v>
      </c>
    </row>
    <row r="854" spans="1:9" x14ac:dyDescent="0.25">
      <c r="A854" s="4" t="s">
        <v>338</v>
      </c>
      <c r="B854" s="2" t="s">
        <v>96</v>
      </c>
      <c r="C854" s="2">
        <v>416</v>
      </c>
      <c r="D854" s="2" t="s">
        <v>1662</v>
      </c>
      <c r="E854" s="2" t="s">
        <v>1663</v>
      </c>
      <c r="F854" s="2" t="s">
        <v>1664</v>
      </c>
      <c r="G854" s="2" t="s">
        <v>95</v>
      </c>
      <c r="H854" s="2" t="s">
        <v>97</v>
      </c>
      <c r="I854" s="2">
        <v>1493</v>
      </c>
    </row>
    <row r="855" spans="1:9" x14ac:dyDescent="0.25">
      <c r="A855" s="4" t="s">
        <v>338</v>
      </c>
      <c r="B855" s="2" t="s">
        <v>96</v>
      </c>
      <c r="C855" s="2">
        <v>418</v>
      </c>
      <c r="D855" s="2" t="s">
        <v>1672</v>
      </c>
      <c r="E855" s="2" t="s">
        <v>1663</v>
      </c>
      <c r="F855" s="2" t="s">
        <v>1664</v>
      </c>
      <c r="G855" s="2" t="s">
        <v>95</v>
      </c>
      <c r="H855" s="2" t="s">
        <v>97</v>
      </c>
      <c r="I855" s="2">
        <v>1493</v>
      </c>
    </row>
    <row r="856" spans="1:9" x14ac:dyDescent="0.25">
      <c r="A856" s="4" t="s">
        <v>338</v>
      </c>
      <c r="B856" s="2" t="s">
        <v>96</v>
      </c>
      <c r="C856" s="2">
        <v>422</v>
      </c>
      <c r="D856" s="2" t="s">
        <v>1688</v>
      </c>
      <c r="E856" s="2" t="s">
        <v>1663</v>
      </c>
      <c r="F856" s="2" t="s">
        <v>1664</v>
      </c>
      <c r="G856" s="2" t="s">
        <v>95</v>
      </c>
      <c r="H856" s="2" t="s">
        <v>97</v>
      </c>
      <c r="I856" s="2">
        <v>1493</v>
      </c>
    </row>
    <row r="857" spans="1:9" x14ac:dyDescent="0.25">
      <c r="A857" s="4" t="s">
        <v>338</v>
      </c>
      <c r="B857" s="2" t="s">
        <v>96</v>
      </c>
      <c r="C857" s="2">
        <v>423</v>
      </c>
      <c r="D857" s="2" t="s">
        <v>1692</v>
      </c>
      <c r="E857" s="2" t="s">
        <v>1663</v>
      </c>
      <c r="F857" s="2" t="s">
        <v>1664</v>
      </c>
      <c r="G857" s="2" t="s">
        <v>95</v>
      </c>
      <c r="H857" s="2" t="s">
        <v>97</v>
      </c>
      <c r="I857" s="2">
        <v>1493</v>
      </c>
    </row>
    <row r="858" spans="1:9" x14ac:dyDescent="0.25">
      <c r="A858" s="4" t="s">
        <v>338</v>
      </c>
      <c r="B858" s="2" t="s">
        <v>96</v>
      </c>
      <c r="C858" s="2">
        <v>419</v>
      </c>
      <c r="D858" s="2" t="s">
        <v>1676</v>
      </c>
      <c r="E858" s="2" t="s">
        <v>1663</v>
      </c>
      <c r="F858" s="2" t="s">
        <v>1677</v>
      </c>
      <c r="G858" s="2" t="s">
        <v>95</v>
      </c>
      <c r="H858" s="2" t="s">
        <v>97</v>
      </c>
      <c r="I858" s="2">
        <v>1493</v>
      </c>
    </row>
    <row r="859" spans="1:9" x14ac:dyDescent="0.25">
      <c r="A859" s="4" t="s">
        <v>234</v>
      </c>
      <c r="B859" s="2" t="s">
        <v>21</v>
      </c>
      <c r="C859" s="2">
        <v>51</v>
      </c>
      <c r="D859" s="2" t="s">
        <v>230</v>
      </c>
      <c r="E859" s="2" t="s">
        <v>231</v>
      </c>
      <c r="F859" s="2" t="s">
        <v>232</v>
      </c>
      <c r="G859" s="2" t="s">
        <v>95</v>
      </c>
      <c r="H859" s="2" t="s">
        <v>97</v>
      </c>
      <c r="I859" s="2">
        <v>1494</v>
      </c>
    </row>
    <row r="860" spans="1:9" x14ac:dyDescent="0.25">
      <c r="A860" s="4" t="s">
        <v>234</v>
      </c>
      <c r="B860" s="2" t="s">
        <v>21</v>
      </c>
      <c r="C860" s="2">
        <v>52</v>
      </c>
      <c r="D860" s="2" t="s">
        <v>236</v>
      </c>
      <c r="E860" s="2" t="s">
        <v>231</v>
      </c>
      <c r="F860" s="2" t="s">
        <v>232</v>
      </c>
      <c r="G860" s="2" t="s">
        <v>95</v>
      </c>
      <c r="H860" s="2" t="s">
        <v>97</v>
      </c>
      <c r="I860" s="2">
        <v>1494</v>
      </c>
    </row>
    <row r="861" spans="1:9" x14ac:dyDescent="0.25">
      <c r="A861" s="4" t="s">
        <v>234</v>
      </c>
      <c r="B861" s="2" t="s">
        <v>21</v>
      </c>
      <c r="C861" s="2">
        <v>55</v>
      </c>
      <c r="D861" s="2" t="s">
        <v>250</v>
      </c>
      <c r="E861" s="2" t="s">
        <v>231</v>
      </c>
      <c r="F861" s="2" t="s">
        <v>232</v>
      </c>
      <c r="G861" s="2" t="s">
        <v>95</v>
      </c>
      <c r="H861" s="2" t="s">
        <v>97</v>
      </c>
      <c r="I861" s="2">
        <v>1494</v>
      </c>
    </row>
    <row r="862" spans="1:9" x14ac:dyDescent="0.25">
      <c r="A862" s="4" t="s">
        <v>234</v>
      </c>
      <c r="B862" s="2" t="s">
        <v>21</v>
      </c>
      <c r="C862" s="2">
        <v>56</v>
      </c>
      <c r="D862" s="2" t="s">
        <v>254</v>
      </c>
      <c r="E862" s="2" t="s">
        <v>231</v>
      </c>
      <c r="F862" s="2" t="s">
        <v>232</v>
      </c>
      <c r="G862" s="2" t="s">
        <v>95</v>
      </c>
      <c r="H862" s="2" t="s">
        <v>97</v>
      </c>
      <c r="I862" s="2">
        <v>1494</v>
      </c>
    </row>
    <row r="863" spans="1:9" x14ac:dyDescent="0.25">
      <c r="A863" s="4" t="s">
        <v>234</v>
      </c>
      <c r="B863" s="2" t="s">
        <v>21</v>
      </c>
      <c r="C863" s="2">
        <v>57</v>
      </c>
      <c r="D863" s="2" t="s">
        <v>258</v>
      </c>
      <c r="E863" s="2" t="s">
        <v>231</v>
      </c>
      <c r="F863" s="2" t="s">
        <v>232</v>
      </c>
      <c r="G863" s="2" t="s">
        <v>95</v>
      </c>
      <c r="H863" s="2" t="s">
        <v>97</v>
      </c>
      <c r="I863" s="2">
        <v>1494</v>
      </c>
    </row>
    <row r="864" spans="1:9" x14ac:dyDescent="0.25">
      <c r="A864" s="4" t="s">
        <v>234</v>
      </c>
      <c r="B864" s="2" t="s">
        <v>244</v>
      </c>
      <c r="C864" s="2">
        <v>54</v>
      </c>
      <c r="D864" s="2" t="s">
        <v>246</v>
      </c>
      <c r="E864" s="2" t="s">
        <v>231</v>
      </c>
      <c r="F864" s="2" t="s">
        <v>247</v>
      </c>
      <c r="G864" s="2" t="s">
        <v>95</v>
      </c>
      <c r="H864" s="2" t="s">
        <v>97</v>
      </c>
      <c r="I864" s="2">
        <v>1494</v>
      </c>
    </row>
    <row r="865" spans="1:9" x14ac:dyDescent="0.25">
      <c r="A865" s="4" t="s">
        <v>234</v>
      </c>
      <c r="B865" s="2" t="s">
        <v>244</v>
      </c>
      <c r="C865" s="2">
        <v>53</v>
      </c>
      <c r="D865" s="2" t="s">
        <v>240</v>
      </c>
      <c r="E865" s="2" t="s">
        <v>231</v>
      </c>
      <c r="F865" s="2" t="s">
        <v>241</v>
      </c>
      <c r="G865" s="2" t="s">
        <v>95</v>
      </c>
      <c r="H865" s="2" t="s">
        <v>97</v>
      </c>
      <c r="I865" s="2">
        <v>1494</v>
      </c>
    </row>
    <row r="866" spans="1:9" x14ac:dyDescent="0.25">
      <c r="A866" s="4" t="s">
        <v>234</v>
      </c>
      <c r="B866" s="2" t="s">
        <v>244</v>
      </c>
      <c r="C866" s="2">
        <v>60</v>
      </c>
      <c r="D866" s="2" t="s">
        <v>273</v>
      </c>
      <c r="E866" s="2" t="s">
        <v>263</v>
      </c>
      <c r="F866" s="2" t="s">
        <v>274</v>
      </c>
      <c r="G866" s="2" t="s">
        <v>95</v>
      </c>
      <c r="H866" s="2" t="s">
        <v>97</v>
      </c>
      <c r="I866" s="2">
        <v>1747</v>
      </c>
    </row>
    <row r="867" spans="1:9" x14ac:dyDescent="0.25">
      <c r="A867" s="4" t="s">
        <v>234</v>
      </c>
      <c r="B867" s="2" t="s">
        <v>244</v>
      </c>
      <c r="C867" s="2">
        <v>62</v>
      </c>
      <c r="D867" s="2" t="s">
        <v>283</v>
      </c>
      <c r="E867" s="2" t="s">
        <v>263</v>
      </c>
      <c r="F867" s="2" t="s">
        <v>284</v>
      </c>
      <c r="G867" s="2" t="s">
        <v>95</v>
      </c>
      <c r="H867" s="2" t="s">
        <v>97</v>
      </c>
      <c r="I867" s="2">
        <v>1747</v>
      </c>
    </row>
    <row r="868" spans="1:9" x14ac:dyDescent="0.25">
      <c r="A868" s="4" t="s">
        <v>234</v>
      </c>
      <c r="B868" s="2" t="s">
        <v>244</v>
      </c>
      <c r="C868" s="2">
        <v>58</v>
      </c>
      <c r="D868" s="2" t="s">
        <v>262</v>
      </c>
      <c r="E868" s="2" t="s">
        <v>263</v>
      </c>
      <c r="F868" s="2" t="s">
        <v>264</v>
      </c>
      <c r="G868" s="2" t="s">
        <v>95</v>
      </c>
      <c r="H868" s="2" t="s">
        <v>97</v>
      </c>
      <c r="I868" s="2">
        <v>1747</v>
      </c>
    </row>
    <row r="869" spans="1:9" x14ac:dyDescent="0.25">
      <c r="A869" s="4" t="s">
        <v>234</v>
      </c>
      <c r="B869" s="2" t="s">
        <v>271</v>
      </c>
      <c r="C869" s="2">
        <v>59</v>
      </c>
      <c r="D869" s="2" t="s">
        <v>268</v>
      </c>
      <c r="E869" s="2" t="s">
        <v>263</v>
      </c>
      <c r="F869" s="2" t="s">
        <v>264</v>
      </c>
      <c r="G869" s="2" t="s">
        <v>95</v>
      </c>
      <c r="H869" s="2" t="s">
        <v>97</v>
      </c>
      <c r="I869" s="2">
        <v>1747</v>
      </c>
    </row>
    <row r="870" spans="1:9" x14ac:dyDescent="0.25">
      <c r="A870" s="4" t="s">
        <v>234</v>
      </c>
      <c r="B870" s="2" t="s">
        <v>271</v>
      </c>
      <c r="C870" s="2">
        <v>71</v>
      </c>
      <c r="D870" s="2" t="s">
        <v>320</v>
      </c>
      <c r="E870" s="2" t="s">
        <v>263</v>
      </c>
      <c r="F870" s="2" t="s">
        <v>264</v>
      </c>
      <c r="G870" s="2" t="s">
        <v>95</v>
      </c>
      <c r="H870" s="2" t="s">
        <v>97</v>
      </c>
      <c r="I870" s="2">
        <v>1747</v>
      </c>
    </row>
    <row r="871" spans="1:9" x14ac:dyDescent="0.25">
      <c r="A871" s="4" t="s">
        <v>234</v>
      </c>
      <c r="B871" s="2" t="s">
        <v>271</v>
      </c>
      <c r="C871" s="2">
        <v>63</v>
      </c>
      <c r="D871" s="2" t="s">
        <v>287</v>
      </c>
      <c r="E871" s="2" t="s">
        <v>263</v>
      </c>
      <c r="F871" s="2" t="s">
        <v>288</v>
      </c>
      <c r="G871" s="2" t="s">
        <v>95</v>
      </c>
      <c r="H871" s="2" t="s">
        <v>97</v>
      </c>
      <c r="I871" s="2">
        <v>1747</v>
      </c>
    </row>
    <row r="872" spans="1:9" x14ac:dyDescent="0.25">
      <c r="A872" s="4" t="s">
        <v>234</v>
      </c>
      <c r="B872" s="2" t="s">
        <v>271</v>
      </c>
      <c r="C872" s="2">
        <v>73</v>
      </c>
      <c r="D872" s="2" t="s">
        <v>328</v>
      </c>
      <c r="E872" s="2" t="s">
        <v>263</v>
      </c>
      <c r="F872" s="2" t="s">
        <v>329</v>
      </c>
      <c r="G872" s="2" t="s">
        <v>95</v>
      </c>
      <c r="H872" s="2" t="s">
        <v>97</v>
      </c>
      <c r="I872" s="2">
        <v>1747</v>
      </c>
    </row>
    <row r="873" spans="1:9" x14ac:dyDescent="0.25">
      <c r="A873" s="4" t="s">
        <v>234</v>
      </c>
      <c r="B873" s="2" t="s">
        <v>271</v>
      </c>
      <c r="C873" s="2">
        <v>72</v>
      </c>
      <c r="D873" s="2" t="s">
        <v>324</v>
      </c>
      <c r="E873" s="2" t="s">
        <v>263</v>
      </c>
      <c r="F873" s="2" t="s">
        <v>325</v>
      </c>
      <c r="G873" s="2" t="s">
        <v>95</v>
      </c>
      <c r="H873" s="2" t="s">
        <v>97</v>
      </c>
      <c r="I873" s="2">
        <v>1747</v>
      </c>
    </row>
    <row r="874" spans="1:9" x14ac:dyDescent="0.25">
      <c r="A874" s="4" t="s">
        <v>234</v>
      </c>
      <c r="B874" s="2" t="s">
        <v>96</v>
      </c>
      <c r="C874" s="2">
        <v>64</v>
      </c>
      <c r="D874" s="2" t="s">
        <v>291</v>
      </c>
      <c r="E874" s="2" t="s">
        <v>263</v>
      </c>
      <c r="F874" s="2" t="s">
        <v>292</v>
      </c>
      <c r="G874" s="2" t="s">
        <v>95</v>
      </c>
      <c r="H874" s="2" t="s">
        <v>97</v>
      </c>
      <c r="I874" s="2">
        <v>1747</v>
      </c>
    </row>
    <row r="875" spans="1:9" x14ac:dyDescent="0.25">
      <c r="A875" s="4" t="s">
        <v>234</v>
      </c>
      <c r="B875" s="2" t="s">
        <v>96</v>
      </c>
      <c r="C875" s="2">
        <v>69</v>
      </c>
      <c r="D875" s="2" t="s">
        <v>312</v>
      </c>
      <c r="E875" s="2" t="s">
        <v>263</v>
      </c>
      <c r="F875" s="2" t="s">
        <v>292</v>
      </c>
      <c r="G875" s="2" t="s">
        <v>95</v>
      </c>
      <c r="H875" s="2" t="s">
        <v>97</v>
      </c>
      <c r="I875" s="2">
        <v>1747</v>
      </c>
    </row>
    <row r="876" spans="1:9" x14ac:dyDescent="0.25">
      <c r="A876" s="4" t="s">
        <v>234</v>
      </c>
      <c r="B876" s="2" t="s">
        <v>96</v>
      </c>
      <c r="C876" s="2">
        <v>68</v>
      </c>
      <c r="D876" s="2" t="s">
        <v>308</v>
      </c>
      <c r="E876" s="2" t="s">
        <v>263</v>
      </c>
      <c r="F876" s="2" t="s">
        <v>309</v>
      </c>
      <c r="G876" s="2" t="s">
        <v>95</v>
      </c>
      <c r="H876" s="2" t="s">
        <v>97</v>
      </c>
      <c r="I876" s="2">
        <v>1747</v>
      </c>
    </row>
    <row r="877" spans="1:9" x14ac:dyDescent="0.25">
      <c r="A877" s="4" t="s">
        <v>234</v>
      </c>
      <c r="B877" s="2" t="s">
        <v>96</v>
      </c>
      <c r="C877" s="2">
        <v>65</v>
      </c>
      <c r="D877" s="2" t="s">
        <v>296</v>
      </c>
      <c r="E877" s="2" t="s">
        <v>263</v>
      </c>
      <c r="F877" s="2" t="s">
        <v>297</v>
      </c>
      <c r="G877" s="2" t="s">
        <v>95</v>
      </c>
      <c r="H877" s="2" t="s">
        <v>97</v>
      </c>
      <c r="I877" s="2">
        <v>1747</v>
      </c>
    </row>
    <row r="878" spans="1:9" x14ac:dyDescent="0.25">
      <c r="A878" s="4" t="s">
        <v>234</v>
      </c>
      <c r="B878" s="2" t="s">
        <v>96</v>
      </c>
      <c r="C878" s="2">
        <v>67</v>
      </c>
      <c r="D878" s="2" t="s">
        <v>304</v>
      </c>
      <c r="E878" s="2" t="s">
        <v>263</v>
      </c>
      <c r="F878" s="2" t="s">
        <v>297</v>
      </c>
      <c r="G878" s="2" t="s">
        <v>95</v>
      </c>
      <c r="H878" s="2" t="s">
        <v>97</v>
      </c>
      <c r="I878" s="2">
        <v>1747</v>
      </c>
    </row>
    <row r="879" spans="1:9" x14ac:dyDescent="0.25">
      <c r="A879" s="4" t="s">
        <v>234</v>
      </c>
      <c r="B879" s="2" t="s">
        <v>96</v>
      </c>
      <c r="C879" s="2">
        <v>70</v>
      </c>
      <c r="D879" s="2" t="s">
        <v>316</v>
      </c>
      <c r="E879" s="2" t="s">
        <v>263</v>
      </c>
      <c r="F879" s="2" t="s">
        <v>297</v>
      </c>
      <c r="G879" s="2" t="s">
        <v>95</v>
      </c>
      <c r="H879" s="2" t="s">
        <v>97</v>
      </c>
      <c r="I879" s="2">
        <v>1747</v>
      </c>
    </row>
    <row r="880" spans="1:9" x14ac:dyDescent="0.25">
      <c r="A880" s="4" t="s">
        <v>234</v>
      </c>
      <c r="B880" s="2" t="s">
        <v>96</v>
      </c>
      <c r="C880" s="2">
        <v>61</v>
      </c>
      <c r="D880" s="2" t="s">
        <v>278</v>
      </c>
      <c r="E880" s="2" t="s">
        <v>263</v>
      </c>
      <c r="F880" s="2" t="s">
        <v>279</v>
      </c>
      <c r="G880" s="2" t="s">
        <v>95</v>
      </c>
      <c r="H880" s="2" t="s">
        <v>97</v>
      </c>
      <c r="I880" s="2">
        <v>1747</v>
      </c>
    </row>
    <row r="881" spans="1:9" x14ac:dyDescent="0.25">
      <c r="A881" s="4" t="s">
        <v>234</v>
      </c>
      <c r="B881" s="2" t="s">
        <v>96</v>
      </c>
      <c r="C881" s="2">
        <v>66</v>
      </c>
      <c r="D881" s="2" t="s">
        <v>300</v>
      </c>
      <c r="E881" s="2" t="s">
        <v>263</v>
      </c>
      <c r="F881" s="2" t="s">
        <v>279</v>
      </c>
      <c r="G881" s="2" t="s">
        <v>95</v>
      </c>
      <c r="H881" s="2" t="s">
        <v>97</v>
      </c>
      <c r="I881" s="2">
        <v>1747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6" customWidth="1"/>
    <col min="2" max="2" width="15" customWidth="1"/>
    <col min="3" max="3" width="25" customWidth="1"/>
    <col min="4" max="4" width="14" customWidth="1"/>
    <col min="5" max="7" width="10" customWidth="1"/>
  </cols>
  <sheetData>
    <row r="1" spans="1:7" x14ac:dyDescent="0.25">
      <c r="A1" s="1" t="s">
        <v>3</v>
      </c>
      <c r="B1" s="1" t="s">
        <v>3543</v>
      </c>
      <c r="C1" s="1" t="s">
        <v>3560</v>
      </c>
      <c r="D1" s="1" t="s">
        <v>3544</v>
      </c>
      <c r="E1" s="1" t="s">
        <v>3545</v>
      </c>
      <c r="F1" s="1" t="s">
        <v>3546</v>
      </c>
      <c r="G1" s="1" t="s">
        <v>3547</v>
      </c>
    </row>
    <row r="2" spans="1:7" x14ac:dyDescent="0.25">
      <c r="A2" s="2" t="s">
        <v>1175</v>
      </c>
      <c r="B2" s="2">
        <f>COUNTIF('Base de Dados'!F:F,A2)</f>
        <v>6</v>
      </c>
      <c r="C2" s="4" t="s">
        <v>338</v>
      </c>
      <c r="D2" s="2">
        <f>COUNTIFS('Base de Dados'!F:F,A2,'Base de Dados'!M:M,"Estratégico")</f>
        <v>0</v>
      </c>
      <c r="E2" s="2">
        <f>COUNTIFS('Base de Dados'!F:F,A2,'Base de Dados'!M:M,"Forte")</f>
        <v>0</v>
      </c>
      <c r="F2" s="2">
        <f>COUNTIFS('Base de Dados'!F:F,A2,'Base de Dados'!M:M,"Médio")</f>
        <v>0</v>
      </c>
      <c r="G2" s="2">
        <f>COUNTIFS('Base de Dados'!F:F,A2,'Base de Dados'!M:M,"Pontual")</f>
        <v>6</v>
      </c>
    </row>
    <row r="3" spans="1:7" x14ac:dyDescent="0.25">
      <c r="A3" s="2" t="s">
        <v>334</v>
      </c>
      <c r="B3" s="2">
        <f>COUNTIF('Base de Dados'!F:F,A3)</f>
        <v>19</v>
      </c>
      <c r="C3" s="4" t="s">
        <v>338</v>
      </c>
      <c r="D3" s="2">
        <f>COUNTIFS('Base de Dados'!F:F,A3,'Base de Dados'!M:M,"Estratégico")</f>
        <v>0</v>
      </c>
      <c r="E3" s="2">
        <f>COUNTIFS('Base de Dados'!F:F,A3,'Base de Dados'!M:M,"Forte")</f>
        <v>0</v>
      </c>
      <c r="F3" s="2">
        <f>COUNTIFS('Base de Dados'!F:F,A3,'Base de Dados'!M:M,"Médio")</f>
        <v>0</v>
      </c>
      <c r="G3" s="2">
        <f>COUNTIFS('Base de Dados'!F:F,A3,'Base de Dados'!M:M,"Pontual")</f>
        <v>19</v>
      </c>
    </row>
    <row r="4" spans="1:7" x14ac:dyDescent="0.25">
      <c r="A4" s="2" t="s">
        <v>1198</v>
      </c>
      <c r="B4" s="2">
        <f>COUNTIF('Base de Dados'!F:F,A4)</f>
        <v>27</v>
      </c>
      <c r="C4" s="4" t="s">
        <v>338</v>
      </c>
      <c r="D4" s="2">
        <f>COUNTIFS('Base de Dados'!F:F,A4,'Base de Dados'!M:M,"Estratégico")</f>
        <v>25</v>
      </c>
      <c r="E4" s="2">
        <f>COUNTIFS('Base de Dados'!F:F,A4,'Base de Dados'!M:M,"Forte")</f>
        <v>0</v>
      </c>
      <c r="F4" s="2">
        <f>COUNTIFS('Base de Dados'!F:F,A4,'Base de Dados'!M:M,"Médio")</f>
        <v>0</v>
      </c>
      <c r="G4" s="2">
        <f>COUNTIFS('Base de Dados'!F:F,A4,'Base de Dados'!M:M,"Pontual")</f>
        <v>2</v>
      </c>
    </row>
    <row r="5" spans="1:7" x14ac:dyDescent="0.25">
      <c r="A5" s="2" t="s">
        <v>1290</v>
      </c>
      <c r="B5" s="2">
        <f>COUNTIF('Base de Dados'!F:F,A5)</f>
        <v>15</v>
      </c>
      <c r="C5" s="4" t="s">
        <v>338</v>
      </c>
      <c r="D5" s="2">
        <f>COUNTIFS('Base de Dados'!F:F,A5,'Base de Dados'!M:M,"Estratégico")</f>
        <v>0</v>
      </c>
      <c r="E5" s="2">
        <f>COUNTIFS('Base de Dados'!F:F,A5,'Base de Dados'!M:M,"Forte")</f>
        <v>0</v>
      </c>
      <c r="F5" s="2">
        <f>COUNTIFS('Base de Dados'!F:F,A5,'Base de Dados'!M:M,"Médio")</f>
        <v>0</v>
      </c>
      <c r="G5" s="2">
        <f>COUNTIFS('Base de Dados'!F:F,A5,'Base de Dados'!M:M,"Pontual")</f>
        <v>15</v>
      </c>
    </row>
    <row r="6" spans="1:7" x14ac:dyDescent="0.25">
      <c r="A6" s="2" t="s">
        <v>405</v>
      </c>
      <c r="B6" s="2">
        <f>COUNTIF('Base de Dados'!F:F,A6)</f>
        <v>36</v>
      </c>
      <c r="C6" s="4" t="s">
        <v>338</v>
      </c>
      <c r="D6" s="2">
        <f>COUNTIFS('Base de Dados'!F:F,A6,'Base de Dados'!M:M,"Estratégico")</f>
        <v>4</v>
      </c>
      <c r="E6" s="2">
        <f>COUNTIFS('Base de Dados'!F:F,A6,'Base de Dados'!M:M,"Forte")</f>
        <v>0</v>
      </c>
      <c r="F6" s="2">
        <f>COUNTIFS('Base de Dados'!F:F,A6,'Base de Dados'!M:M,"Médio")</f>
        <v>0</v>
      </c>
      <c r="G6" s="2">
        <f>COUNTIFS('Base de Dados'!F:F,A6,'Base de Dados'!M:M,"Pontual")</f>
        <v>32</v>
      </c>
    </row>
    <row r="7" spans="1:7" x14ac:dyDescent="0.25">
      <c r="A7" s="2" t="s">
        <v>548</v>
      </c>
      <c r="B7" s="2">
        <f>COUNTIF('Base de Dados'!F:F,A7)</f>
        <v>20</v>
      </c>
      <c r="C7" s="4" t="s">
        <v>338</v>
      </c>
      <c r="D7" s="2">
        <f>COUNTIFS('Base de Dados'!F:F,A7,'Base de Dados'!M:M,"Estratégico")</f>
        <v>8</v>
      </c>
      <c r="E7" s="2">
        <f>COUNTIFS('Base de Dados'!F:F,A7,'Base de Dados'!M:M,"Forte")</f>
        <v>0</v>
      </c>
      <c r="F7" s="2">
        <f>COUNTIFS('Base de Dados'!F:F,A7,'Base de Dados'!M:M,"Médio")</f>
        <v>0</v>
      </c>
      <c r="G7" s="2">
        <f>COUNTIFS('Base de Dados'!F:F,A7,'Base de Dados'!M:M,"Pontual")</f>
        <v>12</v>
      </c>
    </row>
    <row r="8" spans="1:7" x14ac:dyDescent="0.25">
      <c r="A8" s="2" t="s">
        <v>15</v>
      </c>
      <c r="B8" s="2">
        <f>COUNTIF('Base de Dados'!F:F,A8)</f>
        <v>17</v>
      </c>
      <c r="C8" s="4" t="s">
        <v>19</v>
      </c>
      <c r="D8" s="2">
        <f>COUNTIFS('Base de Dados'!F:F,A8,'Base de Dados'!M:M,"Estratégico")</f>
        <v>17</v>
      </c>
      <c r="E8" s="2">
        <f>COUNTIFS('Base de Dados'!F:F,A8,'Base de Dados'!M:M,"Forte")</f>
        <v>0</v>
      </c>
      <c r="F8" s="2">
        <f>COUNTIFS('Base de Dados'!F:F,A8,'Base de Dados'!M:M,"Médio")</f>
        <v>0</v>
      </c>
      <c r="G8" s="2">
        <f>COUNTIFS('Base de Dados'!F:F,A8,'Base de Dados'!M:M,"Pontual")</f>
        <v>0</v>
      </c>
    </row>
    <row r="9" spans="1:7" x14ac:dyDescent="0.25">
      <c r="A9" s="2" t="s">
        <v>1719</v>
      </c>
      <c r="B9" s="2">
        <f>COUNTIF('Base de Dados'!F:F,A9)</f>
        <v>61</v>
      </c>
      <c r="C9" s="4" t="s">
        <v>1723</v>
      </c>
      <c r="D9" s="2">
        <f>COUNTIFS('Base de Dados'!F:F,A9,'Base de Dados'!M:M,"Estratégico")</f>
        <v>7</v>
      </c>
      <c r="E9" s="2">
        <f>COUNTIFS('Base de Dados'!F:F,A9,'Base de Dados'!M:M,"Forte")</f>
        <v>0</v>
      </c>
      <c r="F9" s="2">
        <f>COUNTIFS('Base de Dados'!F:F,A9,'Base de Dados'!M:M,"Médio")</f>
        <v>0</v>
      </c>
      <c r="G9" s="2">
        <f>COUNTIFS('Base de Dados'!F:F,A9,'Base de Dados'!M:M,"Pontual")</f>
        <v>54</v>
      </c>
    </row>
    <row r="10" spans="1:7" x14ac:dyDescent="0.25">
      <c r="A10" s="2" t="s">
        <v>86</v>
      </c>
      <c r="B10" s="2">
        <f>COUNTIF('Base de Dados'!F:F,A10)</f>
        <v>33</v>
      </c>
      <c r="C10" s="4" t="s">
        <v>19</v>
      </c>
      <c r="D10" s="2">
        <f>COUNTIFS('Base de Dados'!F:F,A10,'Base de Dados'!M:M,"Estratégico")</f>
        <v>18</v>
      </c>
      <c r="E10" s="2">
        <f>COUNTIFS('Base de Dados'!F:F,A10,'Base de Dados'!M:M,"Forte")</f>
        <v>0</v>
      </c>
      <c r="F10" s="2">
        <f>COUNTIFS('Base de Dados'!F:F,A10,'Base de Dados'!M:M,"Médio")</f>
        <v>0</v>
      </c>
      <c r="G10" s="2">
        <f>COUNTIFS('Base de Dados'!F:F,A10,'Base de Dados'!M:M,"Pontual")</f>
        <v>15</v>
      </c>
    </row>
    <row r="11" spans="1:7" x14ac:dyDescent="0.25">
      <c r="A11" s="2" t="s">
        <v>631</v>
      </c>
      <c r="B11" s="2">
        <f>COUNTIF('Base de Dados'!F:F,A11)</f>
        <v>12</v>
      </c>
      <c r="C11" s="4" t="s">
        <v>338</v>
      </c>
      <c r="D11" s="2">
        <f>COUNTIFS('Base de Dados'!F:F,A11,'Base de Dados'!M:M,"Estratégico")</f>
        <v>0</v>
      </c>
      <c r="E11" s="2">
        <f>COUNTIFS('Base de Dados'!F:F,A11,'Base de Dados'!M:M,"Forte")</f>
        <v>0</v>
      </c>
      <c r="F11" s="2">
        <f>COUNTIFS('Base de Dados'!F:F,A11,'Base de Dados'!M:M,"Médio")</f>
        <v>0</v>
      </c>
      <c r="G11" s="2">
        <f>COUNTIFS('Base de Dados'!F:F,A11,'Base de Dados'!M:M,"Pontual")</f>
        <v>12</v>
      </c>
    </row>
    <row r="12" spans="1:7" x14ac:dyDescent="0.25">
      <c r="A12" s="2" t="s">
        <v>1961</v>
      </c>
      <c r="B12" s="2">
        <f>COUNTIF('Base de Dados'!F:F,A12)</f>
        <v>109</v>
      </c>
      <c r="C12" s="4" t="s">
        <v>19</v>
      </c>
      <c r="D12" s="2">
        <f>COUNTIFS('Base de Dados'!F:F,A12,'Base de Dados'!M:M,"Estratégico")</f>
        <v>13</v>
      </c>
      <c r="E12" s="2">
        <f>COUNTIFS('Base de Dados'!F:F,A12,'Base de Dados'!M:M,"Forte")</f>
        <v>15</v>
      </c>
      <c r="F12" s="2">
        <f>COUNTIFS('Base de Dados'!F:F,A12,'Base de Dados'!M:M,"Médio")</f>
        <v>81</v>
      </c>
      <c r="G12" s="2">
        <f>COUNTIFS('Base de Dados'!F:F,A12,'Base de Dados'!M:M,"Pontual")</f>
        <v>0</v>
      </c>
    </row>
    <row r="13" spans="1:7" x14ac:dyDescent="0.25">
      <c r="A13" s="2" t="s">
        <v>231</v>
      </c>
      <c r="B13" s="2">
        <f>COUNTIF('Base de Dados'!F:F,A13)</f>
        <v>7</v>
      </c>
      <c r="C13" s="4" t="s">
        <v>234</v>
      </c>
      <c r="D13" s="2">
        <f>COUNTIFS('Base de Dados'!F:F,A13,'Base de Dados'!M:M,"Estratégico")</f>
        <v>0</v>
      </c>
      <c r="E13" s="2">
        <f>COUNTIFS('Base de Dados'!F:F,A13,'Base de Dados'!M:M,"Forte")</f>
        <v>0</v>
      </c>
      <c r="F13" s="2">
        <f>COUNTIFS('Base de Dados'!F:F,A13,'Base de Dados'!M:M,"Médio")</f>
        <v>0</v>
      </c>
      <c r="G13" s="2">
        <f>COUNTIFS('Base de Dados'!F:F,A13,'Base de Dados'!M:M,"Pontual")</f>
        <v>7</v>
      </c>
    </row>
    <row r="14" spans="1:7" x14ac:dyDescent="0.25">
      <c r="A14" s="2" t="s">
        <v>263</v>
      </c>
      <c r="B14" s="2">
        <f>COUNTIF('Base de Dados'!F:F,A14)</f>
        <v>16</v>
      </c>
      <c r="C14" s="4" t="s">
        <v>234</v>
      </c>
      <c r="D14" s="2">
        <f>COUNTIFS('Base de Dados'!F:F,A14,'Base de Dados'!M:M,"Estratégico")</f>
        <v>0</v>
      </c>
      <c r="E14" s="2">
        <f>COUNTIFS('Base de Dados'!F:F,A14,'Base de Dados'!M:M,"Forte")</f>
        <v>0</v>
      </c>
      <c r="F14" s="2">
        <f>COUNTIFS('Base de Dados'!F:F,A14,'Base de Dados'!M:M,"Médio")</f>
        <v>0</v>
      </c>
      <c r="G14" s="2">
        <f>COUNTIFS('Base de Dados'!F:F,A14,'Base de Dados'!M:M,"Pontual")</f>
        <v>16</v>
      </c>
    </row>
    <row r="15" spans="1:7" x14ac:dyDescent="0.25">
      <c r="A15" s="2" t="s">
        <v>1344</v>
      </c>
      <c r="B15" s="2">
        <f>COUNTIF('Base de Dados'!F:F,A15)</f>
        <v>64</v>
      </c>
      <c r="C15" s="4" t="s">
        <v>338</v>
      </c>
      <c r="D15" s="2">
        <f>COUNTIFS('Base de Dados'!F:F,A15,'Base de Dados'!M:M,"Estratégico")</f>
        <v>6</v>
      </c>
      <c r="E15" s="2">
        <f>COUNTIFS('Base de Dados'!F:F,A15,'Base de Dados'!M:M,"Forte")</f>
        <v>0</v>
      </c>
      <c r="F15" s="2">
        <f>COUNTIFS('Base de Dados'!F:F,A15,'Base de Dados'!M:M,"Médio")</f>
        <v>0</v>
      </c>
      <c r="G15" s="2">
        <f>COUNTIFS('Base de Dados'!F:F,A15,'Base de Dados'!M:M,"Pontual")</f>
        <v>58</v>
      </c>
    </row>
    <row r="16" spans="1:7" x14ac:dyDescent="0.25">
      <c r="A16" s="2" t="s">
        <v>678</v>
      </c>
      <c r="B16" s="2">
        <f>COUNTIF('Base de Dados'!F:F,A16)</f>
        <v>29</v>
      </c>
      <c r="C16" s="4" t="s">
        <v>338</v>
      </c>
      <c r="D16" s="2">
        <f>COUNTIFS('Base de Dados'!F:F,A16,'Base de Dados'!M:M,"Estratégico")</f>
        <v>0</v>
      </c>
      <c r="E16" s="2">
        <f>COUNTIFS('Base de Dados'!F:F,A16,'Base de Dados'!M:M,"Forte")</f>
        <v>0</v>
      </c>
      <c r="F16" s="2">
        <f>COUNTIFS('Base de Dados'!F:F,A16,'Base de Dados'!M:M,"Médio")</f>
        <v>0</v>
      </c>
      <c r="G16" s="2">
        <f>COUNTIFS('Base de Dados'!F:F,A16,'Base de Dados'!M:M,"Pontual")</f>
        <v>29</v>
      </c>
    </row>
    <row r="17" spans="1:7" x14ac:dyDescent="0.25">
      <c r="A17" s="2" t="s">
        <v>783</v>
      </c>
      <c r="B17" s="2">
        <f>COUNTIF('Base de Dados'!F:F,A17)</f>
        <v>65</v>
      </c>
      <c r="C17" s="4" t="s">
        <v>338</v>
      </c>
      <c r="D17" s="2">
        <f>COUNTIFS('Base de Dados'!F:F,A17,'Base de Dados'!M:M,"Estratégico")</f>
        <v>10</v>
      </c>
      <c r="E17" s="2">
        <f>COUNTIFS('Base de Dados'!F:F,A17,'Base de Dados'!M:M,"Forte")</f>
        <v>0</v>
      </c>
      <c r="F17" s="2">
        <f>COUNTIFS('Base de Dados'!F:F,A17,'Base de Dados'!M:M,"Médio")</f>
        <v>0</v>
      </c>
      <c r="G17" s="2">
        <f>COUNTIFS('Base de Dados'!F:F,A17,'Base de Dados'!M:M,"Pontual")</f>
        <v>55</v>
      </c>
    </row>
    <row r="18" spans="1:7" x14ac:dyDescent="0.25">
      <c r="A18" s="2" t="s">
        <v>1044</v>
      </c>
      <c r="B18" s="2">
        <f>COUNTIF('Base de Dados'!F:F,A18)</f>
        <v>7</v>
      </c>
      <c r="C18" s="4" t="s">
        <v>338</v>
      </c>
      <c r="D18" s="2">
        <f>COUNTIFS('Base de Dados'!F:F,A18,'Base de Dados'!M:M,"Estratégico")</f>
        <v>0</v>
      </c>
      <c r="E18" s="2">
        <f>COUNTIFS('Base de Dados'!F:F,A18,'Base de Dados'!M:M,"Forte")</f>
        <v>0</v>
      </c>
      <c r="F18" s="2">
        <f>COUNTIFS('Base de Dados'!F:F,A18,'Base de Dados'!M:M,"Médio")</f>
        <v>0</v>
      </c>
      <c r="G18" s="2">
        <f>COUNTIFS('Base de Dados'!F:F,A18,'Base de Dados'!M:M,"Pontual")</f>
        <v>7</v>
      </c>
    </row>
    <row r="19" spans="1:7" x14ac:dyDescent="0.25">
      <c r="A19" s="2" t="s">
        <v>3119</v>
      </c>
      <c r="B19" s="2">
        <f>COUNTIF('Base de Dados'!F:F,A19)</f>
        <v>37</v>
      </c>
      <c r="C19" s="4" t="s">
        <v>3123</v>
      </c>
      <c r="D19" s="2">
        <f>COUNTIFS('Base de Dados'!F:F,A19,'Base de Dados'!M:M,"Estratégico")</f>
        <v>10</v>
      </c>
      <c r="E19" s="2">
        <f>COUNTIFS('Base de Dados'!F:F,A19,'Base de Dados'!M:M,"Forte")</f>
        <v>2</v>
      </c>
      <c r="F19" s="2">
        <f>COUNTIFS('Base de Dados'!F:F,A19,'Base de Dados'!M:M,"Médio")</f>
        <v>0</v>
      </c>
      <c r="G19" s="2">
        <f>COUNTIFS('Base de Dados'!F:F,A19,'Base de Dados'!M:M,"Pontual")</f>
        <v>25</v>
      </c>
    </row>
    <row r="20" spans="1:7" x14ac:dyDescent="0.25">
      <c r="A20" s="2" t="s">
        <v>2374</v>
      </c>
      <c r="B20" s="2">
        <f>COUNTIF('Base de Dados'!F:F,A20)</f>
        <v>77</v>
      </c>
      <c r="C20" s="4" t="s">
        <v>3561</v>
      </c>
      <c r="D20" s="2">
        <f>COUNTIFS('Base de Dados'!F:F,A20,'Base de Dados'!M:M,"Estratégico")</f>
        <v>27</v>
      </c>
      <c r="E20" s="2">
        <f>COUNTIFS('Base de Dados'!F:F,A20,'Base de Dados'!M:M,"Forte")</f>
        <v>18</v>
      </c>
      <c r="F20" s="2">
        <f>COUNTIFS('Base de Dados'!F:F,A20,'Base de Dados'!M:M,"Médio")</f>
        <v>32</v>
      </c>
      <c r="G20" s="2">
        <f>COUNTIFS('Base de Dados'!F:F,A20,'Base de Dados'!M:M,"Pontual")</f>
        <v>0</v>
      </c>
    </row>
    <row r="21" spans="1:7" x14ac:dyDescent="0.25">
      <c r="A21" s="2" t="s">
        <v>1071</v>
      </c>
      <c r="B21" s="2">
        <f>COUNTIF('Base de Dados'!F:F,A21)</f>
        <v>19</v>
      </c>
      <c r="C21" s="4" t="s">
        <v>338</v>
      </c>
      <c r="D21" s="2">
        <f>COUNTIFS('Base de Dados'!F:F,A21,'Base de Dados'!M:M,"Estratégico")</f>
        <v>0</v>
      </c>
      <c r="E21" s="2">
        <f>COUNTIFS('Base de Dados'!F:F,A21,'Base de Dados'!M:M,"Forte")</f>
        <v>0</v>
      </c>
      <c r="F21" s="2">
        <f>COUNTIFS('Base de Dados'!F:F,A21,'Base de Dados'!M:M,"Médio")</f>
        <v>0</v>
      </c>
      <c r="G21" s="2">
        <f>COUNTIFS('Base de Dados'!F:F,A21,'Base de Dados'!M:M,"Pontual")</f>
        <v>19</v>
      </c>
    </row>
    <row r="22" spans="1:7" x14ac:dyDescent="0.25">
      <c r="A22" s="2" t="s">
        <v>1601</v>
      </c>
      <c r="B22" s="2">
        <f>COUNTIF('Base de Dados'!F:F,A22)</f>
        <v>10</v>
      </c>
      <c r="C22" s="4" t="s">
        <v>338</v>
      </c>
      <c r="D22" s="2">
        <f>COUNTIFS('Base de Dados'!F:F,A22,'Base de Dados'!M:M,"Estratégico")</f>
        <v>0</v>
      </c>
      <c r="E22" s="2">
        <f>COUNTIFS('Base de Dados'!F:F,A22,'Base de Dados'!M:M,"Forte")</f>
        <v>0</v>
      </c>
      <c r="F22" s="2">
        <f>COUNTIFS('Base de Dados'!F:F,A22,'Base de Dados'!M:M,"Médio")</f>
        <v>0</v>
      </c>
      <c r="G22" s="2">
        <f>COUNTIFS('Base de Dados'!F:F,A22,'Base de Dados'!M:M,"Pontual")</f>
        <v>10</v>
      </c>
    </row>
    <row r="23" spans="1:7" x14ac:dyDescent="0.25">
      <c r="A23" s="2" t="s">
        <v>1641</v>
      </c>
      <c r="B23" s="2">
        <f>COUNTIF('Base de Dados'!F:F,A23)</f>
        <v>5</v>
      </c>
      <c r="C23" s="4" t="s">
        <v>338</v>
      </c>
      <c r="D23" s="2">
        <f>COUNTIFS('Base de Dados'!F:F,A23,'Base de Dados'!M:M,"Estratégico")</f>
        <v>0</v>
      </c>
      <c r="E23" s="2">
        <f>COUNTIFS('Base de Dados'!F:F,A23,'Base de Dados'!M:M,"Forte")</f>
        <v>0</v>
      </c>
      <c r="F23" s="2">
        <f>COUNTIFS('Base de Dados'!F:F,A23,'Base de Dados'!M:M,"Médio")</f>
        <v>0</v>
      </c>
      <c r="G23" s="2">
        <f>COUNTIFS('Base de Dados'!F:F,A23,'Base de Dados'!M:M,"Pontual")</f>
        <v>5</v>
      </c>
    </row>
    <row r="24" spans="1:7" x14ac:dyDescent="0.25">
      <c r="A24" s="2" t="s">
        <v>3281</v>
      </c>
      <c r="B24" s="2">
        <f>COUNTIF('Base de Dados'!F:F,A24)</f>
        <v>36</v>
      </c>
      <c r="C24" s="4" t="s">
        <v>3123</v>
      </c>
      <c r="D24" s="2">
        <f>COUNTIFS('Base de Dados'!F:F,A24,'Base de Dados'!M:M,"Estratégico")</f>
        <v>7</v>
      </c>
      <c r="E24" s="2">
        <f>COUNTIFS('Base de Dados'!F:F,A24,'Base de Dados'!M:M,"Forte")</f>
        <v>7</v>
      </c>
      <c r="F24" s="2">
        <f>COUNTIFS('Base de Dados'!F:F,A24,'Base de Dados'!M:M,"Médio")</f>
        <v>0</v>
      </c>
      <c r="G24" s="2">
        <f>COUNTIFS('Base de Dados'!F:F,A24,'Base de Dados'!M:M,"Pontual")</f>
        <v>22</v>
      </c>
    </row>
    <row r="25" spans="1:7" x14ac:dyDescent="0.25">
      <c r="A25" s="2" t="s">
        <v>3430</v>
      </c>
      <c r="B25" s="2">
        <f>COUNTIF('Base de Dados'!F:F,A25)</f>
        <v>27</v>
      </c>
      <c r="C25" s="4" t="s">
        <v>3123</v>
      </c>
      <c r="D25" s="2">
        <f>COUNTIFS('Base de Dados'!F:F,A25,'Base de Dados'!M:M,"Estratégico")</f>
        <v>0</v>
      </c>
      <c r="E25" s="2">
        <f>COUNTIFS('Base de Dados'!F:F,A25,'Base de Dados'!M:M,"Forte")</f>
        <v>3</v>
      </c>
      <c r="F25" s="2">
        <f>COUNTIFS('Base de Dados'!F:F,A25,'Base de Dados'!M:M,"Médio")</f>
        <v>0</v>
      </c>
      <c r="G25" s="2">
        <f>COUNTIFS('Base de Dados'!F:F,A25,'Base de Dados'!M:M,"Pontual")</f>
        <v>24</v>
      </c>
    </row>
    <row r="26" spans="1:7" x14ac:dyDescent="0.25">
      <c r="A26" s="2" t="s">
        <v>1143</v>
      </c>
      <c r="B26" s="2">
        <f>COUNTIF('Base de Dados'!F:F,A26)</f>
        <v>8</v>
      </c>
      <c r="C26" s="4" t="s">
        <v>338</v>
      </c>
      <c r="D26" s="2">
        <f>COUNTIFS('Base de Dados'!F:F,A26,'Base de Dados'!M:M,"Estratégico")</f>
        <v>0</v>
      </c>
      <c r="E26" s="2">
        <f>COUNTIFS('Base de Dados'!F:F,A26,'Base de Dados'!M:M,"Forte")</f>
        <v>0</v>
      </c>
      <c r="F26" s="2">
        <f>COUNTIFS('Base de Dados'!F:F,A26,'Base de Dados'!M:M,"Médio")</f>
        <v>0</v>
      </c>
      <c r="G26" s="2">
        <f>COUNTIFS('Base de Dados'!F:F,A26,'Base de Dados'!M:M,"Pontual")</f>
        <v>8</v>
      </c>
    </row>
    <row r="27" spans="1:7" x14ac:dyDescent="0.25">
      <c r="A27" s="2" t="s">
        <v>2680</v>
      </c>
      <c r="B27" s="2">
        <f>COUNTIF('Base de Dados'!F:F,A27)</f>
        <v>104</v>
      </c>
      <c r="C27" s="4" t="s">
        <v>3562</v>
      </c>
      <c r="D27" s="2">
        <f>COUNTIFS('Base de Dados'!F:F,A27,'Base de Dados'!M:M,"Estratégico")</f>
        <v>43</v>
      </c>
      <c r="E27" s="2">
        <f>COUNTIFS('Base de Dados'!F:F,A27,'Base de Dados'!M:M,"Forte")</f>
        <v>17</v>
      </c>
      <c r="F27" s="2">
        <f>COUNTIFS('Base de Dados'!F:F,A27,'Base de Dados'!M:M,"Médio")</f>
        <v>44</v>
      </c>
      <c r="G27" s="2">
        <f>COUNTIFS('Base de Dados'!F:F,A27,'Base de Dados'!M:M,"Pontual")</f>
        <v>0</v>
      </c>
    </row>
    <row r="28" spans="1:7" x14ac:dyDescent="0.25">
      <c r="A28" s="2" t="s">
        <v>1663</v>
      </c>
      <c r="B28" s="2">
        <f>COUNTIF('Base de Dados'!F:F,A28)</f>
        <v>14</v>
      </c>
      <c r="C28" s="4" t="s">
        <v>338</v>
      </c>
      <c r="D28" s="2">
        <f>COUNTIFS('Base de Dados'!F:F,A28,'Base de Dados'!M:M,"Estratégico")</f>
        <v>0</v>
      </c>
      <c r="E28" s="2">
        <f>COUNTIFS('Base de Dados'!F:F,A28,'Base de Dados'!M:M,"Forte")</f>
        <v>0</v>
      </c>
      <c r="F28" s="2">
        <f>COUNTIFS('Base de Dados'!F:F,A28,'Base de Dados'!M:M,"Médio")</f>
        <v>0</v>
      </c>
      <c r="G28" s="2">
        <f>COUNTIFS('Base de Dados'!F:F,A28,'Base de Dados'!M:M,"Pontual")</f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254D-3996-4709-87E9-DD919CB84230}">
  <dimension ref="A1:F478"/>
  <sheetViews>
    <sheetView workbookViewId="0">
      <selection activeCell="C7" sqref="C7"/>
    </sheetView>
  </sheetViews>
  <sheetFormatPr defaultRowHeight="15" x14ac:dyDescent="0.25"/>
  <cols>
    <col min="1" max="1" width="15" customWidth="1"/>
    <col min="2" max="2" width="4" customWidth="1"/>
    <col min="3" max="3" width="26" customWidth="1"/>
    <col min="4" max="4" width="15" customWidth="1"/>
    <col min="5" max="5" width="14" customWidth="1"/>
    <col min="6" max="6" width="22" customWidth="1"/>
  </cols>
  <sheetData>
    <row r="1" spans="1:6" x14ac:dyDescent="0.25">
      <c r="A1" s="1" t="s">
        <v>7</v>
      </c>
      <c r="B1" s="1" t="s">
        <v>3</v>
      </c>
      <c r="C1" s="1" t="s">
        <v>4</v>
      </c>
      <c r="D1" s="1" t="s">
        <v>8</v>
      </c>
      <c r="E1" s="1" t="s">
        <v>6282</v>
      </c>
      <c r="F1" s="1" t="s">
        <v>3548</v>
      </c>
    </row>
    <row r="2" spans="1:6" x14ac:dyDescent="0.25">
      <c r="A2" s="4" t="s">
        <v>2378</v>
      </c>
      <c r="B2" s="2" t="s">
        <v>2374</v>
      </c>
      <c r="C2" s="2" t="s">
        <v>2504</v>
      </c>
      <c r="D2" s="2" t="s">
        <v>20</v>
      </c>
      <c r="E2" s="2">
        <v>3</v>
      </c>
      <c r="F2" s="2">
        <v>417</v>
      </c>
    </row>
    <row r="3" spans="1:6" x14ac:dyDescent="0.25">
      <c r="A3" s="4" t="s">
        <v>2378</v>
      </c>
      <c r="B3" s="2" t="s">
        <v>2374</v>
      </c>
      <c r="C3" s="2" t="s">
        <v>2375</v>
      </c>
      <c r="D3" s="2" t="s">
        <v>20</v>
      </c>
      <c r="E3" s="2">
        <v>19</v>
      </c>
      <c r="F3" s="2">
        <v>417</v>
      </c>
    </row>
    <row r="4" spans="1:6" x14ac:dyDescent="0.25">
      <c r="A4" s="4" t="s">
        <v>2378</v>
      </c>
      <c r="B4" s="2" t="s">
        <v>2374</v>
      </c>
      <c r="C4" s="2" t="s">
        <v>2565</v>
      </c>
      <c r="D4" s="2" t="s">
        <v>20</v>
      </c>
      <c r="E4" s="2">
        <v>2</v>
      </c>
      <c r="F4" s="2">
        <v>417</v>
      </c>
    </row>
    <row r="5" spans="1:6" x14ac:dyDescent="0.25">
      <c r="A5" s="4" t="s">
        <v>2378</v>
      </c>
      <c r="B5" s="2" t="s">
        <v>2374</v>
      </c>
      <c r="C5" s="2" t="s">
        <v>2509</v>
      </c>
      <c r="D5" s="2" t="s">
        <v>20</v>
      </c>
      <c r="E5" s="2">
        <v>2</v>
      </c>
      <c r="F5" s="2">
        <v>417</v>
      </c>
    </row>
    <row r="6" spans="1:6" x14ac:dyDescent="0.25">
      <c r="A6" s="4" t="s">
        <v>2378</v>
      </c>
      <c r="B6" s="2" t="s">
        <v>2374</v>
      </c>
      <c r="C6" s="2" t="s">
        <v>2657</v>
      </c>
      <c r="D6" s="2" t="s">
        <v>20</v>
      </c>
      <c r="E6" s="2">
        <v>1</v>
      </c>
      <c r="F6" s="2">
        <v>417</v>
      </c>
    </row>
    <row r="7" spans="1:6" x14ac:dyDescent="0.25">
      <c r="A7" s="4" t="s">
        <v>2378</v>
      </c>
      <c r="B7" s="2" t="s">
        <v>2374</v>
      </c>
      <c r="C7" s="2" t="s">
        <v>2549</v>
      </c>
      <c r="D7" s="2" t="s">
        <v>1969</v>
      </c>
      <c r="E7" s="2">
        <v>2</v>
      </c>
      <c r="F7" s="2">
        <v>417</v>
      </c>
    </row>
    <row r="8" spans="1:6" x14ac:dyDescent="0.25">
      <c r="A8" s="4" t="s">
        <v>2378</v>
      </c>
      <c r="B8" s="2" t="s">
        <v>2374</v>
      </c>
      <c r="C8" s="2" t="s">
        <v>2484</v>
      </c>
      <c r="D8" s="2" t="s">
        <v>1969</v>
      </c>
      <c r="E8" s="2">
        <v>1</v>
      </c>
      <c r="F8" s="2">
        <v>417</v>
      </c>
    </row>
    <row r="9" spans="1:6" x14ac:dyDescent="0.25">
      <c r="A9" s="4" t="s">
        <v>2378</v>
      </c>
      <c r="B9" s="2" t="s">
        <v>2374</v>
      </c>
      <c r="C9" s="2" t="s">
        <v>2429</v>
      </c>
      <c r="D9" s="2" t="s">
        <v>1969</v>
      </c>
      <c r="E9" s="2">
        <v>1</v>
      </c>
      <c r="F9" s="2">
        <v>417</v>
      </c>
    </row>
    <row r="10" spans="1:6" x14ac:dyDescent="0.25">
      <c r="A10" s="4" t="s">
        <v>2378</v>
      </c>
      <c r="B10" s="2" t="s">
        <v>2374</v>
      </c>
      <c r="C10" s="2" t="s">
        <v>2389</v>
      </c>
      <c r="D10" s="2" t="s">
        <v>1969</v>
      </c>
      <c r="E10" s="2">
        <v>1</v>
      </c>
      <c r="F10" s="2">
        <v>417</v>
      </c>
    </row>
    <row r="11" spans="1:6" x14ac:dyDescent="0.25">
      <c r="A11" s="4" t="s">
        <v>19</v>
      </c>
      <c r="B11" s="2" t="s">
        <v>15</v>
      </c>
      <c r="C11" s="2" t="s">
        <v>28</v>
      </c>
      <c r="D11" s="2" t="s">
        <v>20</v>
      </c>
      <c r="E11" s="2">
        <v>4</v>
      </c>
      <c r="F11" s="2">
        <v>942</v>
      </c>
    </row>
    <row r="12" spans="1:6" x14ac:dyDescent="0.25">
      <c r="A12" s="4" t="s">
        <v>19</v>
      </c>
      <c r="B12" s="2" t="s">
        <v>15</v>
      </c>
      <c r="C12" s="2" t="s">
        <v>16</v>
      </c>
      <c r="D12" s="2" t="s">
        <v>20</v>
      </c>
      <c r="E12" s="2">
        <v>13</v>
      </c>
      <c r="F12" s="2">
        <v>942</v>
      </c>
    </row>
    <row r="13" spans="1:6" x14ac:dyDescent="0.25">
      <c r="A13" s="4" t="s">
        <v>19</v>
      </c>
      <c r="B13" s="2" t="s">
        <v>86</v>
      </c>
      <c r="C13" s="2" t="s">
        <v>100</v>
      </c>
      <c r="D13" s="2" t="s">
        <v>20</v>
      </c>
      <c r="E13" s="2">
        <v>5</v>
      </c>
      <c r="F13" s="2">
        <v>1023</v>
      </c>
    </row>
    <row r="14" spans="1:6" x14ac:dyDescent="0.25">
      <c r="A14" s="4" t="s">
        <v>19</v>
      </c>
      <c r="B14" s="2" t="s">
        <v>86</v>
      </c>
      <c r="C14" s="2" t="s">
        <v>121</v>
      </c>
      <c r="D14" s="2" t="s">
        <v>20</v>
      </c>
      <c r="E14" s="2">
        <v>3</v>
      </c>
      <c r="F14" s="2">
        <v>1023</v>
      </c>
    </row>
    <row r="15" spans="1:6" x14ac:dyDescent="0.25">
      <c r="A15" s="4" t="s">
        <v>19</v>
      </c>
      <c r="B15" s="2" t="s">
        <v>86</v>
      </c>
      <c r="C15" s="2" t="s">
        <v>87</v>
      </c>
      <c r="D15" s="2" t="s">
        <v>20</v>
      </c>
      <c r="E15" s="2">
        <v>10</v>
      </c>
      <c r="F15" s="2">
        <v>1023</v>
      </c>
    </row>
    <row r="16" spans="1:6" x14ac:dyDescent="0.25">
      <c r="A16" s="4" t="s">
        <v>19</v>
      </c>
      <c r="B16" s="2" t="s">
        <v>1961</v>
      </c>
      <c r="C16" s="2" t="s">
        <v>1962</v>
      </c>
      <c r="D16" s="2" t="s">
        <v>20</v>
      </c>
      <c r="E16" s="2">
        <v>13</v>
      </c>
      <c r="F16" s="2">
        <v>380</v>
      </c>
    </row>
    <row r="17" spans="1:6" x14ac:dyDescent="0.25">
      <c r="A17" s="4" t="s">
        <v>19</v>
      </c>
      <c r="B17" s="2" t="s">
        <v>1961</v>
      </c>
      <c r="C17" s="2" t="s">
        <v>2166</v>
      </c>
      <c r="D17" s="2" t="s">
        <v>1985</v>
      </c>
      <c r="E17" s="2">
        <v>4</v>
      </c>
      <c r="F17" s="2">
        <v>380</v>
      </c>
    </row>
    <row r="18" spans="1:6" x14ac:dyDescent="0.25">
      <c r="A18" s="4" t="s">
        <v>19</v>
      </c>
      <c r="B18" s="2" t="s">
        <v>1961</v>
      </c>
      <c r="C18" s="2" t="s">
        <v>1983</v>
      </c>
      <c r="D18" s="2" t="s">
        <v>1985</v>
      </c>
      <c r="E18" s="2">
        <v>7</v>
      </c>
      <c r="F18" s="2">
        <v>380</v>
      </c>
    </row>
    <row r="19" spans="1:6" x14ac:dyDescent="0.25">
      <c r="A19" s="4" t="s">
        <v>19</v>
      </c>
      <c r="B19" s="2" t="s">
        <v>1961</v>
      </c>
      <c r="C19" s="2" t="s">
        <v>2090</v>
      </c>
      <c r="D19" s="2" t="s">
        <v>1985</v>
      </c>
      <c r="E19" s="2">
        <v>4</v>
      </c>
      <c r="F19" s="2">
        <v>380</v>
      </c>
    </row>
    <row r="20" spans="1:6" x14ac:dyDescent="0.25">
      <c r="A20" s="4" t="s">
        <v>19</v>
      </c>
      <c r="B20" s="2" t="s">
        <v>2374</v>
      </c>
      <c r="C20" s="2" t="s">
        <v>2521</v>
      </c>
      <c r="D20" s="2" t="s">
        <v>1985</v>
      </c>
      <c r="E20" s="2">
        <v>2</v>
      </c>
      <c r="F20" s="2">
        <v>417</v>
      </c>
    </row>
    <row r="21" spans="1:6" x14ac:dyDescent="0.25">
      <c r="A21" s="4" t="s">
        <v>19</v>
      </c>
      <c r="B21" s="2" t="s">
        <v>2374</v>
      </c>
      <c r="C21" s="2" t="s">
        <v>2393</v>
      </c>
      <c r="D21" s="2" t="s">
        <v>1985</v>
      </c>
      <c r="E21" s="2">
        <v>4</v>
      </c>
      <c r="F21" s="2">
        <v>417</v>
      </c>
    </row>
    <row r="22" spans="1:6" x14ac:dyDescent="0.25">
      <c r="A22" s="4" t="s">
        <v>19</v>
      </c>
      <c r="B22" s="2" t="s">
        <v>2374</v>
      </c>
      <c r="C22" s="2" t="s">
        <v>2492</v>
      </c>
      <c r="D22" s="2" t="s">
        <v>1985</v>
      </c>
      <c r="E22" s="2">
        <v>1</v>
      </c>
      <c r="F22" s="2">
        <v>417</v>
      </c>
    </row>
    <row r="23" spans="1:6" x14ac:dyDescent="0.25">
      <c r="A23" s="4" t="s">
        <v>19</v>
      </c>
      <c r="B23" s="2" t="s">
        <v>2374</v>
      </c>
      <c r="C23" s="2" t="s">
        <v>2434</v>
      </c>
      <c r="D23" s="2" t="s">
        <v>1985</v>
      </c>
      <c r="E23" s="2">
        <v>4</v>
      </c>
      <c r="F23" s="2">
        <v>417</v>
      </c>
    </row>
    <row r="24" spans="1:6" x14ac:dyDescent="0.25">
      <c r="A24" s="4" t="s">
        <v>19</v>
      </c>
      <c r="B24" s="2" t="s">
        <v>2374</v>
      </c>
      <c r="C24" s="2" t="s">
        <v>2577</v>
      </c>
      <c r="D24" s="2" t="s">
        <v>1985</v>
      </c>
      <c r="E24" s="2">
        <v>3</v>
      </c>
      <c r="F24" s="2">
        <v>417</v>
      </c>
    </row>
    <row r="25" spans="1:6" x14ac:dyDescent="0.25">
      <c r="A25" s="4" t="s">
        <v>19</v>
      </c>
      <c r="B25" s="2" t="s">
        <v>2374</v>
      </c>
      <c r="C25" s="2" t="s">
        <v>2581</v>
      </c>
      <c r="D25" s="2" t="s">
        <v>1985</v>
      </c>
      <c r="E25" s="2">
        <v>1</v>
      </c>
      <c r="F25" s="2">
        <v>417</v>
      </c>
    </row>
    <row r="26" spans="1:6" x14ac:dyDescent="0.25">
      <c r="A26" s="4" t="s">
        <v>19</v>
      </c>
      <c r="B26" s="2" t="s">
        <v>2374</v>
      </c>
      <c r="C26" s="2" t="s">
        <v>2469</v>
      </c>
      <c r="D26" s="2" t="s">
        <v>1985</v>
      </c>
      <c r="E26" s="2">
        <v>2</v>
      </c>
      <c r="F26" s="2">
        <v>417</v>
      </c>
    </row>
    <row r="27" spans="1:6" x14ac:dyDescent="0.25">
      <c r="A27" s="4" t="s">
        <v>19</v>
      </c>
      <c r="B27" s="2" t="s">
        <v>2374</v>
      </c>
      <c r="C27" s="2" t="s">
        <v>2480</v>
      </c>
      <c r="D27" s="2" t="s">
        <v>1985</v>
      </c>
      <c r="E27" s="2">
        <v>1</v>
      </c>
      <c r="F27" s="2">
        <v>417</v>
      </c>
    </row>
    <row r="28" spans="1:6" x14ac:dyDescent="0.25">
      <c r="A28" s="4" t="s">
        <v>19</v>
      </c>
      <c r="B28" s="2" t="s">
        <v>1961</v>
      </c>
      <c r="C28" s="2" t="s">
        <v>2258</v>
      </c>
      <c r="D28" s="2" t="s">
        <v>1969</v>
      </c>
      <c r="E28" s="2">
        <v>1</v>
      </c>
      <c r="F28" s="2">
        <v>380</v>
      </c>
    </row>
    <row r="29" spans="1:6" x14ac:dyDescent="0.25">
      <c r="A29" s="4" t="s">
        <v>19</v>
      </c>
      <c r="B29" s="2" t="s">
        <v>1961</v>
      </c>
      <c r="C29" s="2" t="s">
        <v>2217</v>
      </c>
      <c r="D29" s="2" t="s">
        <v>1969</v>
      </c>
      <c r="E29" s="2">
        <v>1</v>
      </c>
      <c r="F29" s="2">
        <v>380</v>
      </c>
    </row>
    <row r="30" spans="1:6" x14ac:dyDescent="0.25">
      <c r="A30" s="4" t="s">
        <v>19</v>
      </c>
      <c r="B30" s="2" t="s">
        <v>1961</v>
      </c>
      <c r="C30" s="2" t="s">
        <v>2309</v>
      </c>
      <c r="D30" s="2" t="s">
        <v>1969</v>
      </c>
      <c r="E30" s="2">
        <v>1</v>
      </c>
      <c r="F30" s="2">
        <v>380</v>
      </c>
    </row>
    <row r="31" spans="1:6" x14ac:dyDescent="0.25">
      <c r="A31" s="4" t="s">
        <v>19</v>
      </c>
      <c r="B31" s="2" t="s">
        <v>1961</v>
      </c>
      <c r="C31" s="2" t="s">
        <v>2277</v>
      </c>
      <c r="D31" s="2" t="s">
        <v>1969</v>
      </c>
      <c r="E31" s="2">
        <v>1</v>
      </c>
      <c r="F31" s="2">
        <v>380</v>
      </c>
    </row>
    <row r="32" spans="1:6" x14ac:dyDescent="0.25">
      <c r="A32" s="4" t="s">
        <v>19</v>
      </c>
      <c r="B32" s="2" t="s">
        <v>1961</v>
      </c>
      <c r="C32" s="2" t="s">
        <v>1997</v>
      </c>
      <c r="D32" s="2" t="s">
        <v>1969</v>
      </c>
      <c r="E32" s="2">
        <v>1</v>
      </c>
      <c r="F32" s="2">
        <v>380</v>
      </c>
    </row>
    <row r="33" spans="1:6" x14ac:dyDescent="0.25">
      <c r="A33" s="4" t="s">
        <v>19</v>
      </c>
      <c r="B33" s="2" t="s">
        <v>1961</v>
      </c>
      <c r="C33" s="2" t="s">
        <v>2014</v>
      </c>
      <c r="D33" s="2" t="s">
        <v>1969</v>
      </c>
      <c r="E33" s="2">
        <v>2</v>
      </c>
      <c r="F33" s="2">
        <v>380</v>
      </c>
    </row>
    <row r="34" spans="1:6" x14ac:dyDescent="0.25">
      <c r="A34" s="4" t="s">
        <v>19</v>
      </c>
      <c r="B34" s="2" t="s">
        <v>1961</v>
      </c>
      <c r="C34" s="2" t="s">
        <v>2055</v>
      </c>
      <c r="D34" s="2" t="s">
        <v>1969</v>
      </c>
      <c r="E34" s="2">
        <v>1</v>
      </c>
      <c r="F34" s="2">
        <v>380</v>
      </c>
    </row>
    <row r="35" spans="1:6" x14ac:dyDescent="0.25">
      <c r="A35" s="4" t="s">
        <v>19</v>
      </c>
      <c r="B35" s="2" t="s">
        <v>1961</v>
      </c>
      <c r="C35" s="2" t="s">
        <v>2032</v>
      </c>
      <c r="D35" s="2" t="s">
        <v>1969</v>
      </c>
      <c r="E35" s="2">
        <v>2</v>
      </c>
      <c r="F35" s="2">
        <v>380</v>
      </c>
    </row>
    <row r="36" spans="1:6" x14ac:dyDescent="0.25">
      <c r="A36" s="4" t="s">
        <v>19</v>
      </c>
      <c r="B36" s="2" t="s">
        <v>1961</v>
      </c>
      <c r="C36" s="2" t="s">
        <v>2209</v>
      </c>
      <c r="D36" s="2" t="s">
        <v>1969</v>
      </c>
      <c r="E36" s="2">
        <v>1</v>
      </c>
      <c r="F36" s="2">
        <v>380</v>
      </c>
    </row>
    <row r="37" spans="1:6" x14ac:dyDescent="0.25">
      <c r="A37" s="4" t="s">
        <v>19</v>
      </c>
      <c r="B37" s="2" t="s">
        <v>1961</v>
      </c>
      <c r="C37" s="2" t="s">
        <v>2051</v>
      </c>
      <c r="D37" s="2" t="s">
        <v>1969</v>
      </c>
      <c r="E37" s="2">
        <v>2</v>
      </c>
      <c r="F37" s="2">
        <v>380</v>
      </c>
    </row>
    <row r="38" spans="1:6" x14ac:dyDescent="0.25">
      <c r="A38" s="4" t="s">
        <v>19</v>
      </c>
      <c r="B38" s="2" t="s">
        <v>1961</v>
      </c>
      <c r="C38" s="2" t="s">
        <v>2180</v>
      </c>
      <c r="D38" s="2" t="s">
        <v>1969</v>
      </c>
      <c r="E38" s="2">
        <v>1</v>
      </c>
      <c r="F38" s="2">
        <v>380</v>
      </c>
    </row>
    <row r="39" spans="1:6" x14ac:dyDescent="0.25">
      <c r="A39" s="4" t="s">
        <v>19</v>
      </c>
      <c r="B39" s="2" t="s">
        <v>1961</v>
      </c>
      <c r="C39" s="2" t="s">
        <v>2171</v>
      </c>
      <c r="D39" s="2" t="s">
        <v>1969</v>
      </c>
      <c r="E39" s="2">
        <v>1</v>
      </c>
      <c r="F39" s="2">
        <v>380</v>
      </c>
    </row>
    <row r="40" spans="1:6" x14ac:dyDescent="0.25">
      <c r="A40" s="4" t="s">
        <v>19</v>
      </c>
      <c r="B40" s="2" t="s">
        <v>1961</v>
      </c>
      <c r="C40" s="2" t="s">
        <v>2238</v>
      </c>
      <c r="D40" s="2" t="s">
        <v>1969</v>
      </c>
      <c r="E40" s="2">
        <v>1</v>
      </c>
      <c r="F40" s="2">
        <v>380</v>
      </c>
    </row>
    <row r="41" spans="1:6" x14ac:dyDescent="0.25">
      <c r="A41" s="4" t="s">
        <v>19</v>
      </c>
      <c r="B41" s="2" t="s">
        <v>1961</v>
      </c>
      <c r="C41" s="2" t="s">
        <v>2267</v>
      </c>
      <c r="D41" s="2" t="s">
        <v>1969</v>
      </c>
      <c r="E41" s="2">
        <v>1</v>
      </c>
      <c r="F41" s="2">
        <v>380</v>
      </c>
    </row>
    <row r="42" spans="1:6" x14ac:dyDescent="0.25">
      <c r="A42" s="4" t="s">
        <v>19</v>
      </c>
      <c r="B42" s="2" t="s">
        <v>1961</v>
      </c>
      <c r="C42" s="2" t="s">
        <v>1967</v>
      </c>
      <c r="D42" s="2" t="s">
        <v>1969</v>
      </c>
      <c r="E42" s="2">
        <v>5</v>
      </c>
      <c r="F42" s="2">
        <v>380</v>
      </c>
    </row>
    <row r="43" spans="1:6" x14ac:dyDescent="0.25">
      <c r="A43" s="4" t="s">
        <v>19</v>
      </c>
      <c r="B43" s="2" t="s">
        <v>1961</v>
      </c>
      <c r="C43" s="2" t="s">
        <v>2332</v>
      </c>
      <c r="D43" s="2" t="s">
        <v>1969</v>
      </c>
      <c r="E43" s="2">
        <v>1</v>
      </c>
      <c r="F43" s="2">
        <v>380</v>
      </c>
    </row>
    <row r="44" spans="1:6" x14ac:dyDescent="0.25">
      <c r="A44" s="4" t="s">
        <v>19</v>
      </c>
      <c r="B44" s="2" t="s">
        <v>1961</v>
      </c>
      <c r="C44" s="2" t="s">
        <v>2072</v>
      </c>
      <c r="D44" s="2" t="s">
        <v>1969</v>
      </c>
      <c r="E44" s="2">
        <v>2</v>
      </c>
      <c r="F44" s="2">
        <v>380</v>
      </c>
    </row>
    <row r="45" spans="1:6" x14ac:dyDescent="0.25">
      <c r="A45" s="4" t="s">
        <v>19</v>
      </c>
      <c r="B45" s="2" t="s">
        <v>1961</v>
      </c>
      <c r="C45" s="2" t="s">
        <v>2353</v>
      </c>
      <c r="D45" s="2" t="s">
        <v>1969</v>
      </c>
      <c r="E45" s="2">
        <v>1</v>
      </c>
      <c r="F45" s="2">
        <v>380</v>
      </c>
    </row>
    <row r="46" spans="1:6" x14ac:dyDescent="0.25">
      <c r="A46" s="4" t="s">
        <v>19</v>
      </c>
      <c r="B46" s="2" t="s">
        <v>1961</v>
      </c>
      <c r="C46" s="2" t="s">
        <v>2027</v>
      </c>
      <c r="D46" s="2" t="s">
        <v>1969</v>
      </c>
      <c r="E46" s="2">
        <v>5</v>
      </c>
      <c r="F46" s="2">
        <v>380</v>
      </c>
    </row>
    <row r="47" spans="1:6" x14ac:dyDescent="0.25">
      <c r="A47" s="4" t="s">
        <v>19</v>
      </c>
      <c r="B47" s="2" t="s">
        <v>1961</v>
      </c>
      <c r="C47" s="2" t="s">
        <v>2059</v>
      </c>
      <c r="D47" s="2" t="s">
        <v>1969</v>
      </c>
      <c r="E47" s="2">
        <v>2</v>
      </c>
      <c r="F47" s="2">
        <v>380</v>
      </c>
    </row>
    <row r="48" spans="1:6" x14ac:dyDescent="0.25">
      <c r="A48" s="4" t="s">
        <v>19</v>
      </c>
      <c r="B48" s="2" t="s">
        <v>1961</v>
      </c>
      <c r="C48" s="2" t="s">
        <v>2254</v>
      </c>
      <c r="D48" s="2" t="s">
        <v>1969</v>
      </c>
      <c r="E48" s="2">
        <v>1</v>
      </c>
      <c r="F48" s="2">
        <v>380</v>
      </c>
    </row>
    <row r="49" spans="1:6" x14ac:dyDescent="0.25">
      <c r="A49" s="4" t="s">
        <v>19</v>
      </c>
      <c r="B49" s="2" t="s">
        <v>1961</v>
      </c>
      <c r="C49" s="2" t="s">
        <v>2298</v>
      </c>
      <c r="D49" s="2" t="s">
        <v>1969</v>
      </c>
      <c r="E49" s="2">
        <v>1</v>
      </c>
      <c r="F49" s="2">
        <v>380</v>
      </c>
    </row>
    <row r="50" spans="1:6" x14ac:dyDescent="0.25">
      <c r="A50" s="4" t="s">
        <v>19</v>
      </c>
      <c r="B50" s="2" t="s">
        <v>1961</v>
      </c>
      <c r="C50" s="2" t="s">
        <v>2339</v>
      </c>
      <c r="D50" s="2" t="s">
        <v>1969</v>
      </c>
      <c r="E50" s="2">
        <v>1</v>
      </c>
      <c r="F50" s="2">
        <v>380</v>
      </c>
    </row>
    <row r="51" spans="1:6" x14ac:dyDescent="0.25">
      <c r="A51" s="4" t="s">
        <v>19</v>
      </c>
      <c r="B51" s="2" t="s">
        <v>1961</v>
      </c>
      <c r="C51" s="2" t="s">
        <v>2194</v>
      </c>
      <c r="D51" s="2" t="s">
        <v>1969</v>
      </c>
      <c r="E51" s="2">
        <v>1</v>
      </c>
      <c r="F51" s="2">
        <v>380</v>
      </c>
    </row>
    <row r="52" spans="1:6" x14ac:dyDescent="0.25">
      <c r="A52" s="4" t="s">
        <v>19</v>
      </c>
      <c r="B52" s="2" t="s">
        <v>1961</v>
      </c>
      <c r="C52" s="2" t="s">
        <v>2063</v>
      </c>
      <c r="D52" s="2" t="s">
        <v>1969</v>
      </c>
      <c r="E52" s="2">
        <v>2</v>
      </c>
      <c r="F52" s="2">
        <v>380</v>
      </c>
    </row>
    <row r="53" spans="1:6" x14ac:dyDescent="0.25">
      <c r="A53" s="4" t="s">
        <v>19</v>
      </c>
      <c r="B53" s="2" t="s">
        <v>1961</v>
      </c>
      <c r="C53" s="2" t="s">
        <v>2095</v>
      </c>
      <c r="D53" s="2" t="s">
        <v>1969</v>
      </c>
      <c r="E53" s="2">
        <v>3</v>
      </c>
      <c r="F53" s="2">
        <v>380</v>
      </c>
    </row>
    <row r="54" spans="1:6" x14ac:dyDescent="0.25">
      <c r="A54" s="4" t="s">
        <v>19</v>
      </c>
      <c r="B54" s="2" t="s">
        <v>1961</v>
      </c>
      <c r="C54" s="2" t="s">
        <v>2067</v>
      </c>
      <c r="D54" s="2" t="s">
        <v>1969</v>
      </c>
      <c r="E54" s="2">
        <v>2</v>
      </c>
      <c r="F54" s="2">
        <v>380</v>
      </c>
    </row>
    <row r="55" spans="1:6" x14ac:dyDescent="0.25">
      <c r="A55" s="4" t="s">
        <v>19</v>
      </c>
      <c r="B55" s="2" t="s">
        <v>1961</v>
      </c>
      <c r="C55" s="2" t="s">
        <v>2116</v>
      </c>
      <c r="D55" s="2" t="s">
        <v>1969</v>
      </c>
      <c r="E55" s="2">
        <v>1</v>
      </c>
      <c r="F55" s="2">
        <v>380</v>
      </c>
    </row>
    <row r="56" spans="1:6" x14ac:dyDescent="0.25">
      <c r="A56" s="4" t="s">
        <v>19</v>
      </c>
      <c r="B56" s="2" t="s">
        <v>1961</v>
      </c>
      <c r="C56" s="2" t="s">
        <v>2022</v>
      </c>
      <c r="D56" s="2" t="s">
        <v>1969</v>
      </c>
      <c r="E56" s="2">
        <v>1</v>
      </c>
      <c r="F56" s="2">
        <v>380</v>
      </c>
    </row>
    <row r="57" spans="1:6" x14ac:dyDescent="0.25">
      <c r="A57" s="4" t="s">
        <v>19</v>
      </c>
      <c r="B57" s="2" t="s">
        <v>1961</v>
      </c>
      <c r="C57" s="2" t="s">
        <v>2112</v>
      </c>
      <c r="D57" s="2" t="s">
        <v>1969</v>
      </c>
      <c r="E57" s="2">
        <v>1</v>
      </c>
      <c r="F57" s="2">
        <v>380</v>
      </c>
    </row>
    <row r="58" spans="1:6" x14ac:dyDescent="0.25">
      <c r="A58" s="4" t="s">
        <v>19</v>
      </c>
      <c r="B58" s="2" t="s">
        <v>1961</v>
      </c>
      <c r="C58" s="2" t="s">
        <v>2223</v>
      </c>
      <c r="D58" s="2" t="s">
        <v>1969</v>
      </c>
      <c r="E58" s="2">
        <v>3</v>
      </c>
      <c r="F58" s="2">
        <v>380</v>
      </c>
    </row>
    <row r="59" spans="1:6" x14ac:dyDescent="0.25">
      <c r="A59" s="4" t="s">
        <v>19</v>
      </c>
      <c r="B59" s="2" t="s">
        <v>1961</v>
      </c>
      <c r="C59" s="2" t="s">
        <v>2246</v>
      </c>
      <c r="D59" s="2" t="s">
        <v>1969</v>
      </c>
      <c r="E59" s="2">
        <v>1</v>
      </c>
      <c r="F59" s="2">
        <v>380</v>
      </c>
    </row>
    <row r="60" spans="1:6" x14ac:dyDescent="0.25">
      <c r="A60" s="4" t="s">
        <v>19</v>
      </c>
      <c r="B60" s="2" t="s">
        <v>1961</v>
      </c>
      <c r="C60" s="2" t="s">
        <v>2293</v>
      </c>
      <c r="D60" s="2" t="s">
        <v>1969</v>
      </c>
      <c r="E60" s="2">
        <v>1</v>
      </c>
      <c r="F60" s="2">
        <v>380</v>
      </c>
    </row>
    <row r="61" spans="1:6" x14ac:dyDescent="0.25">
      <c r="A61" s="4" t="s">
        <v>19</v>
      </c>
      <c r="B61" s="2" t="s">
        <v>1961</v>
      </c>
      <c r="C61" s="2" t="s">
        <v>2316</v>
      </c>
      <c r="D61" s="2" t="s">
        <v>1969</v>
      </c>
      <c r="E61" s="2">
        <v>1</v>
      </c>
      <c r="F61" s="2">
        <v>380</v>
      </c>
    </row>
    <row r="62" spans="1:6" x14ac:dyDescent="0.25">
      <c r="A62" s="4" t="s">
        <v>19</v>
      </c>
      <c r="B62" s="2" t="s">
        <v>1961</v>
      </c>
      <c r="C62" s="2" t="s">
        <v>2141</v>
      </c>
      <c r="D62" s="2" t="s">
        <v>1969</v>
      </c>
      <c r="E62" s="2">
        <v>2</v>
      </c>
      <c r="F62" s="2">
        <v>380</v>
      </c>
    </row>
    <row r="63" spans="1:6" x14ac:dyDescent="0.25">
      <c r="A63" s="4" t="s">
        <v>19</v>
      </c>
      <c r="B63" s="2" t="s">
        <v>1961</v>
      </c>
      <c r="C63" s="2" t="s">
        <v>1972</v>
      </c>
      <c r="D63" s="2" t="s">
        <v>1969</v>
      </c>
      <c r="E63" s="2">
        <v>1</v>
      </c>
      <c r="F63" s="2">
        <v>380</v>
      </c>
    </row>
    <row r="64" spans="1:6" x14ac:dyDescent="0.25">
      <c r="A64" s="4" t="s">
        <v>19</v>
      </c>
      <c r="B64" s="2" t="s">
        <v>1961</v>
      </c>
      <c r="C64" s="2" t="s">
        <v>1989</v>
      </c>
      <c r="D64" s="2" t="s">
        <v>1969</v>
      </c>
      <c r="E64" s="2">
        <v>3</v>
      </c>
      <c r="F64" s="2">
        <v>380</v>
      </c>
    </row>
    <row r="65" spans="1:6" x14ac:dyDescent="0.25">
      <c r="A65" s="4" t="s">
        <v>19</v>
      </c>
      <c r="B65" s="2" t="s">
        <v>1961</v>
      </c>
      <c r="C65" s="2" t="s">
        <v>2327</v>
      </c>
      <c r="D65" s="2" t="s">
        <v>1969</v>
      </c>
      <c r="E65" s="2">
        <v>1</v>
      </c>
      <c r="F65" s="2">
        <v>380</v>
      </c>
    </row>
    <row r="66" spans="1:6" x14ac:dyDescent="0.25">
      <c r="A66" s="4" t="s">
        <v>19</v>
      </c>
      <c r="B66" s="2" t="s">
        <v>1961</v>
      </c>
      <c r="C66" s="2" t="s">
        <v>2362</v>
      </c>
      <c r="D66" s="2" t="s">
        <v>1969</v>
      </c>
      <c r="E66" s="2">
        <v>1</v>
      </c>
      <c r="F66" s="2">
        <v>380</v>
      </c>
    </row>
    <row r="67" spans="1:6" x14ac:dyDescent="0.25">
      <c r="A67" s="4" t="s">
        <v>19</v>
      </c>
      <c r="B67" s="2" t="s">
        <v>1961</v>
      </c>
      <c r="C67" s="2" t="s">
        <v>2150</v>
      </c>
      <c r="D67" s="2" t="s">
        <v>1969</v>
      </c>
      <c r="E67" s="2">
        <v>2</v>
      </c>
      <c r="F67" s="2">
        <v>380</v>
      </c>
    </row>
    <row r="68" spans="1:6" x14ac:dyDescent="0.25">
      <c r="A68" s="4" t="s">
        <v>19</v>
      </c>
      <c r="B68" s="2" t="s">
        <v>1961</v>
      </c>
      <c r="C68" s="2" t="s">
        <v>2349</v>
      </c>
      <c r="D68" s="2" t="s">
        <v>1969</v>
      </c>
      <c r="E68" s="2">
        <v>1</v>
      </c>
      <c r="F68" s="2">
        <v>380</v>
      </c>
    </row>
    <row r="69" spans="1:6" x14ac:dyDescent="0.25">
      <c r="A69" s="4" t="s">
        <v>19</v>
      </c>
      <c r="B69" s="2" t="s">
        <v>1961</v>
      </c>
      <c r="C69" s="2" t="s">
        <v>2036</v>
      </c>
      <c r="D69" s="2" t="s">
        <v>1969</v>
      </c>
      <c r="E69" s="2">
        <v>1</v>
      </c>
      <c r="F69" s="2">
        <v>380</v>
      </c>
    </row>
    <row r="70" spans="1:6" x14ac:dyDescent="0.25">
      <c r="A70" s="4" t="s">
        <v>19</v>
      </c>
      <c r="B70" s="2" t="s">
        <v>1961</v>
      </c>
      <c r="C70" s="2" t="s">
        <v>2176</v>
      </c>
      <c r="D70" s="2" t="s">
        <v>1969</v>
      </c>
      <c r="E70" s="2">
        <v>1</v>
      </c>
      <c r="F70" s="2">
        <v>380</v>
      </c>
    </row>
    <row r="71" spans="1:6" x14ac:dyDescent="0.25">
      <c r="A71" s="4" t="s">
        <v>19</v>
      </c>
      <c r="B71" s="2" t="s">
        <v>1961</v>
      </c>
      <c r="C71" s="2" t="s">
        <v>2366</v>
      </c>
      <c r="D71" s="2" t="s">
        <v>1969</v>
      </c>
      <c r="E71" s="2">
        <v>1</v>
      </c>
      <c r="F71" s="2">
        <v>380</v>
      </c>
    </row>
    <row r="72" spans="1:6" x14ac:dyDescent="0.25">
      <c r="A72" s="4" t="s">
        <v>19</v>
      </c>
      <c r="B72" s="2" t="s">
        <v>1961</v>
      </c>
      <c r="C72" s="2" t="s">
        <v>2263</v>
      </c>
      <c r="D72" s="2" t="s">
        <v>1969</v>
      </c>
      <c r="E72" s="2">
        <v>1</v>
      </c>
      <c r="F72" s="2">
        <v>380</v>
      </c>
    </row>
    <row r="73" spans="1:6" x14ac:dyDescent="0.25">
      <c r="A73" s="4" t="s">
        <v>19</v>
      </c>
      <c r="B73" s="2" t="s">
        <v>1961</v>
      </c>
      <c r="C73" s="2" t="s">
        <v>2302</v>
      </c>
      <c r="D73" s="2" t="s">
        <v>1969</v>
      </c>
      <c r="E73" s="2">
        <v>1</v>
      </c>
      <c r="F73" s="2">
        <v>380</v>
      </c>
    </row>
    <row r="74" spans="1:6" x14ac:dyDescent="0.25">
      <c r="A74" s="4" t="s">
        <v>19</v>
      </c>
      <c r="B74" s="2" t="s">
        <v>1961</v>
      </c>
      <c r="C74" s="2" t="s">
        <v>2154</v>
      </c>
      <c r="D74" s="2" t="s">
        <v>1969</v>
      </c>
      <c r="E74" s="2">
        <v>3</v>
      </c>
      <c r="F74" s="2">
        <v>380</v>
      </c>
    </row>
    <row r="75" spans="1:6" x14ac:dyDescent="0.25">
      <c r="A75" s="4" t="s">
        <v>19</v>
      </c>
      <c r="B75" s="2" t="s">
        <v>1961</v>
      </c>
      <c r="C75" s="2" t="s">
        <v>2370</v>
      </c>
      <c r="D75" s="2" t="s">
        <v>1969</v>
      </c>
      <c r="E75" s="2">
        <v>1</v>
      </c>
      <c r="F75" s="2">
        <v>380</v>
      </c>
    </row>
    <row r="76" spans="1:6" x14ac:dyDescent="0.25">
      <c r="A76" s="4" t="s">
        <v>19</v>
      </c>
      <c r="B76" s="2" t="s">
        <v>1961</v>
      </c>
      <c r="C76" s="2" t="s">
        <v>2018</v>
      </c>
      <c r="D76" s="2" t="s">
        <v>1969</v>
      </c>
      <c r="E76" s="2">
        <v>1</v>
      </c>
      <c r="F76" s="2">
        <v>380</v>
      </c>
    </row>
    <row r="77" spans="1:6" x14ac:dyDescent="0.25">
      <c r="A77" s="4" t="s">
        <v>19</v>
      </c>
      <c r="B77" s="2" t="s">
        <v>1961</v>
      </c>
      <c r="C77" s="2" t="s">
        <v>2184</v>
      </c>
      <c r="D77" s="2" t="s">
        <v>1969</v>
      </c>
      <c r="E77" s="2">
        <v>1</v>
      </c>
      <c r="F77" s="2">
        <v>380</v>
      </c>
    </row>
    <row r="78" spans="1:6" x14ac:dyDescent="0.25">
      <c r="A78" s="4" t="s">
        <v>19</v>
      </c>
      <c r="B78" s="2" t="s">
        <v>1961</v>
      </c>
      <c r="C78" s="2" t="s">
        <v>2080</v>
      </c>
      <c r="D78" s="2" t="s">
        <v>1969</v>
      </c>
      <c r="E78" s="2">
        <v>1</v>
      </c>
      <c r="F78" s="2">
        <v>380</v>
      </c>
    </row>
    <row r="79" spans="1:6" x14ac:dyDescent="0.25">
      <c r="A79" s="4" t="s">
        <v>19</v>
      </c>
      <c r="B79" s="2" t="s">
        <v>1961</v>
      </c>
      <c r="C79" s="2" t="s">
        <v>2133</v>
      </c>
      <c r="D79" s="2" t="s">
        <v>1969</v>
      </c>
      <c r="E79" s="2">
        <v>1</v>
      </c>
      <c r="F79" s="2">
        <v>380</v>
      </c>
    </row>
    <row r="80" spans="1:6" x14ac:dyDescent="0.25">
      <c r="A80" s="4" t="s">
        <v>19</v>
      </c>
      <c r="B80" s="2" t="s">
        <v>1961</v>
      </c>
      <c r="C80" s="2" t="s">
        <v>2204</v>
      </c>
      <c r="D80" s="2" t="s">
        <v>1969</v>
      </c>
      <c r="E80" s="2">
        <v>3</v>
      </c>
      <c r="F80" s="2">
        <v>380</v>
      </c>
    </row>
    <row r="81" spans="1:6" x14ac:dyDescent="0.25">
      <c r="A81" s="4" t="s">
        <v>19</v>
      </c>
      <c r="B81" s="2" t="s">
        <v>1961</v>
      </c>
      <c r="C81" s="2" t="s">
        <v>394</v>
      </c>
      <c r="D81" s="2" t="s">
        <v>1969</v>
      </c>
      <c r="E81" s="2">
        <v>1</v>
      </c>
      <c r="F81" s="2">
        <v>380</v>
      </c>
    </row>
    <row r="82" spans="1:6" x14ac:dyDescent="0.25">
      <c r="A82" s="4" t="s">
        <v>19</v>
      </c>
      <c r="B82" s="2" t="s">
        <v>2374</v>
      </c>
      <c r="C82" s="2" t="s">
        <v>2631</v>
      </c>
      <c r="D82" s="2" t="s">
        <v>1969</v>
      </c>
      <c r="E82" s="2">
        <v>1</v>
      </c>
      <c r="F82" s="2">
        <v>417</v>
      </c>
    </row>
    <row r="83" spans="1:6" x14ac:dyDescent="0.25">
      <c r="A83" s="4" t="s">
        <v>19</v>
      </c>
      <c r="B83" s="2" t="s">
        <v>2374</v>
      </c>
      <c r="C83" s="2" t="s">
        <v>2416</v>
      </c>
      <c r="D83" s="2" t="s">
        <v>1969</v>
      </c>
      <c r="E83" s="2">
        <v>3</v>
      </c>
      <c r="F83" s="2">
        <v>417</v>
      </c>
    </row>
    <row r="84" spans="1:6" x14ac:dyDescent="0.25">
      <c r="A84" s="4" t="s">
        <v>19</v>
      </c>
      <c r="B84" s="2" t="s">
        <v>2374</v>
      </c>
      <c r="C84" s="2" t="s">
        <v>2424</v>
      </c>
      <c r="D84" s="2" t="s">
        <v>1969</v>
      </c>
      <c r="E84" s="2">
        <v>2</v>
      </c>
      <c r="F84" s="2">
        <v>417</v>
      </c>
    </row>
    <row r="85" spans="1:6" x14ac:dyDescent="0.25">
      <c r="A85" s="4" t="s">
        <v>19</v>
      </c>
      <c r="B85" s="2" t="s">
        <v>2374</v>
      </c>
      <c r="C85" s="2" t="s">
        <v>2420</v>
      </c>
      <c r="D85" s="2" t="s">
        <v>1969</v>
      </c>
      <c r="E85" s="2">
        <v>1</v>
      </c>
      <c r="F85" s="2">
        <v>417</v>
      </c>
    </row>
    <row r="86" spans="1:6" x14ac:dyDescent="0.25">
      <c r="A86" s="4" t="s">
        <v>19</v>
      </c>
      <c r="B86" s="2" t="s">
        <v>2374</v>
      </c>
      <c r="C86" s="2" t="s">
        <v>2381</v>
      </c>
      <c r="D86" s="2" t="s">
        <v>1969</v>
      </c>
      <c r="E86" s="2">
        <v>1</v>
      </c>
      <c r="F86" s="2">
        <v>417</v>
      </c>
    </row>
    <row r="87" spans="1:6" x14ac:dyDescent="0.25">
      <c r="A87" s="4" t="s">
        <v>19</v>
      </c>
      <c r="B87" s="2" t="s">
        <v>2374</v>
      </c>
      <c r="C87" s="2" t="s">
        <v>2461</v>
      </c>
      <c r="D87" s="2" t="s">
        <v>1969</v>
      </c>
      <c r="E87" s="2">
        <v>1</v>
      </c>
      <c r="F87" s="2">
        <v>417</v>
      </c>
    </row>
    <row r="88" spans="1:6" x14ac:dyDescent="0.25">
      <c r="A88" s="4" t="s">
        <v>19</v>
      </c>
      <c r="B88" s="2" t="s">
        <v>2374</v>
      </c>
      <c r="C88" s="2" t="s">
        <v>2646</v>
      </c>
      <c r="D88" s="2" t="s">
        <v>1969</v>
      </c>
      <c r="E88" s="2">
        <v>1</v>
      </c>
      <c r="F88" s="2">
        <v>417</v>
      </c>
    </row>
    <row r="89" spans="1:6" x14ac:dyDescent="0.25">
      <c r="A89" s="4" t="s">
        <v>19</v>
      </c>
      <c r="B89" s="2" t="s">
        <v>2374</v>
      </c>
      <c r="C89" s="2" t="s">
        <v>2600</v>
      </c>
      <c r="D89" s="2" t="s">
        <v>1969</v>
      </c>
      <c r="E89" s="2">
        <v>1</v>
      </c>
      <c r="F89" s="2">
        <v>417</v>
      </c>
    </row>
    <row r="90" spans="1:6" x14ac:dyDescent="0.25">
      <c r="A90" s="4" t="s">
        <v>19</v>
      </c>
      <c r="B90" s="2" t="s">
        <v>2374</v>
      </c>
      <c r="C90" s="2" t="s">
        <v>2473</v>
      </c>
      <c r="D90" s="2" t="s">
        <v>1969</v>
      </c>
      <c r="E90" s="2">
        <v>1</v>
      </c>
      <c r="F90" s="2">
        <v>417</v>
      </c>
    </row>
    <row r="91" spans="1:6" x14ac:dyDescent="0.25">
      <c r="A91" s="4" t="s">
        <v>19</v>
      </c>
      <c r="B91" s="2" t="s">
        <v>2374</v>
      </c>
      <c r="C91" s="2" t="s">
        <v>2639</v>
      </c>
      <c r="D91" s="2" t="s">
        <v>1969</v>
      </c>
      <c r="E91" s="2">
        <v>1</v>
      </c>
      <c r="F91" s="2">
        <v>417</v>
      </c>
    </row>
    <row r="92" spans="1:6" x14ac:dyDescent="0.25">
      <c r="A92" s="4" t="s">
        <v>19</v>
      </c>
      <c r="B92" s="2" t="s">
        <v>2374</v>
      </c>
      <c r="C92" s="2" t="s">
        <v>2500</v>
      </c>
      <c r="D92" s="2" t="s">
        <v>1969</v>
      </c>
      <c r="E92" s="2">
        <v>1</v>
      </c>
      <c r="F92" s="2">
        <v>417</v>
      </c>
    </row>
    <row r="93" spans="1:6" x14ac:dyDescent="0.25">
      <c r="A93" s="4" t="s">
        <v>19</v>
      </c>
      <c r="B93" s="2" t="s">
        <v>2374</v>
      </c>
      <c r="C93" s="2" t="s">
        <v>2530</v>
      </c>
      <c r="D93" s="2" t="s">
        <v>1969</v>
      </c>
      <c r="E93" s="2">
        <v>1</v>
      </c>
      <c r="F93" s="2">
        <v>417</v>
      </c>
    </row>
    <row r="94" spans="1:6" x14ac:dyDescent="0.25">
      <c r="A94" s="4" t="s">
        <v>19</v>
      </c>
      <c r="B94" s="2" t="s">
        <v>2374</v>
      </c>
      <c r="C94" s="2" t="s">
        <v>2525</v>
      </c>
      <c r="D94" s="2" t="s">
        <v>1969</v>
      </c>
      <c r="E94" s="2">
        <v>2</v>
      </c>
      <c r="F94" s="2">
        <v>417</v>
      </c>
    </row>
    <row r="95" spans="1:6" x14ac:dyDescent="0.25">
      <c r="A95" s="4" t="s">
        <v>19</v>
      </c>
      <c r="B95" s="2" t="s">
        <v>2374</v>
      </c>
      <c r="C95" s="2" t="s">
        <v>2439</v>
      </c>
      <c r="D95" s="2" t="s">
        <v>1969</v>
      </c>
      <c r="E95" s="2">
        <v>1</v>
      </c>
      <c r="F95" s="2">
        <v>417</v>
      </c>
    </row>
    <row r="96" spans="1:6" x14ac:dyDescent="0.25">
      <c r="A96" s="4" t="s">
        <v>19</v>
      </c>
      <c r="B96" s="2" t="s">
        <v>2374</v>
      </c>
      <c r="C96" s="2" t="s">
        <v>2538</v>
      </c>
      <c r="D96" s="2" t="s">
        <v>1969</v>
      </c>
      <c r="E96" s="2">
        <v>1</v>
      </c>
      <c r="F96" s="2">
        <v>417</v>
      </c>
    </row>
    <row r="97" spans="1:6" x14ac:dyDescent="0.25">
      <c r="A97" s="4" t="s">
        <v>19</v>
      </c>
      <c r="B97" s="2" t="s">
        <v>2374</v>
      </c>
      <c r="C97" s="2" t="s">
        <v>2557</v>
      </c>
      <c r="D97" s="2" t="s">
        <v>1969</v>
      </c>
      <c r="E97" s="2">
        <v>2</v>
      </c>
      <c r="F97" s="2">
        <v>417</v>
      </c>
    </row>
    <row r="98" spans="1:6" x14ac:dyDescent="0.25">
      <c r="A98" s="4" t="s">
        <v>19</v>
      </c>
      <c r="B98" s="2" t="s">
        <v>2374</v>
      </c>
      <c r="C98" s="2" t="s">
        <v>2444</v>
      </c>
      <c r="D98" s="2" t="s">
        <v>1969</v>
      </c>
      <c r="E98" s="2">
        <v>1</v>
      </c>
      <c r="F98" s="2">
        <v>417</v>
      </c>
    </row>
    <row r="99" spans="1:6" x14ac:dyDescent="0.25">
      <c r="A99" s="4" t="s">
        <v>19</v>
      </c>
      <c r="B99" s="2" t="s">
        <v>2374</v>
      </c>
      <c r="C99" s="2" t="s">
        <v>2405</v>
      </c>
      <c r="D99" s="2" t="s">
        <v>1969</v>
      </c>
      <c r="E99" s="2">
        <v>1</v>
      </c>
      <c r="F99" s="2">
        <v>417</v>
      </c>
    </row>
    <row r="100" spans="1:6" x14ac:dyDescent="0.25">
      <c r="A100" s="4" t="s">
        <v>19</v>
      </c>
      <c r="B100" s="2" t="s">
        <v>2374</v>
      </c>
      <c r="C100" s="2" t="s">
        <v>2488</v>
      </c>
      <c r="D100" s="2" t="s">
        <v>1969</v>
      </c>
      <c r="E100" s="2">
        <v>1</v>
      </c>
      <c r="F100" s="2">
        <v>417</v>
      </c>
    </row>
    <row r="101" spans="1:6" x14ac:dyDescent="0.25">
      <c r="A101" s="4" t="s">
        <v>19</v>
      </c>
      <c r="B101" s="2" t="s">
        <v>2374</v>
      </c>
      <c r="C101" s="2" t="s">
        <v>2398</v>
      </c>
      <c r="D101" s="2" t="s">
        <v>1969</v>
      </c>
      <c r="E101" s="2">
        <v>3</v>
      </c>
      <c r="F101" s="2">
        <v>417</v>
      </c>
    </row>
    <row r="102" spans="1:6" x14ac:dyDescent="0.25">
      <c r="A102" s="4" t="s">
        <v>19</v>
      </c>
      <c r="B102" s="2" t="s">
        <v>86</v>
      </c>
      <c r="C102" s="2" t="s">
        <v>183</v>
      </c>
      <c r="D102" s="2" t="s">
        <v>95</v>
      </c>
      <c r="E102" s="2">
        <v>1</v>
      </c>
      <c r="F102" s="2">
        <v>1023</v>
      </c>
    </row>
    <row r="103" spans="1:6" x14ac:dyDescent="0.25">
      <c r="A103" s="4" t="s">
        <v>19</v>
      </c>
      <c r="B103" s="2" t="s">
        <v>86</v>
      </c>
      <c r="C103" s="2" t="s">
        <v>147</v>
      </c>
      <c r="D103" s="2" t="s">
        <v>95</v>
      </c>
      <c r="E103" s="2">
        <v>1</v>
      </c>
      <c r="F103" s="2">
        <v>1023</v>
      </c>
    </row>
    <row r="104" spans="1:6" x14ac:dyDescent="0.25">
      <c r="A104" s="4" t="s">
        <v>19</v>
      </c>
      <c r="B104" s="2" t="s">
        <v>86</v>
      </c>
      <c r="C104" s="2" t="s">
        <v>196</v>
      </c>
      <c r="D104" s="2" t="s">
        <v>95</v>
      </c>
      <c r="E104" s="2">
        <v>1</v>
      </c>
      <c r="F104" s="2">
        <v>1023</v>
      </c>
    </row>
    <row r="105" spans="1:6" x14ac:dyDescent="0.25">
      <c r="A105" s="4" t="s">
        <v>19</v>
      </c>
      <c r="B105" s="2" t="s">
        <v>86</v>
      </c>
      <c r="C105" s="2" t="s">
        <v>163</v>
      </c>
      <c r="D105" s="2" t="s">
        <v>95</v>
      </c>
      <c r="E105" s="2">
        <v>1</v>
      </c>
      <c r="F105" s="2">
        <v>1023</v>
      </c>
    </row>
    <row r="106" spans="1:6" x14ac:dyDescent="0.25">
      <c r="A106" s="4" t="s">
        <v>19</v>
      </c>
      <c r="B106" s="2" t="s">
        <v>86</v>
      </c>
      <c r="C106" s="2" t="s">
        <v>210</v>
      </c>
      <c r="D106" s="2" t="s">
        <v>95</v>
      </c>
      <c r="E106" s="2">
        <v>1</v>
      </c>
      <c r="F106" s="2">
        <v>1023</v>
      </c>
    </row>
    <row r="107" spans="1:6" x14ac:dyDescent="0.25">
      <c r="A107" s="4" t="s">
        <v>19</v>
      </c>
      <c r="B107" s="2" t="s">
        <v>86</v>
      </c>
      <c r="C107" s="2" t="s">
        <v>188</v>
      </c>
      <c r="D107" s="2" t="s">
        <v>95</v>
      </c>
      <c r="E107" s="2">
        <v>1</v>
      </c>
      <c r="F107" s="2">
        <v>1023</v>
      </c>
    </row>
    <row r="108" spans="1:6" x14ac:dyDescent="0.25">
      <c r="A108" s="4" t="s">
        <v>19</v>
      </c>
      <c r="B108" s="2" t="s">
        <v>86</v>
      </c>
      <c r="C108" s="2" t="s">
        <v>205</v>
      </c>
      <c r="D108" s="2" t="s">
        <v>95</v>
      </c>
      <c r="E108" s="2">
        <v>1</v>
      </c>
      <c r="F108" s="2">
        <v>1023</v>
      </c>
    </row>
    <row r="109" spans="1:6" x14ac:dyDescent="0.25">
      <c r="A109" s="4" t="s">
        <v>19</v>
      </c>
      <c r="B109" s="2" t="s">
        <v>86</v>
      </c>
      <c r="C109" s="2" t="s">
        <v>137</v>
      </c>
      <c r="D109" s="2" t="s">
        <v>95</v>
      </c>
      <c r="E109" s="2">
        <v>1</v>
      </c>
      <c r="F109" s="2">
        <v>1023</v>
      </c>
    </row>
    <row r="110" spans="1:6" x14ac:dyDescent="0.25">
      <c r="A110" s="4" t="s">
        <v>19</v>
      </c>
      <c r="B110" s="2" t="s">
        <v>86</v>
      </c>
      <c r="C110" s="2" t="s">
        <v>142</v>
      </c>
      <c r="D110" s="2" t="s">
        <v>95</v>
      </c>
      <c r="E110" s="2">
        <v>1</v>
      </c>
      <c r="F110" s="2">
        <v>1023</v>
      </c>
    </row>
    <row r="111" spans="1:6" x14ac:dyDescent="0.25">
      <c r="A111" s="4" t="s">
        <v>19</v>
      </c>
      <c r="B111" s="2" t="s">
        <v>86</v>
      </c>
      <c r="C111" s="2" t="s">
        <v>171</v>
      </c>
      <c r="D111" s="2" t="s">
        <v>95</v>
      </c>
      <c r="E111" s="2">
        <v>1</v>
      </c>
      <c r="F111" s="2">
        <v>1023</v>
      </c>
    </row>
    <row r="112" spans="1:6" x14ac:dyDescent="0.25">
      <c r="A112" s="4" t="s">
        <v>19</v>
      </c>
      <c r="B112" s="2" t="s">
        <v>86</v>
      </c>
      <c r="C112" s="2" t="s">
        <v>109</v>
      </c>
      <c r="D112" s="2" t="s">
        <v>95</v>
      </c>
      <c r="E112" s="2">
        <v>2</v>
      </c>
      <c r="F112" s="2">
        <v>1023</v>
      </c>
    </row>
    <row r="113" spans="1:6" x14ac:dyDescent="0.25">
      <c r="A113" s="4" t="s">
        <v>19</v>
      </c>
      <c r="B113" s="2" t="s">
        <v>86</v>
      </c>
      <c r="C113" s="2" t="s">
        <v>223</v>
      </c>
      <c r="D113" s="2" t="s">
        <v>95</v>
      </c>
      <c r="E113" s="2">
        <v>1</v>
      </c>
      <c r="F113" s="2">
        <v>1023</v>
      </c>
    </row>
    <row r="114" spans="1:6" x14ac:dyDescent="0.25">
      <c r="A114" s="4" t="s">
        <v>19</v>
      </c>
      <c r="B114" s="2" t="s">
        <v>86</v>
      </c>
      <c r="C114" s="2" t="s">
        <v>92</v>
      </c>
      <c r="D114" s="2" t="s">
        <v>95</v>
      </c>
      <c r="E114" s="2">
        <v>2</v>
      </c>
      <c r="F114" s="2">
        <v>1023</v>
      </c>
    </row>
    <row r="115" spans="1:6" x14ac:dyDescent="0.25">
      <c r="A115" s="4" t="s">
        <v>1723</v>
      </c>
      <c r="B115" s="2" t="s">
        <v>1719</v>
      </c>
      <c r="C115" s="2" t="s">
        <v>1792</v>
      </c>
      <c r="D115" s="2" t="s">
        <v>20</v>
      </c>
      <c r="E115" s="2">
        <v>3</v>
      </c>
      <c r="F115" s="2">
        <v>7</v>
      </c>
    </row>
    <row r="116" spans="1:6" x14ac:dyDescent="0.25">
      <c r="A116" s="4" t="s">
        <v>1723</v>
      </c>
      <c r="B116" s="2" t="s">
        <v>1719</v>
      </c>
      <c r="C116" s="2" t="s">
        <v>1720</v>
      </c>
      <c r="D116" s="2" t="s">
        <v>20</v>
      </c>
      <c r="E116" s="2">
        <v>4</v>
      </c>
      <c r="F116" s="2">
        <v>7</v>
      </c>
    </row>
    <row r="117" spans="1:6" x14ac:dyDescent="0.25">
      <c r="A117" s="4" t="s">
        <v>1723</v>
      </c>
      <c r="B117" s="2" t="s">
        <v>1719</v>
      </c>
      <c r="C117" s="2" t="s">
        <v>1868</v>
      </c>
      <c r="D117" s="2" t="s">
        <v>95</v>
      </c>
      <c r="E117" s="2">
        <v>2</v>
      </c>
      <c r="F117" s="2">
        <v>7</v>
      </c>
    </row>
    <row r="118" spans="1:6" x14ac:dyDescent="0.25">
      <c r="A118" s="4" t="s">
        <v>1723</v>
      </c>
      <c r="B118" s="2" t="s">
        <v>1719</v>
      </c>
      <c r="C118" s="2" t="s">
        <v>1892</v>
      </c>
      <c r="D118" s="2" t="s">
        <v>95</v>
      </c>
      <c r="E118" s="2">
        <v>1</v>
      </c>
      <c r="F118" s="2">
        <v>7</v>
      </c>
    </row>
    <row r="119" spans="1:6" x14ac:dyDescent="0.25">
      <c r="A119" s="4" t="s">
        <v>1723</v>
      </c>
      <c r="B119" s="2" t="s">
        <v>1719</v>
      </c>
      <c r="C119" s="2" t="s">
        <v>1797</v>
      </c>
      <c r="D119" s="2" t="s">
        <v>95</v>
      </c>
      <c r="E119" s="2">
        <v>3</v>
      </c>
      <c r="F119" s="2">
        <v>7</v>
      </c>
    </row>
    <row r="120" spans="1:6" x14ac:dyDescent="0.25">
      <c r="A120" s="4" t="s">
        <v>1723</v>
      </c>
      <c r="B120" s="2" t="s">
        <v>1719</v>
      </c>
      <c r="C120" s="2" t="s">
        <v>1758</v>
      </c>
      <c r="D120" s="2" t="s">
        <v>95</v>
      </c>
      <c r="E120" s="2">
        <v>1</v>
      </c>
      <c r="F120" s="2">
        <v>7</v>
      </c>
    </row>
    <row r="121" spans="1:6" x14ac:dyDescent="0.25">
      <c r="A121" s="4" t="s">
        <v>1723</v>
      </c>
      <c r="B121" s="2" t="s">
        <v>1719</v>
      </c>
      <c r="C121" s="2" t="s">
        <v>1735</v>
      </c>
      <c r="D121" s="2" t="s">
        <v>95</v>
      </c>
      <c r="E121" s="2">
        <v>3</v>
      </c>
      <c r="F121" s="2">
        <v>7</v>
      </c>
    </row>
    <row r="122" spans="1:6" x14ac:dyDescent="0.25">
      <c r="A122" s="4" t="s">
        <v>1723</v>
      </c>
      <c r="B122" s="2" t="s">
        <v>1719</v>
      </c>
      <c r="C122" s="2" t="s">
        <v>1847</v>
      </c>
      <c r="D122" s="2" t="s">
        <v>95</v>
      </c>
      <c r="E122" s="2">
        <v>3</v>
      </c>
      <c r="F122" s="2">
        <v>7</v>
      </c>
    </row>
    <row r="123" spans="1:6" x14ac:dyDescent="0.25">
      <c r="A123" s="4" t="s">
        <v>1723</v>
      </c>
      <c r="B123" s="2" t="s">
        <v>1719</v>
      </c>
      <c r="C123" s="2" t="s">
        <v>1744</v>
      </c>
      <c r="D123" s="2" t="s">
        <v>95</v>
      </c>
      <c r="E123" s="2">
        <v>3</v>
      </c>
      <c r="F123" s="2">
        <v>7</v>
      </c>
    </row>
    <row r="124" spans="1:6" x14ac:dyDescent="0.25">
      <c r="A124" s="4" t="s">
        <v>1723</v>
      </c>
      <c r="B124" s="2" t="s">
        <v>1719</v>
      </c>
      <c r="C124" s="2" t="s">
        <v>1925</v>
      </c>
      <c r="D124" s="2" t="s">
        <v>95</v>
      </c>
      <c r="E124" s="2">
        <v>1</v>
      </c>
      <c r="F124" s="2">
        <v>7</v>
      </c>
    </row>
    <row r="125" spans="1:6" x14ac:dyDescent="0.25">
      <c r="A125" s="4" t="s">
        <v>1723</v>
      </c>
      <c r="B125" s="2" t="s">
        <v>1719</v>
      </c>
      <c r="C125" s="2" t="s">
        <v>1916</v>
      </c>
      <c r="D125" s="2" t="s">
        <v>95</v>
      </c>
      <c r="E125" s="2">
        <v>2</v>
      </c>
      <c r="F125" s="2">
        <v>7</v>
      </c>
    </row>
    <row r="126" spans="1:6" x14ac:dyDescent="0.25">
      <c r="A126" s="4" t="s">
        <v>1723</v>
      </c>
      <c r="B126" s="2" t="s">
        <v>1719</v>
      </c>
      <c r="C126" s="2" t="s">
        <v>1774</v>
      </c>
      <c r="D126" s="2" t="s">
        <v>95</v>
      </c>
      <c r="E126" s="2">
        <v>1</v>
      </c>
      <c r="F126" s="2">
        <v>7</v>
      </c>
    </row>
    <row r="127" spans="1:6" x14ac:dyDescent="0.25">
      <c r="A127" s="4" t="s">
        <v>1723</v>
      </c>
      <c r="B127" s="2" t="s">
        <v>1719</v>
      </c>
      <c r="C127" s="2" t="s">
        <v>1955</v>
      </c>
      <c r="D127" s="2" t="s">
        <v>95</v>
      </c>
      <c r="E127" s="2">
        <v>1</v>
      </c>
      <c r="F127" s="2">
        <v>7</v>
      </c>
    </row>
    <row r="128" spans="1:6" x14ac:dyDescent="0.25">
      <c r="A128" s="4" t="s">
        <v>1723</v>
      </c>
      <c r="B128" s="2" t="s">
        <v>1719</v>
      </c>
      <c r="C128" s="2" t="s">
        <v>1765</v>
      </c>
      <c r="D128" s="2" t="s">
        <v>95</v>
      </c>
      <c r="E128" s="2">
        <v>1</v>
      </c>
      <c r="F128" s="2">
        <v>7</v>
      </c>
    </row>
    <row r="129" spans="1:6" x14ac:dyDescent="0.25">
      <c r="A129" s="4" t="s">
        <v>1723</v>
      </c>
      <c r="B129" s="2" t="s">
        <v>1719</v>
      </c>
      <c r="C129" s="2" t="s">
        <v>1947</v>
      </c>
      <c r="D129" s="2" t="s">
        <v>95</v>
      </c>
      <c r="E129" s="2">
        <v>1</v>
      </c>
      <c r="F129" s="2">
        <v>7</v>
      </c>
    </row>
    <row r="130" spans="1:6" x14ac:dyDescent="0.25">
      <c r="A130" s="4" t="s">
        <v>1723</v>
      </c>
      <c r="B130" s="2" t="s">
        <v>1719</v>
      </c>
      <c r="C130" s="2" t="s">
        <v>1861</v>
      </c>
      <c r="D130" s="2" t="s">
        <v>95</v>
      </c>
      <c r="E130" s="2">
        <v>1</v>
      </c>
      <c r="F130" s="2">
        <v>7</v>
      </c>
    </row>
    <row r="131" spans="1:6" x14ac:dyDescent="0.25">
      <c r="A131" s="4" t="s">
        <v>1723</v>
      </c>
      <c r="B131" s="2" t="s">
        <v>1719</v>
      </c>
      <c r="C131" s="2" t="s">
        <v>1787</v>
      </c>
      <c r="D131" s="2" t="s">
        <v>95</v>
      </c>
      <c r="E131" s="2">
        <v>1</v>
      </c>
      <c r="F131" s="2">
        <v>7</v>
      </c>
    </row>
    <row r="132" spans="1:6" x14ac:dyDescent="0.25">
      <c r="A132" s="4" t="s">
        <v>1723</v>
      </c>
      <c r="B132" s="2" t="s">
        <v>1719</v>
      </c>
      <c r="C132" s="2" t="s">
        <v>1899</v>
      </c>
      <c r="D132" s="2" t="s">
        <v>95</v>
      </c>
      <c r="E132" s="2">
        <v>1</v>
      </c>
      <c r="F132" s="2">
        <v>7</v>
      </c>
    </row>
    <row r="133" spans="1:6" x14ac:dyDescent="0.25">
      <c r="A133" s="4" t="s">
        <v>1723</v>
      </c>
      <c r="B133" s="2" t="s">
        <v>1719</v>
      </c>
      <c r="C133" s="2" t="s">
        <v>1740</v>
      </c>
      <c r="D133" s="2" t="s">
        <v>95</v>
      </c>
      <c r="E133" s="2">
        <v>8</v>
      </c>
      <c r="F133" s="2">
        <v>7</v>
      </c>
    </row>
    <row r="134" spans="1:6" x14ac:dyDescent="0.25">
      <c r="A134" s="4" t="s">
        <v>1723</v>
      </c>
      <c r="B134" s="2" t="s">
        <v>1719</v>
      </c>
      <c r="C134" s="2" t="s">
        <v>1770</v>
      </c>
      <c r="D134" s="2" t="s">
        <v>95</v>
      </c>
      <c r="E134" s="2">
        <v>1</v>
      </c>
      <c r="F134" s="2">
        <v>7</v>
      </c>
    </row>
    <row r="135" spans="1:6" x14ac:dyDescent="0.25">
      <c r="A135" s="4" t="s">
        <v>1723</v>
      </c>
      <c r="B135" s="2" t="s">
        <v>1719</v>
      </c>
      <c r="C135" s="2" t="s">
        <v>1930</v>
      </c>
      <c r="D135" s="2" t="s">
        <v>95</v>
      </c>
      <c r="E135" s="2">
        <v>1</v>
      </c>
      <c r="F135" s="2">
        <v>7</v>
      </c>
    </row>
    <row r="136" spans="1:6" x14ac:dyDescent="0.25">
      <c r="A136" s="4" t="s">
        <v>1723</v>
      </c>
      <c r="B136" s="2" t="s">
        <v>1719</v>
      </c>
      <c r="C136" s="2" t="s">
        <v>1880</v>
      </c>
      <c r="D136" s="2" t="s">
        <v>95</v>
      </c>
      <c r="E136" s="2">
        <v>1</v>
      </c>
      <c r="F136" s="2">
        <v>7</v>
      </c>
    </row>
    <row r="137" spans="1:6" x14ac:dyDescent="0.25">
      <c r="A137" s="4" t="s">
        <v>1723</v>
      </c>
      <c r="B137" s="2" t="s">
        <v>1719</v>
      </c>
      <c r="C137" s="2" t="s">
        <v>1876</v>
      </c>
      <c r="D137" s="2" t="s">
        <v>95</v>
      </c>
      <c r="E137" s="2">
        <v>1</v>
      </c>
      <c r="F137" s="2">
        <v>7</v>
      </c>
    </row>
    <row r="138" spans="1:6" x14ac:dyDescent="0.25">
      <c r="A138" s="4" t="s">
        <v>1723</v>
      </c>
      <c r="B138" s="2" t="s">
        <v>1719</v>
      </c>
      <c r="C138" s="2" t="s">
        <v>1813</v>
      </c>
      <c r="D138" s="2" t="s">
        <v>95</v>
      </c>
      <c r="E138" s="2">
        <v>1</v>
      </c>
      <c r="F138" s="2">
        <v>7</v>
      </c>
    </row>
    <row r="139" spans="1:6" x14ac:dyDescent="0.25">
      <c r="A139" s="4" t="s">
        <v>1723</v>
      </c>
      <c r="B139" s="2" t="s">
        <v>1719</v>
      </c>
      <c r="C139" s="2" t="s">
        <v>1903</v>
      </c>
      <c r="D139" s="2" t="s">
        <v>95</v>
      </c>
      <c r="E139" s="2">
        <v>1</v>
      </c>
      <c r="F139" s="2">
        <v>7</v>
      </c>
    </row>
    <row r="140" spans="1:6" x14ac:dyDescent="0.25">
      <c r="A140" s="4" t="s">
        <v>1723</v>
      </c>
      <c r="B140" s="2" t="s">
        <v>1719</v>
      </c>
      <c r="C140" s="2" t="s">
        <v>1809</v>
      </c>
      <c r="D140" s="2" t="s">
        <v>95</v>
      </c>
      <c r="E140" s="2">
        <v>1</v>
      </c>
      <c r="F140" s="2">
        <v>7</v>
      </c>
    </row>
    <row r="141" spans="1:6" x14ac:dyDescent="0.25">
      <c r="A141" s="4" t="s">
        <v>1723</v>
      </c>
      <c r="B141" s="2" t="s">
        <v>1719</v>
      </c>
      <c r="C141" s="2" t="s">
        <v>1753</v>
      </c>
      <c r="D141" s="2" t="s">
        <v>95</v>
      </c>
      <c r="E141" s="2">
        <v>4</v>
      </c>
      <c r="F141" s="2">
        <v>7</v>
      </c>
    </row>
    <row r="142" spans="1:6" x14ac:dyDescent="0.25">
      <c r="A142" s="4" t="s">
        <v>1723</v>
      </c>
      <c r="B142" s="2" t="s">
        <v>1719</v>
      </c>
      <c r="C142" s="2" t="s">
        <v>1779</v>
      </c>
      <c r="D142" s="2" t="s">
        <v>95</v>
      </c>
      <c r="E142" s="2">
        <v>1</v>
      </c>
      <c r="F142" s="2">
        <v>7</v>
      </c>
    </row>
    <row r="143" spans="1:6" x14ac:dyDescent="0.25">
      <c r="A143" s="4" t="s">
        <v>1723</v>
      </c>
      <c r="B143" s="2" t="s">
        <v>1719</v>
      </c>
      <c r="C143" s="2" t="s">
        <v>1839</v>
      </c>
      <c r="D143" s="2" t="s">
        <v>95</v>
      </c>
      <c r="E143" s="2">
        <v>3</v>
      </c>
      <c r="F143" s="2">
        <v>7</v>
      </c>
    </row>
    <row r="144" spans="1:6" x14ac:dyDescent="0.25">
      <c r="A144" s="4" t="s">
        <v>1723</v>
      </c>
      <c r="B144" s="2" t="s">
        <v>1719</v>
      </c>
      <c r="C144" s="2" t="s">
        <v>1911</v>
      </c>
      <c r="D144" s="2" t="s">
        <v>95</v>
      </c>
      <c r="E144" s="2">
        <v>1</v>
      </c>
      <c r="F144" s="2">
        <v>7</v>
      </c>
    </row>
    <row r="145" spans="1:6" x14ac:dyDescent="0.25">
      <c r="A145" s="4" t="s">
        <v>1723</v>
      </c>
      <c r="B145" s="2" t="s">
        <v>1719</v>
      </c>
      <c r="C145" s="2" t="s">
        <v>1935</v>
      </c>
      <c r="D145" s="2" t="s">
        <v>95</v>
      </c>
      <c r="E145" s="2">
        <v>1</v>
      </c>
      <c r="F145" s="2">
        <v>7</v>
      </c>
    </row>
    <row r="146" spans="1:6" x14ac:dyDescent="0.25">
      <c r="A146" s="4" t="s">
        <v>1723</v>
      </c>
      <c r="B146" s="2" t="s">
        <v>1719</v>
      </c>
      <c r="C146" s="2" t="s">
        <v>1726</v>
      </c>
      <c r="D146" s="2" t="s">
        <v>95</v>
      </c>
      <c r="E146" s="2">
        <v>3</v>
      </c>
      <c r="F146" s="2">
        <v>7</v>
      </c>
    </row>
    <row r="147" spans="1:6" x14ac:dyDescent="0.25">
      <c r="A147" s="4" t="s">
        <v>2690</v>
      </c>
      <c r="B147" s="2" t="s">
        <v>2680</v>
      </c>
      <c r="C147" s="2" t="s">
        <v>2929</v>
      </c>
      <c r="D147" s="2" t="s">
        <v>20</v>
      </c>
      <c r="E147" s="2">
        <v>2</v>
      </c>
      <c r="F147" s="2">
        <v>748</v>
      </c>
    </row>
    <row r="148" spans="1:6" x14ac:dyDescent="0.25">
      <c r="A148" s="4" t="s">
        <v>2690</v>
      </c>
      <c r="B148" s="2" t="s">
        <v>2680</v>
      </c>
      <c r="C148" s="2" t="s">
        <v>2716</v>
      </c>
      <c r="D148" s="2" t="s">
        <v>20</v>
      </c>
      <c r="E148" s="2">
        <v>1</v>
      </c>
      <c r="F148" s="2">
        <v>748</v>
      </c>
    </row>
    <row r="149" spans="1:6" x14ac:dyDescent="0.25">
      <c r="A149" s="4" t="s">
        <v>2690</v>
      </c>
      <c r="B149" s="2" t="s">
        <v>2680</v>
      </c>
      <c r="C149" s="2" t="s">
        <v>2687</v>
      </c>
      <c r="D149" s="2" t="s">
        <v>20</v>
      </c>
      <c r="E149" s="2">
        <v>1</v>
      </c>
      <c r="F149" s="2">
        <v>748</v>
      </c>
    </row>
    <row r="150" spans="1:6" x14ac:dyDescent="0.25">
      <c r="A150" s="4" t="s">
        <v>2690</v>
      </c>
      <c r="B150" s="2" t="s">
        <v>2680</v>
      </c>
      <c r="C150" s="2" t="s">
        <v>2826</v>
      </c>
      <c r="D150" s="2" t="s">
        <v>20</v>
      </c>
      <c r="E150" s="2">
        <v>1</v>
      </c>
      <c r="F150" s="2">
        <v>748</v>
      </c>
    </row>
    <row r="151" spans="1:6" x14ac:dyDescent="0.25">
      <c r="A151" s="4" t="s">
        <v>2690</v>
      </c>
      <c r="B151" s="2" t="s">
        <v>2680</v>
      </c>
      <c r="C151" s="2" t="s">
        <v>2892</v>
      </c>
      <c r="D151" s="2" t="s">
        <v>20</v>
      </c>
      <c r="E151" s="2">
        <v>1</v>
      </c>
      <c r="F151" s="2">
        <v>748</v>
      </c>
    </row>
    <row r="152" spans="1:6" x14ac:dyDescent="0.25">
      <c r="A152" s="4" t="s">
        <v>2690</v>
      </c>
      <c r="B152" s="2" t="s">
        <v>2680</v>
      </c>
      <c r="C152" s="2" t="s">
        <v>2810</v>
      </c>
      <c r="D152" s="2" t="s">
        <v>1985</v>
      </c>
      <c r="E152" s="2">
        <v>1</v>
      </c>
      <c r="F152" s="2">
        <v>748</v>
      </c>
    </row>
    <row r="153" spans="1:6" x14ac:dyDescent="0.25">
      <c r="A153" s="4" t="s">
        <v>2690</v>
      </c>
      <c r="B153" s="2" t="s">
        <v>2680</v>
      </c>
      <c r="C153" s="2" t="s">
        <v>2786</v>
      </c>
      <c r="D153" s="2" t="s">
        <v>1985</v>
      </c>
      <c r="E153" s="2">
        <v>4</v>
      </c>
      <c r="F153" s="2">
        <v>748</v>
      </c>
    </row>
    <row r="154" spans="1:6" x14ac:dyDescent="0.25">
      <c r="A154" s="4" t="s">
        <v>2690</v>
      </c>
      <c r="B154" s="2" t="s">
        <v>2680</v>
      </c>
      <c r="C154" s="2" t="s">
        <v>3106</v>
      </c>
      <c r="D154" s="2" t="s">
        <v>1985</v>
      </c>
      <c r="E154" s="2">
        <v>1</v>
      </c>
      <c r="F154" s="2">
        <v>748</v>
      </c>
    </row>
    <row r="155" spans="1:6" x14ac:dyDescent="0.25">
      <c r="A155" s="4" t="s">
        <v>2690</v>
      </c>
      <c r="B155" s="2" t="s">
        <v>2680</v>
      </c>
      <c r="C155" s="2" t="s">
        <v>2815</v>
      </c>
      <c r="D155" s="2" t="s">
        <v>1985</v>
      </c>
      <c r="E155" s="2">
        <v>1</v>
      </c>
      <c r="F155" s="2">
        <v>748</v>
      </c>
    </row>
    <row r="156" spans="1:6" x14ac:dyDescent="0.25">
      <c r="A156" s="4" t="s">
        <v>2690</v>
      </c>
      <c r="B156" s="2" t="s">
        <v>2680</v>
      </c>
      <c r="C156" s="2" t="s">
        <v>2743</v>
      </c>
      <c r="D156" s="2" t="s">
        <v>1985</v>
      </c>
      <c r="E156" s="2">
        <v>2</v>
      </c>
      <c r="F156" s="2">
        <v>748</v>
      </c>
    </row>
    <row r="157" spans="1:6" x14ac:dyDescent="0.25">
      <c r="A157" s="4" t="s">
        <v>2690</v>
      </c>
      <c r="B157" s="2" t="s">
        <v>2680</v>
      </c>
      <c r="C157" s="2" t="s">
        <v>2730</v>
      </c>
      <c r="D157" s="2" t="s">
        <v>1985</v>
      </c>
      <c r="E157" s="2">
        <v>5</v>
      </c>
      <c r="F157" s="2">
        <v>748</v>
      </c>
    </row>
    <row r="158" spans="1:6" x14ac:dyDescent="0.25">
      <c r="A158" s="4" t="s">
        <v>2690</v>
      </c>
      <c r="B158" s="2" t="s">
        <v>2680</v>
      </c>
      <c r="C158" s="2" t="s">
        <v>2843</v>
      </c>
      <c r="D158" s="2" t="s">
        <v>1969</v>
      </c>
      <c r="E158" s="2">
        <v>1</v>
      </c>
      <c r="F158" s="2">
        <v>748</v>
      </c>
    </row>
    <row r="159" spans="1:6" x14ac:dyDescent="0.25">
      <c r="A159" s="4" t="s">
        <v>2690</v>
      </c>
      <c r="B159" s="2" t="s">
        <v>2680</v>
      </c>
      <c r="C159" s="2" t="s">
        <v>3013</v>
      </c>
      <c r="D159" s="2" t="s">
        <v>1969</v>
      </c>
      <c r="E159" s="2">
        <v>1</v>
      </c>
      <c r="F159" s="2">
        <v>748</v>
      </c>
    </row>
    <row r="160" spans="1:6" x14ac:dyDescent="0.25">
      <c r="A160" s="4" t="s">
        <v>2690</v>
      </c>
      <c r="B160" s="2" t="s">
        <v>2680</v>
      </c>
      <c r="C160" s="2" t="s">
        <v>2867</v>
      </c>
      <c r="D160" s="2" t="s">
        <v>1969</v>
      </c>
      <c r="E160" s="2">
        <v>1</v>
      </c>
      <c r="F160" s="2">
        <v>748</v>
      </c>
    </row>
    <row r="161" spans="1:6" x14ac:dyDescent="0.25">
      <c r="A161" s="4" t="s">
        <v>2690</v>
      </c>
      <c r="B161" s="2" t="s">
        <v>2680</v>
      </c>
      <c r="C161" s="2" t="s">
        <v>2748</v>
      </c>
      <c r="D161" s="2" t="s">
        <v>1969</v>
      </c>
      <c r="E161" s="2">
        <v>1</v>
      </c>
      <c r="F161" s="2">
        <v>748</v>
      </c>
    </row>
    <row r="162" spans="1:6" x14ac:dyDescent="0.25">
      <c r="A162" s="4" t="s">
        <v>2690</v>
      </c>
      <c r="B162" s="2" t="s">
        <v>2680</v>
      </c>
      <c r="C162" s="2" t="s">
        <v>2896</v>
      </c>
      <c r="D162" s="2" t="s">
        <v>1969</v>
      </c>
      <c r="E162" s="2">
        <v>1</v>
      </c>
      <c r="F162" s="2">
        <v>748</v>
      </c>
    </row>
    <row r="163" spans="1:6" x14ac:dyDescent="0.25">
      <c r="A163" s="4" t="s">
        <v>2690</v>
      </c>
      <c r="B163" s="2" t="s">
        <v>2680</v>
      </c>
      <c r="C163" s="2" t="s">
        <v>2862</v>
      </c>
      <c r="D163" s="2" t="s">
        <v>1969</v>
      </c>
      <c r="E163" s="2">
        <v>1</v>
      </c>
      <c r="F163" s="2">
        <v>748</v>
      </c>
    </row>
    <row r="164" spans="1:6" x14ac:dyDescent="0.25">
      <c r="A164" s="4" t="s">
        <v>2690</v>
      </c>
      <c r="B164" s="2" t="s">
        <v>2680</v>
      </c>
      <c r="C164" s="2" t="s">
        <v>2778</v>
      </c>
      <c r="D164" s="2" t="s">
        <v>1969</v>
      </c>
      <c r="E164" s="2">
        <v>1</v>
      </c>
      <c r="F164" s="2">
        <v>748</v>
      </c>
    </row>
    <row r="165" spans="1:6" x14ac:dyDescent="0.25">
      <c r="A165" s="4" t="s">
        <v>2690</v>
      </c>
      <c r="B165" s="2" t="s">
        <v>2680</v>
      </c>
      <c r="C165" s="2" t="s">
        <v>3043</v>
      </c>
      <c r="D165" s="2" t="s">
        <v>1969</v>
      </c>
      <c r="E165" s="2">
        <v>1</v>
      </c>
      <c r="F165" s="2">
        <v>748</v>
      </c>
    </row>
    <row r="166" spans="1:6" x14ac:dyDescent="0.25">
      <c r="A166" s="4" t="s">
        <v>2690</v>
      </c>
      <c r="B166" s="2" t="s">
        <v>2680</v>
      </c>
      <c r="C166" s="2" t="s">
        <v>2964</v>
      </c>
      <c r="D166" s="2" t="s">
        <v>1969</v>
      </c>
      <c r="E166" s="2">
        <v>1</v>
      </c>
      <c r="F166" s="2">
        <v>748</v>
      </c>
    </row>
    <row r="167" spans="1:6" x14ac:dyDescent="0.25">
      <c r="A167" s="4" t="s">
        <v>2690</v>
      </c>
      <c r="B167" s="2" t="s">
        <v>2680</v>
      </c>
      <c r="C167" s="2" t="s">
        <v>2887</v>
      </c>
      <c r="D167" s="2" t="s">
        <v>1969</v>
      </c>
      <c r="E167" s="2">
        <v>1</v>
      </c>
      <c r="F167" s="2">
        <v>748</v>
      </c>
    </row>
    <row r="168" spans="1:6" x14ac:dyDescent="0.25">
      <c r="A168" s="4" t="s">
        <v>2690</v>
      </c>
      <c r="B168" s="2" t="s">
        <v>2680</v>
      </c>
      <c r="C168" s="2" t="s">
        <v>2805</v>
      </c>
      <c r="D168" s="2" t="s">
        <v>1969</v>
      </c>
      <c r="E168" s="2">
        <v>1</v>
      </c>
      <c r="F168" s="2">
        <v>748</v>
      </c>
    </row>
    <row r="169" spans="1:6" x14ac:dyDescent="0.25">
      <c r="A169" s="4" t="s">
        <v>2690</v>
      </c>
      <c r="B169" s="2" t="s">
        <v>2680</v>
      </c>
      <c r="C169" s="2" t="s">
        <v>2989</v>
      </c>
      <c r="D169" s="2" t="s">
        <v>1969</v>
      </c>
      <c r="E169" s="2">
        <v>1</v>
      </c>
      <c r="F169" s="2">
        <v>748</v>
      </c>
    </row>
    <row r="170" spans="1:6" x14ac:dyDescent="0.25">
      <c r="A170" s="4" t="s">
        <v>2690</v>
      </c>
      <c r="B170" s="2" t="s">
        <v>2680</v>
      </c>
      <c r="C170" s="2" t="s">
        <v>2830</v>
      </c>
      <c r="D170" s="2" t="s">
        <v>1969</v>
      </c>
      <c r="E170" s="2">
        <v>1</v>
      </c>
      <c r="F170" s="2">
        <v>748</v>
      </c>
    </row>
    <row r="171" spans="1:6" x14ac:dyDescent="0.25">
      <c r="A171" s="4" t="s">
        <v>2690</v>
      </c>
      <c r="B171" s="2" t="s">
        <v>2680</v>
      </c>
      <c r="C171" s="2" t="s">
        <v>3060</v>
      </c>
      <c r="D171" s="2" t="s">
        <v>1969</v>
      </c>
      <c r="E171" s="2">
        <v>2</v>
      </c>
      <c r="F171" s="2">
        <v>748</v>
      </c>
    </row>
    <row r="172" spans="1:6" x14ac:dyDescent="0.25">
      <c r="A172" s="4" t="s">
        <v>2690</v>
      </c>
      <c r="B172" s="2" t="s">
        <v>2680</v>
      </c>
      <c r="C172" s="2" t="s">
        <v>2916</v>
      </c>
      <c r="D172" s="2" t="s">
        <v>1969</v>
      </c>
      <c r="E172" s="2">
        <v>1</v>
      </c>
      <c r="F172" s="2">
        <v>748</v>
      </c>
    </row>
    <row r="173" spans="1:6" x14ac:dyDescent="0.25">
      <c r="A173" s="4" t="s">
        <v>2690</v>
      </c>
      <c r="B173" s="2" t="s">
        <v>2680</v>
      </c>
      <c r="C173" s="2" t="s">
        <v>2925</v>
      </c>
      <c r="D173" s="2" t="s">
        <v>1969</v>
      </c>
      <c r="E173" s="2">
        <v>1</v>
      </c>
      <c r="F173" s="2">
        <v>748</v>
      </c>
    </row>
    <row r="174" spans="1:6" x14ac:dyDescent="0.25">
      <c r="A174" s="4" t="s">
        <v>2690</v>
      </c>
      <c r="B174" s="2" t="s">
        <v>2680</v>
      </c>
      <c r="C174" s="2" t="s">
        <v>2900</v>
      </c>
      <c r="D174" s="2" t="s">
        <v>1969</v>
      </c>
      <c r="E174" s="2">
        <v>1</v>
      </c>
      <c r="F174" s="2">
        <v>748</v>
      </c>
    </row>
    <row r="175" spans="1:6" x14ac:dyDescent="0.25">
      <c r="A175" s="4" t="s">
        <v>2690</v>
      </c>
      <c r="B175" s="2" t="s">
        <v>2680</v>
      </c>
      <c r="C175" s="2" t="s">
        <v>2947</v>
      </c>
      <c r="D175" s="2" t="s">
        <v>1969</v>
      </c>
      <c r="E175" s="2">
        <v>1</v>
      </c>
      <c r="F175" s="2">
        <v>748</v>
      </c>
    </row>
    <row r="176" spans="1:6" x14ac:dyDescent="0.25">
      <c r="A176" s="4" t="s">
        <v>2690</v>
      </c>
      <c r="B176" s="2" t="s">
        <v>2680</v>
      </c>
      <c r="C176" s="2" t="s">
        <v>2969</v>
      </c>
      <c r="D176" s="2" t="s">
        <v>1969</v>
      </c>
      <c r="E176" s="2">
        <v>1</v>
      </c>
      <c r="F176" s="2">
        <v>748</v>
      </c>
    </row>
    <row r="177" spans="1:6" x14ac:dyDescent="0.25">
      <c r="A177" s="4" t="s">
        <v>2690</v>
      </c>
      <c r="B177" s="2" t="s">
        <v>2680</v>
      </c>
      <c r="C177" s="2" t="s">
        <v>3009</v>
      </c>
      <c r="D177" s="2" t="s">
        <v>1969</v>
      </c>
      <c r="E177" s="2">
        <v>1</v>
      </c>
      <c r="F177" s="2">
        <v>748</v>
      </c>
    </row>
    <row r="178" spans="1:6" x14ac:dyDescent="0.25">
      <c r="A178" s="4" t="s">
        <v>2684</v>
      </c>
      <c r="B178" s="2" t="s">
        <v>2680</v>
      </c>
      <c r="C178" s="2" t="s">
        <v>2709</v>
      </c>
      <c r="D178" s="2" t="s">
        <v>20</v>
      </c>
      <c r="E178" s="2">
        <v>14</v>
      </c>
      <c r="F178" s="2">
        <v>0</v>
      </c>
    </row>
    <row r="179" spans="1:6" x14ac:dyDescent="0.25">
      <c r="A179" s="4" t="s">
        <v>2684</v>
      </c>
      <c r="B179" s="2" t="s">
        <v>2680</v>
      </c>
      <c r="C179" s="2" t="s">
        <v>2681</v>
      </c>
      <c r="D179" s="2" t="s">
        <v>20</v>
      </c>
      <c r="E179" s="2">
        <v>23</v>
      </c>
      <c r="F179" s="2">
        <v>0</v>
      </c>
    </row>
    <row r="180" spans="1:6" x14ac:dyDescent="0.25">
      <c r="A180" s="4" t="s">
        <v>2684</v>
      </c>
      <c r="B180" s="2" t="s">
        <v>2680</v>
      </c>
      <c r="C180" s="2" t="s">
        <v>3052</v>
      </c>
      <c r="D180" s="2" t="s">
        <v>1985</v>
      </c>
      <c r="E180" s="2">
        <v>1</v>
      </c>
      <c r="F180" s="2">
        <v>0</v>
      </c>
    </row>
    <row r="181" spans="1:6" x14ac:dyDescent="0.25">
      <c r="A181" s="4" t="s">
        <v>2684</v>
      </c>
      <c r="B181" s="2" t="s">
        <v>2680</v>
      </c>
      <c r="C181" s="2" t="s">
        <v>2974</v>
      </c>
      <c r="D181" s="2" t="s">
        <v>1985</v>
      </c>
      <c r="E181" s="2">
        <v>2</v>
      </c>
      <c r="F181" s="2">
        <v>0</v>
      </c>
    </row>
    <row r="182" spans="1:6" x14ac:dyDescent="0.25">
      <c r="A182" s="4" t="s">
        <v>2684</v>
      </c>
      <c r="B182" s="2" t="s">
        <v>2680</v>
      </c>
      <c r="C182" s="2" t="s">
        <v>2951</v>
      </c>
      <c r="D182" s="2" t="s">
        <v>1969</v>
      </c>
      <c r="E182" s="2">
        <v>1</v>
      </c>
      <c r="F182" s="2">
        <v>0</v>
      </c>
    </row>
    <row r="183" spans="1:6" x14ac:dyDescent="0.25">
      <c r="A183" s="4" t="s">
        <v>2684</v>
      </c>
      <c r="B183" s="2" t="s">
        <v>2680</v>
      </c>
      <c r="C183" s="2" t="s">
        <v>2693</v>
      </c>
      <c r="D183" s="2" t="s">
        <v>1969</v>
      </c>
      <c r="E183" s="2">
        <v>1</v>
      </c>
      <c r="F183" s="2">
        <v>0</v>
      </c>
    </row>
    <row r="184" spans="1:6" x14ac:dyDescent="0.25">
      <c r="A184" s="4" t="s">
        <v>2684</v>
      </c>
      <c r="B184" s="2" t="s">
        <v>2680</v>
      </c>
      <c r="C184" s="2" t="s">
        <v>3090</v>
      </c>
      <c r="D184" s="2" t="s">
        <v>1969</v>
      </c>
      <c r="E184" s="2">
        <v>1</v>
      </c>
      <c r="F184" s="2">
        <v>0</v>
      </c>
    </row>
    <row r="185" spans="1:6" x14ac:dyDescent="0.25">
      <c r="A185" s="4" t="s">
        <v>2684</v>
      </c>
      <c r="B185" s="2" t="s">
        <v>2680</v>
      </c>
      <c r="C185" s="2" t="s">
        <v>3073</v>
      </c>
      <c r="D185" s="2" t="s">
        <v>1969</v>
      </c>
      <c r="E185" s="2">
        <v>1</v>
      </c>
      <c r="F185" s="2">
        <v>0</v>
      </c>
    </row>
    <row r="186" spans="1:6" x14ac:dyDescent="0.25">
      <c r="A186" s="4" t="s">
        <v>2684</v>
      </c>
      <c r="B186" s="2" t="s">
        <v>2680</v>
      </c>
      <c r="C186" s="2" t="s">
        <v>3068</v>
      </c>
      <c r="D186" s="2" t="s">
        <v>1969</v>
      </c>
      <c r="E186" s="2">
        <v>1</v>
      </c>
      <c r="F186" s="2">
        <v>0</v>
      </c>
    </row>
    <row r="187" spans="1:6" x14ac:dyDescent="0.25">
      <c r="A187" s="4" t="s">
        <v>2684</v>
      </c>
      <c r="B187" s="2" t="s">
        <v>2680</v>
      </c>
      <c r="C187" s="2" t="s">
        <v>3064</v>
      </c>
      <c r="D187" s="2" t="s">
        <v>1969</v>
      </c>
      <c r="E187" s="2">
        <v>1</v>
      </c>
      <c r="F187" s="2">
        <v>0</v>
      </c>
    </row>
    <row r="188" spans="1:6" x14ac:dyDescent="0.25">
      <c r="A188" s="4" t="s">
        <v>2684</v>
      </c>
      <c r="B188" s="2" t="s">
        <v>2680</v>
      </c>
      <c r="C188" s="2" t="s">
        <v>2791</v>
      </c>
      <c r="D188" s="2" t="s">
        <v>1969</v>
      </c>
      <c r="E188" s="2">
        <v>2</v>
      </c>
      <c r="F188" s="2">
        <v>0</v>
      </c>
    </row>
    <row r="189" spans="1:6" x14ac:dyDescent="0.25">
      <c r="A189" s="4" t="s">
        <v>2684</v>
      </c>
      <c r="B189" s="2" t="s">
        <v>2680</v>
      </c>
      <c r="C189" s="2" t="s">
        <v>2735</v>
      </c>
      <c r="D189" s="2" t="s">
        <v>1969</v>
      </c>
      <c r="E189" s="2">
        <v>1</v>
      </c>
      <c r="F189" s="2">
        <v>0</v>
      </c>
    </row>
    <row r="190" spans="1:6" x14ac:dyDescent="0.25">
      <c r="A190" s="4" t="s">
        <v>2684</v>
      </c>
      <c r="B190" s="2" t="s">
        <v>2680</v>
      </c>
      <c r="C190" s="2" t="s">
        <v>2921</v>
      </c>
      <c r="D190" s="2" t="s">
        <v>1969</v>
      </c>
      <c r="E190" s="2">
        <v>1</v>
      </c>
      <c r="F190" s="2">
        <v>0</v>
      </c>
    </row>
    <row r="191" spans="1:6" x14ac:dyDescent="0.25">
      <c r="A191" s="4" t="s">
        <v>2684</v>
      </c>
      <c r="B191" s="2" t="s">
        <v>2680</v>
      </c>
      <c r="C191" s="2" t="s">
        <v>3005</v>
      </c>
      <c r="D191" s="2" t="s">
        <v>1969</v>
      </c>
      <c r="E191" s="2">
        <v>1</v>
      </c>
      <c r="F191" s="2">
        <v>0</v>
      </c>
    </row>
    <row r="192" spans="1:6" x14ac:dyDescent="0.25">
      <c r="A192" s="4" t="s">
        <v>2684</v>
      </c>
      <c r="B192" s="2" t="s">
        <v>2680</v>
      </c>
      <c r="C192" s="2" t="s">
        <v>3048</v>
      </c>
      <c r="D192" s="2" t="s">
        <v>1969</v>
      </c>
      <c r="E192" s="2">
        <v>1</v>
      </c>
      <c r="F192" s="2">
        <v>0</v>
      </c>
    </row>
    <row r="193" spans="1:6" x14ac:dyDescent="0.25">
      <c r="A193" s="4" t="s">
        <v>2684</v>
      </c>
      <c r="B193" s="2" t="s">
        <v>2680</v>
      </c>
      <c r="C193" s="2" t="s">
        <v>2834</v>
      </c>
      <c r="D193" s="2" t="s">
        <v>1969</v>
      </c>
      <c r="E193" s="2">
        <v>1</v>
      </c>
      <c r="F193" s="2">
        <v>0</v>
      </c>
    </row>
    <row r="194" spans="1:6" x14ac:dyDescent="0.25">
      <c r="A194" s="4" t="s">
        <v>2684</v>
      </c>
      <c r="B194" s="2" t="s">
        <v>2680</v>
      </c>
      <c r="C194" s="2" t="s">
        <v>2725</v>
      </c>
      <c r="D194" s="2" t="s">
        <v>1969</v>
      </c>
      <c r="E194" s="2">
        <v>1</v>
      </c>
      <c r="F194" s="2">
        <v>0</v>
      </c>
    </row>
    <row r="195" spans="1:6" x14ac:dyDescent="0.25">
      <c r="A195" s="4" t="s">
        <v>2684</v>
      </c>
      <c r="B195" s="2" t="s">
        <v>2680</v>
      </c>
      <c r="C195" s="2" t="s">
        <v>3032</v>
      </c>
      <c r="D195" s="2" t="s">
        <v>1969</v>
      </c>
      <c r="E195" s="2">
        <v>1</v>
      </c>
      <c r="F195" s="2">
        <v>0</v>
      </c>
    </row>
    <row r="196" spans="1:6" x14ac:dyDescent="0.25">
      <c r="A196" s="4" t="s">
        <v>2684</v>
      </c>
      <c r="B196" s="2" t="s">
        <v>2680</v>
      </c>
      <c r="C196" s="2" t="s">
        <v>2943</v>
      </c>
      <c r="D196" s="2" t="s">
        <v>1969</v>
      </c>
      <c r="E196" s="2">
        <v>1</v>
      </c>
      <c r="F196" s="2">
        <v>0</v>
      </c>
    </row>
    <row r="197" spans="1:6" x14ac:dyDescent="0.25">
      <c r="A197" s="4" t="s">
        <v>2684</v>
      </c>
      <c r="B197" s="2" t="s">
        <v>2680</v>
      </c>
      <c r="C197" s="2" t="s">
        <v>2955</v>
      </c>
      <c r="D197" s="2" t="s">
        <v>1969</v>
      </c>
      <c r="E197" s="2">
        <v>1</v>
      </c>
      <c r="F197" s="2">
        <v>0</v>
      </c>
    </row>
    <row r="198" spans="1:6" x14ac:dyDescent="0.25">
      <c r="A198" s="4" t="s">
        <v>2684</v>
      </c>
      <c r="B198" s="2" t="s">
        <v>2680</v>
      </c>
      <c r="C198" s="2" t="s">
        <v>2938</v>
      </c>
      <c r="D198" s="2" t="s">
        <v>1969</v>
      </c>
      <c r="E198" s="2">
        <v>1</v>
      </c>
      <c r="F198" s="2">
        <v>0</v>
      </c>
    </row>
    <row r="199" spans="1:6" x14ac:dyDescent="0.25">
      <c r="A199" s="4" t="s">
        <v>2684</v>
      </c>
      <c r="B199" s="2" t="s">
        <v>2680</v>
      </c>
      <c r="C199" s="2" t="s">
        <v>2993</v>
      </c>
      <c r="D199" s="2" t="s">
        <v>1969</v>
      </c>
      <c r="E199" s="2">
        <v>1</v>
      </c>
      <c r="F199" s="2">
        <v>0</v>
      </c>
    </row>
    <row r="200" spans="1:6" x14ac:dyDescent="0.25">
      <c r="A200" s="4" t="s">
        <v>2684</v>
      </c>
      <c r="B200" s="2" t="s">
        <v>2680</v>
      </c>
      <c r="C200" s="2" t="s">
        <v>2796</v>
      </c>
      <c r="D200" s="2" t="s">
        <v>1969</v>
      </c>
      <c r="E200" s="2">
        <v>1</v>
      </c>
      <c r="F200" s="2">
        <v>0</v>
      </c>
    </row>
    <row r="201" spans="1:6" x14ac:dyDescent="0.25">
      <c r="A201" s="4" t="s">
        <v>2684</v>
      </c>
      <c r="B201" s="2" t="s">
        <v>2680</v>
      </c>
      <c r="C201" s="2" t="s">
        <v>2762</v>
      </c>
      <c r="D201" s="2" t="s">
        <v>1969</v>
      </c>
      <c r="E201" s="2">
        <v>1</v>
      </c>
      <c r="F201" s="2">
        <v>0</v>
      </c>
    </row>
    <row r="202" spans="1:6" x14ac:dyDescent="0.25">
      <c r="A202" s="4" t="s">
        <v>2684</v>
      </c>
      <c r="B202" s="2" t="s">
        <v>2680</v>
      </c>
      <c r="C202" s="2" t="s">
        <v>3017</v>
      </c>
      <c r="D202" s="2" t="s">
        <v>1969</v>
      </c>
      <c r="E202" s="2">
        <v>1</v>
      </c>
      <c r="F202" s="2">
        <v>0</v>
      </c>
    </row>
    <row r="203" spans="1:6" x14ac:dyDescent="0.25">
      <c r="A203" s="4" t="s">
        <v>2684</v>
      </c>
      <c r="B203" s="2" t="s">
        <v>2680</v>
      </c>
      <c r="C203" s="2" t="s">
        <v>2753</v>
      </c>
      <c r="D203" s="2" t="s">
        <v>1969</v>
      </c>
      <c r="E203" s="2">
        <v>1</v>
      </c>
      <c r="F203" s="2">
        <v>0</v>
      </c>
    </row>
    <row r="204" spans="1:6" x14ac:dyDescent="0.25">
      <c r="A204" s="4" t="s">
        <v>3123</v>
      </c>
      <c r="B204" s="2" t="s">
        <v>3119</v>
      </c>
      <c r="C204" s="2" t="s">
        <v>3120</v>
      </c>
      <c r="D204" s="2" t="s">
        <v>20</v>
      </c>
      <c r="E204" s="2">
        <v>9</v>
      </c>
      <c r="F204" s="2">
        <v>1083</v>
      </c>
    </row>
    <row r="205" spans="1:6" x14ac:dyDescent="0.25">
      <c r="A205" s="4" t="s">
        <v>3123</v>
      </c>
      <c r="B205" s="2" t="s">
        <v>3119</v>
      </c>
      <c r="C205" s="2" t="s">
        <v>3126</v>
      </c>
      <c r="D205" s="2" t="s">
        <v>20</v>
      </c>
      <c r="E205" s="2">
        <v>1</v>
      </c>
      <c r="F205" s="2">
        <v>1083</v>
      </c>
    </row>
    <row r="206" spans="1:6" x14ac:dyDescent="0.25">
      <c r="A206" s="4" t="s">
        <v>3123</v>
      </c>
      <c r="B206" s="2" t="s">
        <v>3281</v>
      </c>
      <c r="C206" s="2" t="s">
        <v>3286</v>
      </c>
      <c r="D206" s="2" t="s">
        <v>20</v>
      </c>
      <c r="E206" s="2">
        <v>7</v>
      </c>
      <c r="F206" s="2">
        <v>1544</v>
      </c>
    </row>
    <row r="207" spans="1:6" x14ac:dyDescent="0.25">
      <c r="A207" s="4" t="s">
        <v>3123</v>
      </c>
      <c r="B207" s="2" t="s">
        <v>3119</v>
      </c>
      <c r="C207" s="2" t="s">
        <v>3217</v>
      </c>
      <c r="D207" s="2" t="s">
        <v>1985</v>
      </c>
      <c r="E207" s="2">
        <v>1</v>
      </c>
      <c r="F207" s="2">
        <v>1083</v>
      </c>
    </row>
    <row r="208" spans="1:6" x14ac:dyDescent="0.25">
      <c r="A208" s="4" t="s">
        <v>3123</v>
      </c>
      <c r="B208" s="2" t="s">
        <v>3119</v>
      </c>
      <c r="C208" s="2" t="s">
        <v>3154</v>
      </c>
      <c r="D208" s="2" t="s">
        <v>1985</v>
      </c>
      <c r="E208" s="2">
        <v>1</v>
      </c>
      <c r="F208" s="2">
        <v>1083</v>
      </c>
    </row>
    <row r="209" spans="1:6" x14ac:dyDescent="0.25">
      <c r="A209" s="4" t="s">
        <v>3123</v>
      </c>
      <c r="B209" s="2" t="s">
        <v>3281</v>
      </c>
      <c r="C209" s="2" t="s">
        <v>3295</v>
      </c>
      <c r="D209" s="2" t="s">
        <v>1985</v>
      </c>
      <c r="E209" s="2">
        <v>7</v>
      </c>
      <c r="F209" s="2">
        <v>1544</v>
      </c>
    </row>
    <row r="210" spans="1:6" x14ac:dyDescent="0.25">
      <c r="A210" s="4" t="s">
        <v>3123</v>
      </c>
      <c r="B210" s="2" t="s">
        <v>3430</v>
      </c>
      <c r="C210" s="2" t="s">
        <v>3476</v>
      </c>
      <c r="D210" s="2" t="s">
        <v>1985</v>
      </c>
      <c r="E210" s="2">
        <v>3</v>
      </c>
      <c r="F210" s="2">
        <v>1168</v>
      </c>
    </row>
    <row r="211" spans="1:6" x14ac:dyDescent="0.25">
      <c r="A211" s="4" t="s">
        <v>3123</v>
      </c>
      <c r="B211" s="2" t="s">
        <v>3119</v>
      </c>
      <c r="C211" s="2" t="s">
        <v>3149</v>
      </c>
      <c r="D211" s="2" t="s">
        <v>95</v>
      </c>
      <c r="E211" s="2">
        <v>1</v>
      </c>
      <c r="F211" s="2">
        <v>1083</v>
      </c>
    </row>
    <row r="212" spans="1:6" x14ac:dyDescent="0.25">
      <c r="A212" s="4" t="s">
        <v>3123</v>
      </c>
      <c r="B212" s="2" t="s">
        <v>3119</v>
      </c>
      <c r="C212" s="2" t="s">
        <v>3131</v>
      </c>
      <c r="D212" s="2" t="s">
        <v>95</v>
      </c>
      <c r="E212" s="2">
        <v>1</v>
      </c>
      <c r="F212" s="2">
        <v>1083</v>
      </c>
    </row>
    <row r="213" spans="1:6" x14ac:dyDescent="0.25">
      <c r="A213" s="4" t="s">
        <v>3123</v>
      </c>
      <c r="B213" s="2" t="s">
        <v>3119</v>
      </c>
      <c r="C213" s="2" t="s">
        <v>3230</v>
      </c>
      <c r="D213" s="2" t="s">
        <v>95</v>
      </c>
      <c r="E213" s="2">
        <v>1</v>
      </c>
      <c r="F213" s="2">
        <v>1083</v>
      </c>
    </row>
    <row r="214" spans="1:6" x14ac:dyDescent="0.25">
      <c r="A214" s="4" t="s">
        <v>3123</v>
      </c>
      <c r="B214" s="2" t="s">
        <v>3119</v>
      </c>
      <c r="C214" s="2" t="s">
        <v>3226</v>
      </c>
      <c r="D214" s="2" t="s">
        <v>95</v>
      </c>
      <c r="E214" s="2">
        <v>1</v>
      </c>
      <c r="F214" s="2">
        <v>1083</v>
      </c>
    </row>
    <row r="215" spans="1:6" x14ac:dyDescent="0.25">
      <c r="A215" s="4" t="s">
        <v>3123</v>
      </c>
      <c r="B215" s="2" t="s">
        <v>3119</v>
      </c>
      <c r="C215" s="2" t="s">
        <v>3158</v>
      </c>
      <c r="D215" s="2" t="s">
        <v>95</v>
      </c>
      <c r="E215" s="2">
        <v>1</v>
      </c>
      <c r="F215" s="2">
        <v>1083</v>
      </c>
    </row>
    <row r="216" spans="1:6" x14ac:dyDescent="0.25">
      <c r="A216" s="4" t="s">
        <v>3123</v>
      </c>
      <c r="B216" s="2" t="s">
        <v>3119</v>
      </c>
      <c r="C216" s="2" t="s">
        <v>3196</v>
      </c>
      <c r="D216" s="2" t="s">
        <v>95</v>
      </c>
      <c r="E216" s="2">
        <v>1</v>
      </c>
      <c r="F216" s="2">
        <v>1083</v>
      </c>
    </row>
    <row r="217" spans="1:6" x14ac:dyDescent="0.25">
      <c r="A217" s="4" t="s">
        <v>3123</v>
      </c>
      <c r="B217" s="2" t="s">
        <v>3119</v>
      </c>
      <c r="C217" s="2" t="s">
        <v>3177</v>
      </c>
      <c r="D217" s="2" t="s">
        <v>95</v>
      </c>
      <c r="E217" s="2">
        <v>1</v>
      </c>
      <c r="F217" s="2">
        <v>1083</v>
      </c>
    </row>
    <row r="218" spans="1:6" x14ac:dyDescent="0.25">
      <c r="A218" s="4" t="s">
        <v>3123</v>
      </c>
      <c r="B218" s="2" t="s">
        <v>3119</v>
      </c>
      <c r="C218" s="2" t="s">
        <v>3269</v>
      </c>
      <c r="D218" s="2" t="s">
        <v>95</v>
      </c>
      <c r="E218" s="2">
        <v>1</v>
      </c>
      <c r="F218" s="2">
        <v>1083</v>
      </c>
    </row>
    <row r="219" spans="1:6" x14ac:dyDescent="0.25">
      <c r="A219" s="4" t="s">
        <v>3123</v>
      </c>
      <c r="B219" s="2" t="s">
        <v>3119</v>
      </c>
      <c r="C219" s="2" t="s">
        <v>3136</v>
      </c>
      <c r="D219" s="2" t="s">
        <v>95</v>
      </c>
      <c r="E219" s="2">
        <v>2</v>
      </c>
      <c r="F219" s="2">
        <v>1083</v>
      </c>
    </row>
    <row r="220" spans="1:6" x14ac:dyDescent="0.25">
      <c r="A220" s="4" t="s">
        <v>3123</v>
      </c>
      <c r="B220" s="2" t="s">
        <v>3119</v>
      </c>
      <c r="C220" s="2" t="s">
        <v>3277</v>
      </c>
      <c r="D220" s="2" t="s">
        <v>95</v>
      </c>
      <c r="E220" s="2">
        <v>1</v>
      </c>
      <c r="F220" s="2">
        <v>1083</v>
      </c>
    </row>
    <row r="221" spans="1:6" x14ac:dyDescent="0.25">
      <c r="A221" s="4" t="s">
        <v>3123</v>
      </c>
      <c r="B221" s="2" t="s">
        <v>3119</v>
      </c>
      <c r="C221" s="2" t="s">
        <v>3273</v>
      </c>
      <c r="D221" s="2" t="s">
        <v>95</v>
      </c>
      <c r="E221" s="2">
        <v>1</v>
      </c>
      <c r="F221" s="2">
        <v>1083</v>
      </c>
    </row>
    <row r="222" spans="1:6" x14ac:dyDescent="0.25">
      <c r="A222" s="4" t="s">
        <v>3123</v>
      </c>
      <c r="B222" s="2" t="s">
        <v>3119</v>
      </c>
      <c r="C222" s="2" t="s">
        <v>3235</v>
      </c>
      <c r="D222" s="2" t="s">
        <v>95</v>
      </c>
      <c r="E222" s="2">
        <v>1</v>
      </c>
      <c r="F222" s="2">
        <v>1083</v>
      </c>
    </row>
    <row r="223" spans="1:6" x14ac:dyDescent="0.25">
      <c r="A223" s="4" t="s">
        <v>3123</v>
      </c>
      <c r="B223" s="2" t="s">
        <v>3119</v>
      </c>
      <c r="C223" s="2" t="s">
        <v>3163</v>
      </c>
      <c r="D223" s="2" t="s">
        <v>95</v>
      </c>
      <c r="E223" s="2">
        <v>1</v>
      </c>
      <c r="F223" s="2">
        <v>1083</v>
      </c>
    </row>
    <row r="224" spans="1:6" x14ac:dyDescent="0.25">
      <c r="A224" s="4" t="s">
        <v>3123</v>
      </c>
      <c r="B224" s="2" t="s">
        <v>3119</v>
      </c>
      <c r="C224" s="2" t="s">
        <v>3172</v>
      </c>
      <c r="D224" s="2" t="s">
        <v>95</v>
      </c>
      <c r="E224" s="2">
        <v>1</v>
      </c>
      <c r="F224" s="2">
        <v>1083</v>
      </c>
    </row>
    <row r="225" spans="1:6" x14ac:dyDescent="0.25">
      <c r="A225" s="4" t="s">
        <v>3123</v>
      </c>
      <c r="B225" s="2" t="s">
        <v>3119</v>
      </c>
      <c r="C225" s="2" t="s">
        <v>3185</v>
      </c>
      <c r="D225" s="2" t="s">
        <v>95</v>
      </c>
      <c r="E225" s="2">
        <v>2</v>
      </c>
      <c r="F225" s="2">
        <v>1083</v>
      </c>
    </row>
    <row r="226" spans="1:6" x14ac:dyDescent="0.25">
      <c r="A226" s="4" t="s">
        <v>3123</v>
      </c>
      <c r="B226" s="2" t="s">
        <v>3119</v>
      </c>
      <c r="C226" s="2" t="s">
        <v>3260</v>
      </c>
      <c r="D226" s="2" t="s">
        <v>95</v>
      </c>
      <c r="E226" s="2">
        <v>1</v>
      </c>
      <c r="F226" s="2">
        <v>1083</v>
      </c>
    </row>
    <row r="227" spans="1:6" x14ac:dyDescent="0.25">
      <c r="A227" s="4" t="s">
        <v>3123</v>
      </c>
      <c r="B227" s="2" t="s">
        <v>3119</v>
      </c>
      <c r="C227" s="2" t="s">
        <v>3144</v>
      </c>
      <c r="D227" s="2" t="s">
        <v>95</v>
      </c>
      <c r="E227" s="2">
        <v>2</v>
      </c>
      <c r="F227" s="2">
        <v>1083</v>
      </c>
    </row>
    <row r="228" spans="1:6" x14ac:dyDescent="0.25">
      <c r="A228" s="4" t="s">
        <v>3123</v>
      </c>
      <c r="B228" s="2" t="s">
        <v>3119</v>
      </c>
      <c r="C228" s="2" t="s">
        <v>3167</v>
      </c>
      <c r="D228" s="2" t="s">
        <v>95</v>
      </c>
      <c r="E228" s="2">
        <v>1</v>
      </c>
      <c r="F228" s="2">
        <v>1083</v>
      </c>
    </row>
    <row r="229" spans="1:6" x14ac:dyDescent="0.25">
      <c r="A229" s="4" t="s">
        <v>3123</v>
      </c>
      <c r="B229" s="2" t="s">
        <v>3119</v>
      </c>
      <c r="C229" s="2" t="s">
        <v>3222</v>
      </c>
      <c r="D229" s="2" t="s">
        <v>95</v>
      </c>
      <c r="E229" s="2">
        <v>1</v>
      </c>
      <c r="F229" s="2">
        <v>1083</v>
      </c>
    </row>
    <row r="230" spans="1:6" x14ac:dyDescent="0.25">
      <c r="A230" s="4" t="s">
        <v>3123</v>
      </c>
      <c r="B230" s="2" t="s">
        <v>3119</v>
      </c>
      <c r="C230" s="2" t="s">
        <v>3213</v>
      </c>
      <c r="D230" s="2" t="s">
        <v>95</v>
      </c>
      <c r="E230" s="2">
        <v>1</v>
      </c>
      <c r="F230" s="2">
        <v>1083</v>
      </c>
    </row>
    <row r="231" spans="1:6" x14ac:dyDescent="0.25">
      <c r="A231" s="4" t="s">
        <v>3123</v>
      </c>
      <c r="B231" s="2" t="s">
        <v>3119</v>
      </c>
      <c r="C231" s="2" t="s">
        <v>3239</v>
      </c>
      <c r="D231" s="2" t="s">
        <v>95</v>
      </c>
      <c r="E231" s="2">
        <v>1</v>
      </c>
      <c r="F231" s="2">
        <v>1083</v>
      </c>
    </row>
    <row r="232" spans="1:6" x14ac:dyDescent="0.25">
      <c r="A232" s="4" t="s">
        <v>3123</v>
      </c>
      <c r="B232" s="2" t="s">
        <v>3119</v>
      </c>
      <c r="C232" s="2" t="s">
        <v>3204</v>
      </c>
      <c r="D232" s="2" t="s">
        <v>95</v>
      </c>
      <c r="E232" s="2">
        <v>1</v>
      </c>
      <c r="F232" s="2">
        <v>1083</v>
      </c>
    </row>
    <row r="233" spans="1:6" x14ac:dyDescent="0.25">
      <c r="A233" s="4" t="s">
        <v>3123</v>
      </c>
      <c r="B233" s="2" t="s">
        <v>3281</v>
      </c>
      <c r="C233" s="2" t="s">
        <v>3366</v>
      </c>
      <c r="D233" s="2" t="s">
        <v>95</v>
      </c>
      <c r="E233" s="2">
        <v>1</v>
      </c>
      <c r="F233" s="2">
        <v>1544</v>
      </c>
    </row>
    <row r="234" spans="1:6" x14ac:dyDescent="0.25">
      <c r="A234" s="4" t="s">
        <v>3123</v>
      </c>
      <c r="B234" s="2" t="s">
        <v>3281</v>
      </c>
      <c r="C234" s="2" t="s">
        <v>3402</v>
      </c>
      <c r="D234" s="2" t="s">
        <v>95</v>
      </c>
      <c r="E234" s="2">
        <v>1</v>
      </c>
      <c r="F234" s="2">
        <v>1544</v>
      </c>
    </row>
    <row r="235" spans="1:6" x14ac:dyDescent="0.25">
      <c r="A235" s="4" t="s">
        <v>3123</v>
      </c>
      <c r="B235" s="2" t="s">
        <v>3281</v>
      </c>
      <c r="C235" s="2" t="s">
        <v>3386</v>
      </c>
      <c r="D235" s="2" t="s">
        <v>95</v>
      </c>
      <c r="E235" s="2">
        <v>1</v>
      </c>
      <c r="F235" s="2">
        <v>1544</v>
      </c>
    </row>
    <row r="236" spans="1:6" x14ac:dyDescent="0.25">
      <c r="A236" s="4" t="s">
        <v>3123</v>
      </c>
      <c r="B236" s="2" t="s">
        <v>3281</v>
      </c>
      <c r="C236" s="2" t="s">
        <v>3425</v>
      </c>
      <c r="D236" s="2" t="s">
        <v>95</v>
      </c>
      <c r="E236" s="2">
        <v>1</v>
      </c>
      <c r="F236" s="2">
        <v>1544</v>
      </c>
    </row>
    <row r="237" spans="1:6" x14ac:dyDescent="0.25">
      <c r="A237" s="4" t="s">
        <v>3123</v>
      </c>
      <c r="B237" s="2" t="s">
        <v>3281</v>
      </c>
      <c r="C237" s="2" t="s">
        <v>3342</v>
      </c>
      <c r="D237" s="2" t="s">
        <v>95</v>
      </c>
      <c r="E237" s="2">
        <v>1</v>
      </c>
      <c r="F237" s="2">
        <v>1544</v>
      </c>
    </row>
    <row r="238" spans="1:6" x14ac:dyDescent="0.25">
      <c r="A238" s="4" t="s">
        <v>3123</v>
      </c>
      <c r="B238" s="2" t="s">
        <v>3281</v>
      </c>
      <c r="C238" s="2" t="s">
        <v>3362</v>
      </c>
      <c r="D238" s="2" t="s">
        <v>95</v>
      </c>
      <c r="E238" s="2">
        <v>1</v>
      </c>
      <c r="F238" s="2">
        <v>1544</v>
      </c>
    </row>
    <row r="239" spans="1:6" x14ac:dyDescent="0.25">
      <c r="A239" s="4" t="s">
        <v>3123</v>
      </c>
      <c r="B239" s="2" t="s">
        <v>3281</v>
      </c>
      <c r="C239" s="2" t="s">
        <v>3291</v>
      </c>
      <c r="D239" s="2" t="s">
        <v>95</v>
      </c>
      <c r="E239" s="2">
        <v>1</v>
      </c>
      <c r="F239" s="2">
        <v>1544</v>
      </c>
    </row>
    <row r="240" spans="1:6" x14ac:dyDescent="0.25">
      <c r="A240" s="4" t="s">
        <v>3123</v>
      </c>
      <c r="B240" s="2" t="s">
        <v>3281</v>
      </c>
      <c r="C240" s="2" t="s">
        <v>3420</v>
      </c>
      <c r="D240" s="2" t="s">
        <v>95</v>
      </c>
      <c r="E240" s="2">
        <v>1</v>
      </c>
      <c r="F240" s="2">
        <v>1544</v>
      </c>
    </row>
    <row r="241" spans="1:6" x14ac:dyDescent="0.25">
      <c r="A241" s="4" t="s">
        <v>3123</v>
      </c>
      <c r="B241" s="2" t="s">
        <v>3281</v>
      </c>
      <c r="C241" s="2" t="s">
        <v>3371</v>
      </c>
      <c r="D241" s="2" t="s">
        <v>95</v>
      </c>
      <c r="E241" s="2">
        <v>1</v>
      </c>
      <c r="F241" s="2">
        <v>1544</v>
      </c>
    </row>
    <row r="242" spans="1:6" x14ac:dyDescent="0.25">
      <c r="A242" s="4" t="s">
        <v>3123</v>
      </c>
      <c r="B242" s="2" t="s">
        <v>3281</v>
      </c>
      <c r="C242" s="2" t="s">
        <v>3322</v>
      </c>
      <c r="D242" s="2" t="s">
        <v>95</v>
      </c>
      <c r="E242" s="2">
        <v>1</v>
      </c>
      <c r="F242" s="2">
        <v>1544</v>
      </c>
    </row>
    <row r="243" spans="1:6" x14ac:dyDescent="0.25">
      <c r="A243" s="4" t="s">
        <v>3123</v>
      </c>
      <c r="B243" s="2" t="s">
        <v>3281</v>
      </c>
      <c r="C243" s="2" t="s">
        <v>3407</v>
      </c>
      <c r="D243" s="2" t="s">
        <v>95</v>
      </c>
      <c r="E243" s="2">
        <v>1</v>
      </c>
      <c r="F243" s="2">
        <v>1544</v>
      </c>
    </row>
    <row r="244" spans="1:6" x14ac:dyDescent="0.25">
      <c r="A244" s="4" t="s">
        <v>3123</v>
      </c>
      <c r="B244" s="2" t="s">
        <v>3281</v>
      </c>
      <c r="C244" s="2" t="s">
        <v>3307</v>
      </c>
      <c r="D244" s="2" t="s">
        <v>95</v>
      </c>
      <c r="E244" s="2">
        <v>1</v>
      </c>
      <c r="F244" s="2">
        <v>1544</v>
      </c>
    </row>
    <row r="245" spans="1:6" x14ac:dyDescent="0.25">
      <c r="A245" s="4" t="s">
        <v>3123</v>
      </c>
      <c r="B245" s="2" t="s">
        <v>3281</v>
      </c>
      <c r="C245" s="2" t="s">
        <v>3346</v>
      </c>
      <c r="D245" s="2" t="s">
        <v>95</v>
      </c>
      <c r="E245" s="2">
        <v>1</v>
      </c>
      <c r="F245" s="2">
        <v>1544</v>
      </c>
    </row>
    <row r="246" spans="1:6" x14ac:dyDescent="0.25">
      <c r="A246" s="4" t="s">
        <v>3123</v>
      </c>
      <c r="B246" s="2" t="s">
        <v>3281</v>
      </c>
      <c r="C246" s="2" t="s">
        <v>3398</v>
      </c>
      <c r="D246" s="2" t="s">
        <v>95</v>
      </c>
      <c r="E246" s="2">
        <v>1</v>
      </c>
      <c r="F246" s="2">
        <v>1544</v>
      </c>
    </row>
    <row r="247" spans="1:6" x14ac:dyDescent="0.25">
      <c r="A247" s="4" t="s">
        <v>3123</v>
      </c>
      <c r="B247" s="2" t="s">
        <v>3281</v>
      </c>
      <c r="C247" s="2" t="s">
        <v>3357</v>
      </c>
      <c r="D247" s="2" t="s">
        <v>95</v>
      </c>
      <c r="E247" s="2">
        <v>1</v>
      </c>
      <c r="F247" s="2">
        <v>1544</v>
      </c>
    </row>
    <row r="248" spans="1:6" x14ac:dyDescent="0.25">
      <c r="A248" s="4" t="s">
        <v>3123</v>
      </c>
      <c r="B248" s="2" t="s">
        <v>3281</v>
      </c>
      <c r="C248" s="2" t="s">
        <v>3353</v>
      </c>
      <c r="D248" s="2" t="s">
        <v>95</v>
      </c>
      <c r="E248" s="2">
        <v>2</v>
      </c>
      <c r="F248" s="2">
        <v>1544</v>
      </c>
    </row>
    <row r="249" spans="1:6" x14ac:dyDescent="0.25">
      <c r="A249" s="4" t="s">
        <v>3123</v>
      </c>
      <c r="B249" s="2" t="s">
        <v>3281</v>
      </c>
      <c r="C249" s="2" t="s">
        <v>3350</v>
      </c>
      <c r="D249" s="2" t="s">
        <v>95</v>
      </c>
      <c r="E249" s="2">
        <v>1</v>
      </c>
      <c r="F249" s="2">
        <v>1544</v>
      </c>
    </row>
    <row r="250" spans="1:6" x14ac:dyDescent="0.25">
      <c r="A250" s="4" t="s">
        <v>3123</v>
      </c>
      <c r="B250" s="2" t="s">
        <v>3281</v>
      </c>
      <c r="C250" s="2" t="s">
        <v>3330</v>
      </c>
      <c r="D250" s="2" t="s">
        <v>95</v>
      </c>
      <c r="E250" s="2">
        <v>1</v>
      </c>
      <c r="F250" s="2">
        <v>1544</v>
      </c>
    </row>
    <row r="251" spans="1:6" x14ac:dyDescent="0.25">
      <c r="A251" s="4" t="s">
        <v>3123</v>
      </c>
      <c r="B251" s="2" t="s">
        <v>3281</v>
      </c>
      <c r="C251" s="2" t="s">
        <v>3415</v>
      </c>
      <c r="D251" s="2" t="s">
        <v>95</v>
      </c>
      <c r="E251" s="2">
        <v>1</v>
      </c>
      <c r="F251" s="2">
        <v>1544</v>
      </c>
    </row>
    <row r="252" spans="1:6" x14ac:dyDescent="0.25">
      <c r="A252" s="4" t="s">
        <v>3123</v>
      </c>
      <c r="B252" s="2" t="s">
        <v>3281</v>
      </c>
      <c r="C252" s="2" t="s">
        <v>3282</v>
      </c>
      <c r="D252" s="2" t="s">
        <v>95</v>
      </c>
      <c r="E252" s="2">
        <v>1</v>
      </c>
      <c r="F252" s="2">
        <v>1544</v>
      </c>
    </row>
    <row r="253" spans="1:6" x14ac:dyDescent="0.25">
      <c r="A253" s="4" t="s">
        <v>3123</v>
      </c>
      <c r="B253" s="2" t="s">
        <v>3281</v>
      </c>
      <c r="C253" s="2" t="s">
        <v>3393</v>
      </c>
      <c r="D253" s="2" t="s">
        <v>95</v>
      </c>
      <c r="E253" s="2">
        <v>1</v>
      </c>
      <c r="F253" s="2">
        <v>1544</v>
      </c>
    </row>
    <row r="254" spans="1:6" x14ac:dyDescent="0.25">
      <c r="A254" s="4" t="s">
        <v>3123</v>
      </c>
      <c r="B254" s="2" t="s">
        <v>3430</v>
      </c>
      <c r="C254" s="2" t="s">
        <v>3494</v>
      </c>
      <c r="D254" s="2" t="s">
        <v>95</v>
      </c>
      <c r="E254" s="2">
        <v>1</v>
      </c>
      <c r="F254" s="2">
        <v>1168</v>
      </c>
    </row>
    <row r="255" spans="1:6" x14ac:dyDescent="0.25">
      <c r="A255" s="4" t="s">
        <v>3123</v>
      </c>
      <c r="B255" s="2" t="s">
        <v>3430</v>
      </c>
      <c r="C255" s="2" t="s">
        <v>3480</v>
      </c>
      <c r="D255" s="2" t="s">
        <v>95</v>
      </c>
      <c r="E255" s="2">
        <v>1</v>
      </c>
      <c r="F255" s="2">
        <v>1168</v>
      </c>
    </row>
    <row r="256" spans="1:6" x14ac:dyDescent="0.25">
      <c r="A256" s="4" t="s">
        <v>3123</v>
      </c>
      <c r="B256" s="2" t="s">
        <v>3430</v>
      </c>
      <c r="C256" s="2" t="s">
        <v>3450</v>
      </c>
      <c r="D256" s="2" t="s">
        <v>95</v>
      </c>
      <c r="E256" s="2">
        <v>1</v>
      </c>
      <c r="F256" s="2">
        <v>1168</v>
      </c>
    </row>
    <row r="257" spans="1:6" x14ac:dyDescent="0.25">
      <c r="A257" s="4" t="s">
        <v>3123</v>
      </c>
      <c r="B257" s="2" t="s">
        <v>3430</v>
      </c>
      <c r="C257" s="2" t="s">
        <v>3499</v>
      </c>
      <c r="D257" s="2" t="s">
        <v>95</v>
      </c>
      <c r="E257" s="2">
        <v>1</v>
      </c>
      <c r="F257" s="2">
        <v>1168</v>
      </c>
    </row>
    <row r="258" spans="1:6" x14ac:dyDescent="0.25">
      <c r="A258" s="4" t="s">
        <v>3123</v>
      </c>
      <c r="B258" s="2" t="s">
        <v>3430</v>
      </c>
      <c r="C258" s="2" t="s">
        <v>3435</v>
      </c>
      <c r="D258" s="2" t="s">
        <v>95</v>
      </c>
      <c r="E258" s="2">
        <v>4</v>
      </c>
      <c r="F258" s="2">
        <v>1168</v>
      </c>
    </row>
    <row r="259" spans="1:6" x14ac:dyDescent="0.25">
      <c r="A259" s="4" t="s">
        <v>3123</v>
      </c>
      <c r="B259" s="2" t="s">
        <v>3430</v>
      </c>
      <c r="C259" s="2" t="s">
        <v>3440</v>
      </c>
      <c r="D259" s="2" t="s">
        <v>95</v>
      </c>
      <c r="E259" s="2">
        <v>1</v>
      </c>
      <c r="F259" s="2">
        <v>1168</v>
      </c>
    </row>
    <row r="260" spans="1:6" x14ac:dyDescent="0.25">
      <c r="A260" s="4" t="s">
        <v>3123</v>
      </c>
      <c r="B260" s="2" t="s">
        <v>3430</v>
      </c>
      <c r="C260" s="2" t="s">
        <v>3431</v>
      </c>
      <c r="D260" s="2" t="s">
        <v>95</v>
      </c>
      <c r="E260" s="2">
        <v>1</v>
      </c>
      <c r="F260" s="2">
        <v>1168</v>
      </c>
    </row>
    <row r="261" spans="1:6" x14ac:dyDescent="0.25">
      <c r="A261" s="4" t="s">
        <v>3123</v>
      </c>
      <c r="B261" s="2" t="s">
        <v>3430</v>
      </c>
      <c r="C261" s="2" t="s">
        <v>3490</v>
      </c>
      <c r="D261" s="2" t="s">
        <v>95</v>
      </c>
      <c r="E261" s="2">
        <v>2</v>
      </c>
      <c r="F261" s="2">
        <v>1168</v>
      </c>
    </row>
    <row r="262" spans="1:6" x14ac:dyDescent="0.25">
      <c r="A262" s="4" t="s">
        <v>3123</v>
      </c>
      <c r="B262" s="2" t="s">
        <v>3430</v>
      </c>
      <c r="C262" s="2" t="s">
        <v>3522</v>
      </c>
      <c r="D262" s="2" t="s">
        <v>95</v>
      </c>
      <c r="E262" s="2">
        <v>1</v>
      </c>
      <c r="F262" s="2">
        <v>1168</v>
      </c>
    </row>
    <row r="263" spans="1:6" x14ac:dyDescent="0.25">
      <c r="A263" s="4" t="s">
        <v>3123</v>
      </c>
      <c r="B263" s="2" t="s">
        <v>3430</v>
      </c>
      <c r="C263" s="2" t="s">
        <v>3518</v>
      </c>
      <c r="D263" s="2" t="s">
        <v>95</v>
      </c>
      <c r="E263" s="2">
        <v>1</v>
      </c>
      <c r="F263" s="2">
        <v>1168</v>
      </c>
    </row>
    <row r="264" spans="1:6" x14ac:dyDescent="0.25">
      <c r="A264" s="4" t="s">
        <v>3123</v>
      </c>
      <c r="B264" s="2" t="s">
        <v>3430</v>
      </c>
      <c r="C264" s="2" t="s">
        <v>3530</v>
      </c>
      <c r="D264" s="2" t="s">
        <v>95</v>
      </c>
      <c r="E264" s="2">
        <v>1</v>
      </c>
      <c r="F264" s="2">
        <v>1168</v>
      </c>
    </row>
    <row r="265" spans="1:6" x14ac:dyDescent="0.25">
      <c r="A265" s="4" t="s">
        <v>3123</v>
      </c>
      <c r="B265" s="2" t="s">
        <v>3430</v>
      </c>
      <c r="C265" s="2" t="s">
        <v>3445</v>
      </c>
      <c r="D265" s="2" t="s">
        <v>95</v>
      </c>
      <c r="E265" s="2">
        <v>1</v>
      </c>
      <c r="F265" s="2">
        <v>1168</v>
      </c>
    </row>
    <row r="266" spans="1:6" x14ac:dyDescent="0.25">
      <c r="A266" s="4" t="s">
        <v>3123</v>
      </c>
      <c r="B266" s="2" t="s">
        <v>3430</v>
      </c>
      <c r="C266" s="2" t="s">
        <v>3472</v>
      </c>
      <c r="D266" s="2" t="s">
        <v>95</v>
      </c>
      <c r="E266" s="2">
        <v>1</v>
      </c>
      <c r="F266" s="2">
        <v>1168</v>
      </c>
    </row>
    <row r="267" spans="1:6" x14ac:dyDescent="0.25">
      <c r="A267" s="4" t="s">
        <v>3123</v>
      </c>
      <c r="B267" s="2" t="s">
        <v>3430</v>
      </c>
      <c r="C267" s="2" t="s">
        <v>3538</v>
      </c>
      <c r="D267" s="2" t="s">
        <v>95</v>
      </c>
      <c r="E267" s="2">
        <v>1</v>
      </c>
      <c r="F267" s="2">
        <v>1168</v>
      </c>
    </row>
    <row r="268" spans="1:6" x14ac:dyDescent="0.25">
      <c r="A268" s="4" t="s">
        <v>3123</v>
      </c>
      <c r="B268" s="2" t="s">
        <v>3430</v>
      </c>
      <c r="C268" s="2" t="s">
        <v>3507</v>
      </c>
      <c r="D268" s="2" t="s">
        <v>95</v>
      </c>
      <c r="E268" s="2">
        <v>1</v>
      </c>
      <c r="F268" s="2">
        <v>1168</v>
      </c>
    </row>
    <row r="269" spans="1:6" x14ac:dyDescent="0.25">
      <c r="A269" s="4" t="s">
        <v>3123</v>
      </c>
      <c r="B269" s="2" t="s">
        <v>3430</v>
      </c>
      <c r="C269" s="2" t="s">
        <v>3511</v>
      </c>
      <c r="D269" s="2" t="s">
        <v>95</v>
      </c>
      <c r="E269" s="2">
        <v>1</v>
      </c>
      <c r="F269" s="2">
        <v>1168</v>
      </c>
    </row>
    <row r="270" spans="1:6" x14ac:dyDescent="0.25">
      <c r="A270" s="4" t="s">
        <v>3123</v>
      </c>
      <c r="B270" s="2" t="s">
        <v>3430</v>
      </c>
      <c r="C270" s="2" t="s">
        <v>3467</v>
      </c>
      <c r="D270" s="2" t="s">
        <v>95</v>
      </c>
      <c r="E270" s="2">
        <v>2</v>
      </c>
      <c r="F270" s="2">
        <v>1168</v>
      </c>
    </row>
    <row r="271" spans="1:6" x14ac:dyDescent="0.25">
      <c r="A271" s="4" t="s">
        <v>3123</v>
      </c>
      <c r="B271" s="2" t="s">
        <v>3430</v>
      </c>
      <c r="C271" s="2" t="s">
        <v>3455</v>
      </c>
      <c r="D271" s="2" t="s">
        <v>95</v>
      </c>
      <c r="E271" s="2">
        <v>1</v>
      </c>
      <c r="F271" s="2">
        <v>1168</v>
      </c>
    </row>
    <row r="272" spans="1:6" x14ac:dyDescent="0.25">
      <c r="A272" s="4" t="s">
        <v>3123</v>
      </c>
      <c r="B272" s="2" t="s">
        <v>3430</v>
      </c>
      <c r="C272" s="2" t="s">
        <v>3534</v>
      </c>
      <c r="D272" s="2" t="s">
        <v>95</v>
      </c>
      <c r="E272" s="2">
        <v>1</v>
      </c>
      <c r="F272" s="2">
        <v>1168</v>
      </c>
    </row>
    <row r="273" spans="1:6" x14ac:dyDescent="0.25">
      <c r="A273" s="4" t="s">
        <v>338</v>
      </c>
      <c r="B273" s="2" t="s">
        <v>1198</v>
      </c>
      <c r="C273" s="2" t="s">
        <v>1199</v>
      </c>
      <c r="D273" s="2" t="s">
        <v>20</v>
      </c>
      <c r="E273" s="2">
        <v>25</v>
      </c>
      <c r="F273" s="2">
        <v>2833</v>
      </c>
    </row>
    <row r="274" spans="1:6" x14ac:dyDescent="0.25">
      <c r="A274" s="4" t="s">
        <v>338</v>
      </c>
      <c r="B274" s="2" t="s">
        <v>405</v>
      </c>
      <c r="C274" s="2" t="s">
        <v>422</v>
      </c>
      <c r="D274" s="2" t="s">
        <v>20</v>
      </c>
      <c r="E274" s="2">
        <v>3</v>
      </c>
      <c r="F274" s="2">
        <v>675</v>
      </c>
    </row>
    <row r="275" spans="1:6" x14ac:dyDescent="0.25">
      <c r="A275" s="4" t="s">
        <v>338</v>
      </c>
      <c r="B275" s="2" t="s">
        <v>405</v>
      </c>
      <c r="C275" s="2" t="s">
        <v>543</v>
      </c>
      <c r="D275" s="2" t="s">
        <v>20</v>
      </c>
      <c r="E275" s="2">
        <v>1</v>
      </c>
      <c r="F275" s="2">
        <v>675</v>
      </c>
    </row>
    <row r="276" spans="1:6" x14ac:dyDescent="0.25">
      <c r="A276" s="4" t="s">
        <v>338</v>
      </c>
      <c r="B276" s="2" t="s">
        <v>548</v>
      </c>
      <c r="C276" s="2" t="s">
        <v>558</v>
      </c>
      <c r="D276" s="2" t="s">
        <v>20</v>
      </c>
      <c r="E276" s="2">
        <v>8</v>
      </c>
      <c r="F276" s="2">
        <v>628</v>
      </c>
    </row>
    <row r="277" spans="1:6" x14ac:dyDescent="0.25">
      <c r="A277" s="4" t="s">
        <v>338</v>
      </c>
      <c r="B277" s="2" t="s">
        <v>1344</v>
      </c>
      <c r="C277" s="2" t="s">
        <v>1503</v>
      </c>
      <c r="D277" s="2" t="s">
        <v>20</v>
      </c>
      <c r="E277" s="2">
        <v>3</v>
      </c>
      <c r="F277" s="2">
        <v>1673</v>
      </c>
    </row>
    <row r="278" spans="1:6" x14ac:dyDescent="0.25">
      <c r="A278" s="4" t="s">
        <v>338</v>
      </c>
      <c r="B278" s="2" t="s">
        <v>1344</v>
      </c>
      <c r="C278" s="2" t="s">
        <v>1410</v>
      </c>
      <c r="D278" s="2" t="s">
        <v>20</v>
      </c>
      <c r="E278" s="2">
        <v>3</v>
      </c>
      <c r="F278" s="2">
        <v>1673</v>
      </c>
    </row>
    <row r="279" spans="1:6" x14ac:dyDescent="0.25">
      <c r="A279" s="4" t="s">
        <v>338</v>
      </c>
      <c r="B279" s="2" t="s">
        <v>783</v>
      </c>
      <c r="C279" s="2" t="s">
        <v>1034</v>
      </c>
      <c r="D279" s="2" t="s">
        <v>20</v>
      </c>
      <c r="E279" s="2">
        <v>1</v>
      </c>
      <c r="F279" s="2">
        <v>0</v>
      </c>
    </row>
    <row r="280" spans="1:6" x14ac:dyDescent="0.25">
      <c r="A280" s="4" t="s">
        <v>338</v>
      </c>
      <c r="B280" s="2" t="s">
        <v>783</v>
      </c>
      <c r="C280" s="2" t="s">
        <v>788</v>
      </c>
      <c r="D280" s="2" t="s">
        <v>20</v>
      </c>
      <c r="E280" s="2">
        <v>7</v>
      </c>
      <c r="F280" s="2">
        <v>0</v>
      </c>
    </row>
    <row r="281" spans="1:6" x14ac:dyDescent="0.25">
      <c r="A281" s="4" t="s">
        <v>338</v>
      </c>
      <c r="B281" s="2" t="s">
        <v>783</v>
      </c>
      <c r="C281" s="2" t="s">
        <v>900</v>
      </c>
      <c r="D281" s="2" t="s">
        <v>20</v>
      </c>
      <c r="E281" s="2">
        <v>1</v>
      </c>
      <c r="F281" s="2">
        <v>0</v>
      </c>
    </row>
    <row r="282" spans="1:6" x14ac:dyDescent="0.25">
      <c r="A282" s="4" t="s">
        <v>338</v>
      </c>
      <c r="B282" s="2" t="s">
        <v>783</v>
      </c>
      <c r="C282" s="2" t="s">
        <v>937</v>
      </c>
      <c r="D282" s="2" t="s">
        <v>20</v>
      </c>
      <c r="E282" s="2">
        <v>1</v>
      </c>
      <c r="F282" s="2">
        <v>0</v>
      </c>
    </row>
    <row r="283" spans="1:6" x14ac:dyDescent="0.25">
      <c r="A283" s="4" t="s">
        <v>338</v>
      </c>
      <c r="B283" s="2" t="s">
        <v>1175</v>
      </c>
      <c r="C283" s="2" t="s">
        <v>1185</v>
      </c>
      <c r="D283" s="2" t="s">
        <v>95</v>
      </c>
      <c r="E283" s="2">
        <v>2</v>
      </c>
      <c r="F283" s="2">
        <v>3619</v>
      </c>
    </row>
    <row r="284" spans="1:6" x14ac:dyDescent="0.25">
      <c r="A284" s="4" t="s">
        <v>338</v>
      </c>
      <c r="B284" s="2" t="s">
        <v>1175</v>
      </c>
      <c r="C284" s="2" t="s">
        <v>1176</v>
      </c>
      <c r="D284" s="2" t="s">
        <v>95</v>
      </c>
      <c r="E284" s="2">
        <v>4</v>
      </c>
      <c r="F284" s="2">
        <v>3619</v>
      </c>
    </row>
    <row r="285" spans="1:6" x14ac:dyDescent="0.25">
      <c r="A285" s="4" t="s">
        <v>338</v>
      </c>
      <c r="B285" s="2" t="s">
        <v>334</v>
      </c>
      <c r="C285" s="2" t="s">
        <v>350</v>
      </c>
      <c r="D285" s="2" t="s">
        <v>95</v>
      </c>
      <c r="E285" s="2">
        <v>4</v>
      </c>
      <c r="F285" s="2">
        <v>201</v>
      </c>
    </row>
    <row r="286" spans="1:6" x14ac:dyDescent="0.25">
      <c r="A286" s="4" t="s">
        <v>338</v>
      </c>
      <c r="B286" s="2" t="s">
        <v>334</v>
      </c>
      <c r="C286" s="2" t="s">
        <v>375</v>
      </c>
      <c r="D286" s="2" t="s">
        <v>95</v>
      </c>
      <c r="E286" s="2">
        <v>2</v>
      </c>
      <c r="F286" s="2">
        <v>201</v>
      </c>
    </row>
    <row r="287" spans="1:6" x14ac:dyDescent="0.25">
      <c r="A287" s="4" t="s">
        <v>338</v>
      </c>
      <c r="B287" s="2" t="s">
        <v>334</v>
      </c>
      <c r="C287" s="2" t="s">
        <v>335</v>
      </c>
      <c r="D287" s="2" t="s">
        <v>95</v>
      </c>
      <c r="E287" s="2">
        <v>4</v>
      </c>
      <c r="F287" s="2">
        <v>201</v>
      </c>
    </row>
    <row r="288" spans="1:6" x14ac:dyDescent="0.25">
      <c r="A288" s="4" t="s">
        <v>338</v>
      </c>
      <c r="B288" s="2" t="s">
        <v>334</v>
      </c>
      <c r="C288" s="2" t="s">
        <v>368</v>
      </c>
      <c r="D288" s="2" t="s">
        <v>95</v>
      </c>
      <c r="E288" s="2">
        <v>1</v>
      </c>
      <c r="F288" s="2">
        <v>201</v>
      </c>
    </row>
    <row r="289" spans="1:6" x14ac:dyDescent="0.25">
      <c r="A289" s="4" t="s">
        <v>338</v>
      </c>
      <c r="B289" s="2" t="s">
        <v>334</v>
      </c>
      <c r="C289" s="2" t="s">
        <v>345</v>
      </c>
      <c r="D289" s="2" t="s">
        <v>95</v>
      </c>
      <c r="E289" s="2">
        <v>2</v>
      </c>
      <c r="F289" s="2">
        <v>201</v>
      </c>
    </row>
    <row r="290" spans="1:6" x14ac:dyDescent="0.25">
      <c r="A290" s="4" t="s">
        <v>338</v>
      </c>
      <c r="B290" s="2" t="s">
        <v>334</v>
      </c>
      <c r="C290" s="2" t="s">
        <v>363</v>
      </c>
      <c r="D290" s="2" t="s">
        <v>95</v>
      </c>
      <c r="E290" s="2">
        <v>1</v>
      </c>
      <c r="F290" s="2">
        <v>201</v>
      </c>
    </row>
    <row r="291" spans="1:6" x14ac:dyDescent="0.25">
      <c r="A291" s="4" t="s">
        <v>338</v>
      </c>
      <c r="B291" s="2" t="s">
        <v>334</v>
      </c>
      <c r="C291" s="2" t="s">
        <v>341</v>
      </c>
      <c r="D291" s="2" t="s">
        <v>95</v>
      </c>
      <c r="E291" s="2">
        <v>1</v>
      </c>
      <c r="F291" s="2">
        <v>201</v>
      </c>
    </row>
    <row r="292" spans="1:6" x14ac:dyDescent="0.25">
      <c r="A292" s="4" t="s">
        <v>338</v>
      </c>
      <c r="B292" s="2" t="s">
        <v>334</v>
      </c>
      <c r="C292" s="2" t="s">
        <v>390</v>
      </c>
      <c r="D292" s="2" t="s">
        <v>95</v>
      </c>
      <c r="E292" s="2">
        <v>1</v>
      </c>
      <c r="F292" s="2">
        <v>201</v>
      </c>
    </row>
    <row r="293" spans="1:6" x14ac:dyDescent="0.25">
      <c r="A293" s="4" t="s">
        <v>338</v>
      </c>
      <c r="B293" s="2" t="s">
        <v>334</v>
      </c>
      <c r="C293" s="2" t="s">
        <v>386</v>
      </c>
      <c r="D293" s="2" t="s">
        <v>95</v>
      </c>
      <c r="E293" s="2">
        <v>1</v>
      </c>
      <c r="F293" s="2">
        <v>201</v>
      </c>
    </row>
    <row r="294" spans="1:6" x14ac:dyDescent="0.25">
      <c r="A294" s="4" t="s">
        <v>338</v>
      </c>
      <c r="B294" s="2" t="s">
        <v>334</v>
      </c>
      <c r="C294" s="2" t="s">
        <v>394</v>
      </c>
      <c r="D294" s="2" t="s">
        <v>95</v>
      </c>
      <c r="E294" s="2">
        <v>2</v>
      </c>
      <c r="F294" s="2">
        <v>201</v>
      </c>
    </row>
    <row r="295" spans="1:6" x14ac:dyDescent="0.25">
      <c r="A295" s="4" t="s">
        <v>338</v>
      </c>
      <c r="B295" s="2" t="s">
        <v>1198</v>
      </c>
      <c r="C295" s="2" t="s">
        <v>1238</v>
      </c>
      <c r="D295" s="2" t="s">
        <v>95</v>
      </c>
      <c r="E295" s="2">
        <v>1</v>
      </c>
      <c r="F295" s="2">
        <v>2833</v>
      </c>
    </row>
    <row r="296" spans="1:6" x14ac:dyDescent="0.25">
      <c r="A296" s="4" t="s">
        <v>338</v>
      </c>
      <c r="B296" s="2" t="s">
        <v>1198</v>
      </c>
      <c r="C296" s="2" t="s">
        <v>1274</v>
      </c>
      <c r="D296" s="2" t="s">
        <v>95</v>
      </c>
      <c r="E296" s="2">
        <v>1</v>
      </c>
      <c r="F296" s="2">
        <v>2833</v>
      </c>
    </row>
    <row r="297" spans="1:6" x14ac:dyDescent="0.25">
      <c r="A297" s="4" t="s">
        <v>338</v>
      </c>
      <c r="B297" s="2" t="s">
        <v>1290</v>
      </c>
      <c r="C297" s="2" t="s">
        <v>1291</v>
      </c>
      <c r="D297" s="2" t="s">
        <v>95</v>
      </c>
      <c r="E297" s="2">
        <v>12</v>
      </c>
      <c r="F297" s="2">
        <v>2004</v>
      </c>
    </row>
    <row r="298" spans="1:6" x14ac:dyDescent="0.25">
      <c r="A298" s="4" t="s">
        <v>338</v>
      </c>
      <c r="B298" s="2" t="s">
        <v>1290</v>
      </c>
      <c r="C298" s="2" t="s">
        <v>1296</v>
      </c>
      <c r="D298" s="2" t="s">
        <v>95</v>
      </c>
      <c r="E298" s="2">
        <v>3</v>
      </c>
      <c r="F298" s="2">
        <v>2004</v>
      </c>
    </row>
    <row r="299" spans="1:6" x14ac:dyDescent="0.25">
      <c r="A299" s="4" t="s">
        <v>338</v>
      </c>
      <c r="B299" s="2" t="s">
        <v>405</v>
      </c>
      <c r="C299" s="2" t="s">
        <v>467</v>
      </c>
      <c r="D299" s="2" t="s">
        <v>95</v>
      </c>
      <c r="E299" s="2">
        <v>1</v>
      </c>
      <c r="F299" s="2">
        <v>675</v>
      </c>
    </row>
    <row r="300" spans="1:6" x14ac:dyDescent="0.25">
      <c r="A300" s="4" t="s">
        <v>338</v>
      </c>
      <c r="B300" s="2" t="s">
        <v>405</v>
      </c>
      <c r="C300" s="2" t="s">
        <v>458</v>
      </c>
      <c r="D300" s="2" t="s">
        <v>95</v>
      </c>
      <c r="E300" s="2">
        <v>2</v>
      </c>
      <c r="F300" s="2">
        <v>675</v>
      </c>
    </row>
    <row r="301" spans="1:6" x14ac:dyDescent="0.25">
      <c r="A301" s="4" t="s">
        <v>338</v>
      </c>
      <c r="B301" s="2" t="s">
        <v>405</v>
      </c>
      <c r="C301" s="2" t="s">
        <v>471</v>
      </c>
      <c r="D301" s="2" t="s">
        <v>95</v>
      </c>
      <c r="E301" s="2">
        <v>1</v>
      </c>
      <c r="F301" s="2">
        <v>675</v>
      </c>
    </row>
    <row r="302" spans="1:6" x14ac:dyDescent="0.25">
      <c r="A302" s="4" t="s">
        <v>338</v>
      </c>
      <c r="B302" s="2" t="s">
        <v>405</v>
      </c>
      <c r="C302" s="2" t="s">
        <v>519</v>
      </c>
      <c r="D302" s="2" t="s">
        <v>95</v>
      </c>
      <c r="E302" s="2">
        <v>1</v>
      </c>
      <c r="F302" s="2">
        <v>675</v>
      </c>
    </row>
    <row r="303" spans="1:6" x14ac:dyDescent="0.25">
      <c r="A303" s="4" t="s">
        <v>338</v>
      </c>
      <c r="B303" s="2" t="s">
        <v>405</v>
      </c>
      <c r="C303" s="2" t="s">
        <v>478</v>
      </c>
      <c r="D303" s="2" t="s">
        <v>95</v>
      </c>
      <c r="E303" s="2">
        <v>1</v>
      </c>
      <c r="F303" s="2">
        <v>675</v>
      </c>
    </row>
    <row r="304" spans="1:6" x14ac:dyDescent="0.25">
      <c r="A304" s="4" t="s">
        <v>338</v>
      </c>
      <c r="B304" s="2" t="s">
        <v>405</v>
      </c>
      <c r="C304" s="2" t="s">
        <v>444</v>
      </c>
      <c r="D304" s="2" t="s">
        <v>95</v>
      </c>
      <c r="E304" s="2">
        <v>2</v>
      </c>
      <c r="F304" s="2">
        <v>675</v>
      </c>
    </row>
    <row r="305" spans="1:6" x14ac:dyDescent="0.25">
      <c r="A305" s="4" t="s">
        <v>338</v>
      </c>
      <c r="B305" s="2" t="s">
        <v>405</v>
      </c>
      <c r="C305" s="2" t="s">
        <v>483</v>
      </c>
      <c r="D305" s="2" t="s">
        <v>95</v>
      </c>
      <c r="E305" s="2">
        <v>2</v>
      </c>
      <c r="F305" s="2">
        <v>675</v>
      </c>
    </row>
    <row r="306" spans="1:6" x14ac:dyDescent="0.25">
      <c r="A306" s="4" t="s">
        <v>338</v>
      </c>
      <c r="B306" s="2" t="s">
        <v>405</v>
      </c>
      <c r="C306" s="2" t="s">
        <v>528</v>
      </c>
      <c r="D306" s="2" t="s">
        <v>95</v>
      </c>
      <c r="E306" s="2">
        <v>1</v>
      </c>
      <c r="F306" s="2">
        <v>675</v>
      </c>
    </row>
    <row r="307" spans="1:6" x14ac:dyDescent="0.25">
      <c r="A307" s="4" t="s">
        <v>338</v>
      </c>
      <c r="B307" s="2" t="s">
        <v>405</v>
      </c>
      <c r="C307" s="2" t="s">
        <v>535</v>
      </c>
      <c r="D307" s="2" t="s">
        <v>95</v>
      </c>
      <c r="E307" s="2">
        <v>1</v>
      </c>
      <c r="F307" s="2">
        <v>675</v>
      </c>
    </row>
    <row r="308" spans="1:6" x14ac:dyDescent="0.25">
      <c r="A308" s="4" t="s">
        <v>338</v>
      </c>
      <c r="B308" s="2" t="s">
        <v>405</v>
      </c>
      <c r="C308" s="2" t="s">
        <v>427</v>
      </c>
      <c r="D308" s="2" t="s">
        <v>95</v>
      </c>
      <c r="E308" s="2">
        <v>1</v>
      </c>
      <c r="F308" s="2">
        <v>675</v>
      </c>
    </row>
    <row r="309" spans="1:6" x14ac:dyDescent="0.25">
      <c r="A309" s="4" t="s">
        <v>338</v>
      </c>
      <c r="B309" s="2" t="s">
        <v>405</v>
      </c>
      <c r="C309" s="2" t="s">
        <v>487</v>
      </c>
      <c r="D309" s="2" t="s">
        <v>95</v>
      </c>
      <c r="E309" s="2">
        <v>1</v>
      </c>
      <c r="F309" s="2">
        <v>675</v>
      </c>
    </row>
    <row r="310" spans="1:6" x14ac:dyDescent="0.25">
      <c r="A310" s="4" t="s">
        <v>338</v>
      </c>
      <c r="B310" s="2" t="s">
        <v>405</v>
      </c>
      <c r="C310" s="2" t="s">
        <v>499</v>
      </c>
      <c r="D310" s="2" t="s">
        <v>95</v>
      </c>
      <c r="E310" s="2">
        <v>1</v>
      </c>
      <c r="F310" s="2">
        <v>675</v>
      </c>
    </row>
    <row r="311" spans="1:6" x14ac:dyDescent="0.25">
      <c r="A311" s="4" t="s">
        <v>338</v>
      </c>
      <c r="B311" s="2" t="s">
        <v>405</v>
      </c>
      <c r="C311" s="2" t="s">
        <v>414</v>
      </c>
      <c r="D311" s="2" t="s">
        <v>95</v>
      </c>
      <c r="E311" s="2">
        <v>1</v>
      </c>
      <c r="F311" s="2">
        <v>675</v>
      </c>
    </row>
    <row r="312" spans="1:6" x14ac:dyDescent="0.25">
      <c r="A312" s="4" t="s">
        <v>338</v>
      </c>
      <c r="B312" s="2" t="s">
        <v>405</v>
      </c>
      <c r="C312" s="2" t="s">
        <v>463</v>
      </c>
      <c r="D312" s="2" t="s">
        <v>95</v>
      </c>
      <c r="E312" s="2">
        <v>1</v>
      </c>
      <c r="F312" s="2">
        <v>675</v>
      </c>
    </row>
    <row r="313" spans="1:6" x14ac:dyDescent="0.25">
      <c r="A313" s="4" t="s">
        <v>338</v>
      </c>
      <c r="B313" s="2" t="s">
        <v>405</v>
      </c>
      <c r="C313" s="2" t="s">
        <v>452</v>
      </c>
      <c r="D313" s="2" t="s">
        <v>95</v>
      </c>
      <c r="E313" s="2">
        <v>1</v>
      </c>
      <c r="F313" s="2">
        <v>675</v>
      </c>
    </row>
    <row r="314" spans="1:6" x14ac:dyDescent="0.25">
      <c r="A314" s="4" t="s">
        <v>338</v>
      </c>
      <c r="B314" s="2" t="s">
        <v>405</v>
      </c>
      <c r="C314" s="2" t="s">
        <v>523</v>
      </c>
      <c r="D314" s="2" t="s">
        <v>95</v>
      </c>
      <c r="E314" s="2">
        <v>1</v>
      </c>
      <c r="F314" s="2">
        <v>675</v>
      </c>
    </row>
    <row r="315" spans="1:6" x14ac:dyDescent="0.25">
      <c r="A315" s="4" t="s">
        <v>338</v>
      </c>
      <c r="B315" s="2" t="s">
        <v>405</v>
      </c>
      <c r="C315" s="2" t="s">
        <v>439</v>
      </c>
      <c r="D315" s="2" t="s">
        <v>95</v>
      </c>
      <c r="E315" s="2">
        <v>1</v>
      </c>
      <c r="F315" s="2">
        <v>675</v>
      </c>
    </row>
    <row r="316" spans="1:6" x14ac:dyDescent="0.25">
      <c r="A316" s="4" t="s">
        <v>338</v>
      </c>
      <c r="B316" s="2" t="s">
        <v>405</v>
      </c>
      <c r="C316" s="2" t="s">
        <v>448</v>
      </c>
      <c r="D316" s="2" t="s">
        <v>95</v>
      </c>
      <c r="E316" s="2">
        <v>1</v>
      </c>
      <c r="F316" s="2">
        <v>675</v>
      </c>
    </row>
    <row r="317" spans="1:6" x14ac:dyDescent="0.25">
      <c r="A317" s="4" t="s">
        <v>338</v>
      </c>
      <c r="B317" s="2" t="s">
        <v>405</v>
      </c>
      <c r="C317" s="2" t="s">
        <v>503</v>
      </c>
      <c r="D317" s="2" t="s">
        <v>95</v>
      </c>
      <c r="E317" s="2">
        <v>1</v>
      </c>
      <c r="F317" s="2">
        <v>675</v>
      </c>
    </row>
    <row r="318" spans="1:6" x14ac:dyDescent="0.25">
      <c r="A318" s="4" t="s">
        <v>338</v>
      </c>
      <c r="B318" s="2" t="s">
        <v>405</v>
      </c>
      <c r="C318" s="2" t="s">
        <v>418</v>
      </c>
      <c r="D318" s="2" t="s">
        <v>95</v>
      </c>
      <c r="E318" s="2">
        <v>3</v>
      </c>
      <c r="F318" s="2">
        <v>675</v>
      </c>
    </row>
    <row r="319" spans="1:6" x14ac:dyDescent="0.25">
      <c r="A319" s="4" t="s">
        <v>338</v>
      </c>
      <c r="B319" s="2" t="s">
        <v>405</v>
      </c>
      <c r="C319" s="2" t="s">
        <v>512</v>
      </c>
      <c r="D319" s="2" t="s">
        <v>95</v>
      </c>
      <c r="E319" s="2">
        <v>1</v>
      </c>
      <c r="F319" s="2">
        <v>675</v>
      </c>
    </row>
    <row r="320" spans="1:6" x14ac:dyDescent="0.25">
      <c r="A320" s="4" t="s">
        <v>338</v>
      </c>
      <c r="B320" s="2" t="s">
        <v>405</v>
      </c>
      <c r="C320" s="2" t="s">
        <v>406</v>
      </c>
      <c r="D320" s="2" t="s">
        <v>95</v>
      </c>
      <c r="E320" s="2">
        <v>3</v>
      </c>
      <c r="F320" s="2">
        <v>675</v>
      </c>
    </row>
    <row r="321" spans="1:6" x14ac:dyDescent="0.25">
      <c r="A321" s="4" t="s">
        <v>338</v>
      </c>
      <c r="B321" s="2" t="s">
        <v>405</v>
      </c>
      <c r="C321" s="2" t="s">
        <v>495</v>
      </c>
      <c r="D321" s="2" t="s">
        <v>95</v>
      </c>
      <c r="E321" s="2">
        <v>2</v>
      </c>
      <c r="F321" s="2">
        <v>675</v>
      </c>
    </row>
    <row r="322" spans="1:6" x14ac:dyDescent="0.25">
      <c r="A322" s="4" t="s">
        <v>338</v>
      </c>
      <c r="B322" s="2" t="s">
        <v>405</v>
      </c>
      <c r="C322" s="2" t="s">
        <v>435</v>
      </c>
      <c r="D322" s="2" t="s">
        <v>95</v>
      </c>
      <c r="E322" s="2">
        <v>1</v>
      </c>
      <c r="F322" s="2">
        <v>675</v>
      </c>
    </row>
    <row r="323" spans="1:6" x14ac:dyDescent="0.25">
      <c r="A323" s="4" t="s">
        <v>338</v>
      </c>
      <c r="B323" s="2" t="s">
        <v>548</v>
      </c>
      <c r="C323" s="2" t="s">
        <v>604</v>
      </c>
      <c r="D323" s="2" t="s">
        <v>95</v>
      </c>
      <c r="E323" s="2">
        <v>1</v>
      </c>
      <c r="F323" s="2">
        <v>628</v>
      </c>
    </row>
    <row r="324" spans="1:6" x14ac:dyDescent="0.25">
      <c r="A324" s="4" t="s">
        <v>338</v>
      </c>
      <c r="B324" s="2" t="s">
        <v>548</v>
      </c>
      <c r="C324" s="2" t="s">
        <v>617</v>
      </c>
      <c r="D324" s="2" t="s">
        <v>95</v>
      </c>
      <c r="E324" s="2">
        <v>1</v>
      </c>
      <c r="F324" s="2">
        <v>628</v>
      </c>
    </row>
    <row r="325" spans="1:6" x14ac:dyDescent="0.25">
      <c r="A325" s="4" t="s">
        <v>338</v>
      </c>
      <c r="B325" s="2" t="s">
        <v>548</v>
      </c>
      <c r="C325" s="2" t="s">
        <v>549</v>
      </c>
      <c r="D325" s="2" t="s">
        <v>95</v>
      </c>
      <c r="E325" s="2">
        <v>2</v>
      </c>
      <c r="F325" s="2">
        <v>628</v>
      </c>
    </row>
    <row r="326" spans="1:6" x14ac:dyDescent="0.25">
      <c r="A326" s="4" t="s">
        <v>338</v>
      </c>
      <c r="B326" s="2" t="s">
        <v>548</v>
      </c>
      <c r="C326" s="2" t="s">
        <v>566</v>
      </c>
      <c r="D326" s="2" t="s">
        <v>95</v>
      </c>
      <c r="E326" s="2">
        <v>1</v>
      </c>
      <c r="F326" s="2">
        <v>628</v>
      </c>
    </row>
    <row r="327" spans="1:6" x14ac:dyDescent="0.25">
      <c r="A327" s="4" t="s">
        <v>338</v>
      </c>
      <c r="B327" s="2" t="s">
        <v>548</v>
      </c>
      <c r="C327" s="2" t="s">
        <v>608</v>
      </c>
      <c r="D327" s="2" t="s">
        <v>95</v>
      </c>
      <c r="E327" s="2">
        <v>2</v>
      </c>
      <c r="F327" s="2">
        <v>628</v>
      </c>
    </row>
    <row r="328" spans="1:6" x14ac:dyDescent="0.25">
      <c r="A328" s="4" t="s">
        <v>338</v>
      </c>
      <c r="B328" s="2" t="s">
        <v>548</v>
      </c>
      <c r="C328" s="2" t="s">
        <v>554</v>
      </c>
      <c r="D328" s="2" t="s">
        <v>95</v>
      </c>
      <c r="E328" s="2">
        <v>1</v>
      </c>
      <c r="F328" s="2">
        <v>628</v>
      </c>
    </row>
    <row r="329" spans="1:6" x14ac:dyDescent="0.25">
      <c r="A329" s="4" t="s">
        <v>338</v>
      </c>
      <c r="B329" s="2" t="s">
        <v>548</v>
      </c>
      <c r="C329" s="2" t="s">
        <v>578</v>
      </c>
      <c r="D329" s="2" t="s">
        <v>95</v>
      </c>
      <c r="E329" s="2">
        <v>1</v>
      </c>
      <c r="F329" s="2">
        <v>628</v>
      </c>
    </row>
    <row r="330" spans="1:6" x14ac:dyDescent="0.25">
      <c r="A330" s="4" t="s">
        <v>338</v>
      </c>
      <c r="B330" s="2" t="s">
        <v>548</v>
      </c>
      <c r="C330" s="2" t="s">
        <v>591</v>
      </c>
      <c r="D330" s="2" t="s">
        <v>95</v>
      </c>
      <c r="E330" s="2">
        <v>1</v>
      </c>
      <c r="F330" s="2">
        <v>628</v>
      </c>
    </row>
    <row r="331" spans="1:6" x14ac:dyDescent="0.25">
      <c r="A331" s="4" t="s">
        <v>338</v>
      </c>
      <c r="B331" s="2" t="s">
        <v>548</v>
      </c>
      <c r="C331" s="2" t="s">
        <v>599</v>
      </c>
      <c r="D331" s="2" t="s">
        <v>95</v>
      </c>
      <c r="E331" s="2">
        <v>2</v>
      </c>
      <c r="F331" s="2">
        <v>628</v>
      </c>
    </row>
    <row r="332" spans="1:6" x14ac:dyDescent="0.25">
      <c r="A332" s="4" t="s">
        <v>338</v>
      </c>
      <c r="B332" s="2" t="s">
        <v>631</v>
      </c>
      <c r="C332" s="2" t="s">
        <v>666</v>
      </c>
      <c r="D332" s="2" t="s">
        <v>95</v>
      </c>
      <c r="E332" s="2">
        <v>1</v>
      </c>
      <c r="F332" s="2">
        <v>1208</v>
      </c>
    </row>
    <row r="333" spans="1:6" x14ac:dyDescent="0.25">
      <c r="A333" s="4" t="s">
        <v>338</v>
      </c>
      <c r="B333" s="2" t="s">
        <v>631</v>
      </c>
      <c r="C333" s="2" t="s">
        <v>636</v>
      </c>
      <c r="D333" s="2" t="s">
        <v>95</v>
      </c>
      <c r="E333" s="2">
        <v>1</v>
      </c>
      <c r="F333" s="2">
        <v>1208</v>
      </c>
    </row>
    <row r="334" spans="1:6" x14ac:dyDescent="0.25">
      <c r="A334" s="4" t="s">
        <v>338</v>
      </c>
      <c r="B334" s="2" t="s">
        <v>631</v>
      </c>
      <c r="C334" s="2" t="s">
        <v>632</v>
      </c>
      <c r="D334" s="2" t="s">
        <v>95</v>
      </c>
      <c r="E334" s="2">
        <v>2</v>
      </c>
      <c r="F334" s="2">
        <v>1208</v>
      </c>
    </row>
    <row r="335" spans="1:6" x14ac:dyDescent="0.25">
      <c r="A335" s="4" t="s">
        <v>338</v>
      </c>
      <c r="B335" s="2" t="s">
        <v>631</v>
      </c>
      <c r="C335" s="2" t="s">
        <v>640</v>
      </c>
      <c r="D335" s="2" t="s">
        <v>95</v>
      </c>
      <c r="E335" s="2">
        <v>1</v>
      </c>
      <c r="F335" s="2">
        <v>1208</v>
      </c>
    </row>
    <row r="336" spans="1:6" x14ac:dyDescent="0.25">
      <c r="A336" s="4" t="s">
        <v>338</v>
      </c>
      <c r="B336" s="2" t="s">
        <v>631</v>
      </c>
      <c r="C336" s="2" t="s">
        <v>670</v>
      </c>
      <c r="D336" s="2" t="s">
        <v>95</v>
      </c>
      <c r="E336" s="2">
        <v>1</v>
      </c>
      <c r="F336" s="2">
        <v>1208</v>
      </c>
    </row>
    <row r="337" spans="1:6" x14ac:dyDescent="0.25">
      <c r="A337" s="4" t="s">
        <v>338</v>
      </c>
      <c r="B337" s="2" t="s">
        <v>631</v>
      </c>
      <c r="C337" s="2" t="s">
        <v>656</v>
      </c>
      <c r="D337" s="2" t="s">
        <v>95</v>
      </c>
      <c r="E337" s="2">
        <v>1</v>
      </c>
      <c r="F337" s="2">
        <v>1208</v>
      </c>
    </row>
    <row r="338" spans="1:6" x14ac:dyDescent="0.25">
      <c r="A338" s="4" t="s">
        <v>338</v>
      </c>
      <c r="B338" s="2" t="s">
        <v>631</v>
      </c>
      <c r="C338" s="2" t="s">
        <v>644</v>
      </c>
      <c r="D338" s="2" t="s">
        <v>95</v>
      </c>
      <c r="E338" s="2">
        <v>1</v>
      </c>
      <c r="F338" s="2">
        <v>1208</v>
      </c>
    </row>
    <row r="339" spans="1:6" x14ac:dyDescent="0.25">
      <c r="A339" s="4" t="s">
        <v>338</v>
      </c>
      <c r="B339" s="2" t="s">
        <v>631</v>
      </c>
      <c r="C339" s="2" t="s">
        <v>674</v>
      </c>
      <c r="D339" s="2" t="s">
        <v>95</v>
      </c>
      <c r="E339" s="2">
        <v>1</v>
      </c>
      <c r="F339" s="2">
        <v>1208</v>
      </c>
    </row>
    <row r="340" spans="1:6" x14ac:dyDescent="0.25">
      <c r="A340" s="4" t="s">
        <v>338</v>
      </c>
      <c r="B340" s="2" t="s">
        <v>631</v>
      </c>
      <c r="C340" s="2" t="s">
        <v>648</v>
      </c>
      <c r="D340" s="2" t="s">
        <v>95</v>
      </c>
      <c r="E340" s="2">
        <v>3</v>
      </c>
      <c r="F340" s="2">
        <v>1208</v>
      </c>
    </row>
    <row r="341" spans="1:6" x14ac:dyDescent="0.25">
      <c r="A341" s="4" t="s">
        <v>338</v>
      </c>
      <c r="B341" s="2" t="s">
        <v>1344</v>
      </c>
      <c r="C341" s="2" t="s">
        <v>1466</v>
      </c>
      <c r="D341" s="2" t="s">
        <v>95</v>
      </c>
      <c r="E341" s="2">
        <v>2</v>
      </c>
      <c r="F341" s="2">
        <v>1673</v>
      </c>
    </row>
    <row r="342" spans="1:6" x14ac:dyDescent="0.25">
      <c r="A342" s="4" t="s">
        <v>338</v>
      </c>
      <c r="B342" s="2" t="s">
        <v>1344</v>
      </c>
      <c r="C342" s="2" t="s">
        <v>1556</v>
      </c>
      <c r="D342" s="2" t="s">
        <v>95</v>
      </c>
      <c r="E342" s="2">
        <v>1</v>
      </c>
      <c r="F342" s="2">
        <v>1673</v>
      </c>
    </row>
    <row r="343" spans="1:6" x14ac:dyDescent="0.25">
      <c r="A343" s="4" t="s">
        <v>338</v>
      </c>
      <c r="B343" s="2" t="s">
        <v>1344</v>
      </c>
      <c r="C343" s="2" t="s">
        <v>1525</v>
      </c>
      <c r="D343" s="2" t="s">
        <v>95</v>
      </c>
      <c r="E343" s="2">
        <v>2</v>
      </c>
      <c r="F343" s="2">
        <v>1673</v>
      </c>
    </row>
    <row r="344" spans="1:6" x14ac:dyDescent="0.25">
      <c r="A344" s="4" t="s">
        <v>338</v>
      </c>
      <c r="B344" s="2" t="s">
        <v>1344</v>
      </c>
      <c r="C344" s="2" t="s">
        <v>1451</v>
      </c>
      <c r="D344" s="2" t="s">
        <v>95</v>
      </c>
      <c r="E344" s="2">
        <v>3</v>
      </c>
      <c r="F344" s="2">
        <v>1673</v>
      </c>
    </row>
    <row r="345" spans="1:6" x14ac:dyDescent="0.25">
      <c r="A345" s="4" t="s">
        <v>338</v>
      </c>
      <c r="B345" s="2" t="s">
        <v>1344</v>
      </c>
      <c r="C345" s="2" t="s">
        <v>1397</v>
      </c>
      <c r="D345" s="2" t="s">
        <v>95</v>
      </c>
      <c r="E345" s="2">
        <v>2</v>
      </c>
      <c r="F345" s="2">
        <v>1673</v>
      </c>
    </row>
    <row r="346" spans="1:6" x14ac:dyDescent="0.25">
      <c r="A346" s="4" t="s">
        <v>338</v>
      </c>
      <c r="B346" s="2" t="s">
        <v>1344</v>
      </c>
      <c r="C346" s="2" t="s">
        <v>1520</v>
      </c>
      <c r="D346" s="2" t="s">
        <v>95</v>
      </c>
      <c r="E346" s="2">
        <v>1</v>
      </c>
      <c r="F346" s="2">
        <v>1673</v>
      </c>
    </row>
    <row r="347" spans="1:6" x14ac:dyDescent="0.25">
      <c r="A347" s="4" t="s">
        <v>338</v>
      </c>
      <c r="B347" s="2" t="s">
        <v>1344</v>
      </c>
      <c r="C347" s="2" t="s">
        <v>1354</v>
      </c>
      <c r="D347" s="2" t="s">
        <v>95</v>
      </c>
      <c r="E347" s="2">
        <v>3</v>
      </c>
      <c r="F347" s="2">
        <v>1673</v>
      </c>
    </row>
    <row r="348" spans="1:6" x14ac:dyDescent="0.25">
      <c r="A348" s="4" t="s">
        <v>338</v>
      </c>
      <c r="B348" s="2" t="s">
        <v>1344</v>
      </c>
      <c r="C348" s="2" t="s">
        <v>1487</v>
      </c>
      <c r="D348" s="2" t="s">
        <v>95</v>
      </c>
      <c r="E348" s="2">
        <v>1</v>
      </c>
      <c r="F348" s="2">
        <v>1673</v>
      </c>
    </row>
    <row r="349" spans="1:6" x14ac:dyDescent="0.25">
      <c r="A349" s="4" t="s">
        <v>338</v>
      </c>
      <c r="B349" s="2" t="s">
        <v>1344</v>
      </c>
      <c r="C349" s="2" t="s">
        <v>1576</v>
      </c>
      <c r="D349" s="2" t="s">
        <v>95</v>
      </c>
      <c r="E349" s="2">
        <v>1</v>
      </c>
      <c r="F349" s="2">
        <v>1673</v>
      </c>
    </row>
    <row r="350" spans="1:6" x14ac:dyDescent="0.25">
      <c r="A350" s="4" t="s">
        <v>338</v>
      </c>
      <c r="B350" s="2" t="s">
        <v>1344</v>
      </c>
      <c r="C350" s="2" t="s">
        <v>1393</v>
      </c>
      <c r="D350" s="2" t="s">
        <v>95</v>
      </c>
      <c r="E350" s="2">
        <v>1</v>
      </c>
      <c r="F350" s="2">
        <v>1673</v>
      </c>
    </row>
    <row r="351" spans="1:6" x14ac:dyDescent="0.25">
      <c r="A351" s="4" t="s">
        <v>338</v>
      </c>
      <c r="B351" s="2" t="s">
        <v>1344</v>
      </c>
      <c r="C351" s="2" t="s">
        <v>1565</v>
      </c>
      <c r="D351" s="2" t="s">
        <v>95</v>
      </c>
      <c r="E351" s="2">
        <v>1</v>
      </c>
      <c r="F351" s="2">
        <v>1673</v>
      </c>
    </row>
    <row r="352" spans="1:6" x14ac:dyDescent="0.25">
      <c r="A352" s="4" t="s">
        <v>338</v>
      </c>
      <c r="B352" s="2" t="s">
        <v>1344</v>
      </c>
      <c r="C352" s="2" t="s">
        <v>1431</v>
      </c>
      <c r="D352" s="2" t="s">
        <v>95</v>
      </c>
      <c r="E352" s="2">
        <v>1</v>
      </c>
      <c r="F352" s="2">
        <v>1673</v>
      </c>
    </row>
    <row r="353" spans="1:6" x14ac:dyDescent="0.25">
      <c r="A353" s="4" t="s">
        <v>338</v>
      </c>
      <c r="B353" s="2" t="s">
        <v>1344</v>
      </c>
      <c r="C353" s="2" t="s">
        <v>1345</v>
      </c>
      <c r="D353" s="2" t="s">
        <v>95</v>
      </c>
      <c r="E353" s="2">
        <v>5</v>
      </c>
      <c r="F353" s="2">
        <v>1673</v>
      </c>
    </row>
    <row r="354" spans="1:6" x14ac:dyDescent="0.25">
      <c r="A354" s="4" t="s">
        <v>338</v>
      </c>
      <c r="B354" s="2" t="s">
        <v>1344</v>
      </c>
      <c r="C354" s="2" t="s">
        <v>1530</v>
      </c>
      <c r="D354" s="2" t="s">
        <v>95</v>
      </c>
      <c r="E354" s="2">
        <v>1</v>
      </c>
      <c r="F354" s="2">
        <v>1673</v>
      </c>
    </row>
    <row r="355" spans="1:6" x14ac:dyDescent="0.25">
      <c r="A355" s="4" t="s">
        <v>338</v>
      </c>
      <c r="B355" s="2" t="s">
        <v>1344</v>
      </c>
      <c r="C355" s="2" t="s">
        <v>1349</v>
      </c>
      <c r="D355" s="2" t="s">
        <v>95</v>
      </c>
      <c r="E355" s="2">
        <v>1</v>
      </c>
      <c r="F355" s="2">
        <v>1673</v>
      </c>
    </row>
    <row r="356" spans="1:6" x14ac:dyDescent="0.25">
      <c r="A356" s="4" t="s">
        <v>338</v>
      </c>
      <c r="B356" s="2" t="s">
        <v>1344</v>
      </c>
      <c r="C356" s="2" t="s">
        <v>1590</v>
      </c>
      <c r="D356" s="2" t="s">
        <v>95</v>
      </c>
      <c r="E356" s="2">
        <v>1</v>
      </c>
      <c r="F356" s="2">
        <v>1673</v>
      </c>
    </row>
    <row r="357" spans="1:6" x14ac:dyDescent="0.25">
      <c r="A357" s="4" t="s">
        <v>338</v>
      </c>
      <c r="B357" s="2" t="s">
        <v>1344</v>
      </c>
      <c r="C357" s="2" t="s">
        <v>1478</v>
      </c>
      <c r="D357" s="2" t="s">
        <v>95</v>
      </c>
      <c r="E357" s="2">
        <v>1</v>
      </c>
      <c r="F357" s="2">
        <v>1673</v>
      </c>
    </row>
    <row r="358" spans="1:6" x14ac:dyDescent="0.25">
      <c r="A358" s="4" t="s">
        <v>338</v>
      </c>
      <c r="B358" s="2" t="s">
        <v>1344</v>
      </c>
      <c r="C358" s="2" t="s">
        <v>1585</v>
      </c>
      <c r="D358" s="2" t="s">
        <v>95</v>
      </c>
      <c r="E358" s="2">
        <v>1</v>
      </c>
      <c r="F358" s="2">
        <v>1673</v>
      </c>
    </row>
    <row r="359" spans="1:6" x14ac:dyDescent="0.25">
      <c r="A359" s="4" t="s">
        <v>338</v>
      </c>
      <c r="B359" s="2" t="s">
        <v>1344</v>
      </c>
      <c r="C359" s="2" t="s">
        <v>1561</v>
      </c>
      <c r="D359" s="2" t="s">
        <v>95</v>
      </c>
      <c r="E359" s="2">
        <v>1</v>
      </c>
      <c r="F359" s="2">
        <v>1673</v>
      </c>
    </row>
    <row r="360" spans="1:6" x14ac:dyDescent="0.25">
      <c r="A360" s="4" t="s">
        <v>338</v>
      </c>
      <c r="B360" s="2" t="s">
        <v>1344</v>
      </c>
      <c r="C360" s="2" t="s">
        <v>1406</v>
      </c>
      <c r="D360" s="2" t="s">
        <v>95</v>
      </c>
      <c r="E360" s="2">
        <v>1</v>
      </c>
      <c r="F360" s="2">
        <v>1673</v>
      </c>
    </row>
    <row r="361" spans="1:6" x14ac:dyDescent="0.25">
      <c r="A361" s="4" t="s">
        <v>338</v>
      </c>
      <c r="B361" s="2" t="s">
        <v>1344</v>
      </c>
      <c r="C361" s="2" t="s">
        <v>1388</v>
      </c>
      <c r="D361" s="2" t="s">
        <v>95</v>
      </c>
      <c r="E361" s="2">
        <v>2</v>
      </c>
      <c r="F361" s="2">
        <v>1673</v>
      </c>
    </row>
    <row r="362" spans="1:6" x14ac:dyDescent="0.25">
      <c r="A362" s="4" t="s">
        <v>338</v>
      </c>
      <c r="B362" s="2" t="s">
        <v>1344</v>
      </c>
      <c r="C362" s="2" t="s">
        <v>1580</v>
      </c>
      <c r="D362" s="2" t="s">
        <v>95</v>
      </c>
      <c r="E362" s="2">
        <v>1</v>
      </c>
      <c r="F362" s="2">
        <v>1673</v>
      </c>
    </row>
    <row r="363" spans="1:6" x14ac:dyDescent="0.25">
      <c r="A363" s="4" t="s">
        <v>338</v>
      </c>
      <c r="B363" s="2" t="s">
        <v>1344</v>
      </c>
      <c r="C363" s="2" t="s">
        <v>1496</v>
      </c>
      <c r="D363" s="2" t="s">
        <v>95</v>
      </c>
      <c r="E363" s="2">
        <v>1</v>
      </c>
      <c r="F363" s="2">
        <v>1673</v>
      </c>
    </row>
    <row r="364" spans="1:6" x14ac:dyDescent="0.25">
      <c r="A364" s="4" t="s">
        <v>338</v>
      </c>
      <c r="B364" s="2" t="s">
        <v>1344</v>
      </c>
      <c r="C364" s="2" t="s">
        <v>1379</v>
      </c>
      <c r="D364" s="2" t="s">
        <v>95</v>
      </c>
      <c r="E364" s="2">
        <v>2</v>
      </c>
      <c r="F364" s="2">
        <v>1673</v>
      </c>
    </row>
    <row r="365" spans="1:6" x14ac:dyDescent="0.25">
      <c r="A365" s="4" t="s">
        <v>338</v>
      </c>
      <c r="B365" s="2" t="s">
        <v>1344</v>
      </c>
      <c r="C365" s="2" t="s">
        <v>1483</v>
      </c>
      <c r="D365" s="2" t="s">
        <v>95</v>
      </c>
      <c r="E365" s="2">
        <v>1</v>
      </c>
      <c r="F365" s="2">
        <v>1673</v>
      </c>
    </row>
    <row r="366" spans="1:6" x14ac:dyDescent="0.25">
      <c r="A366" s="4" t="s">
        <v>338</v>
      </c>
      <c r="B366" s="2" t="s">
        <v>1344</v>
      </c>
      <c r="C366" s="2" t="s">
        <v>1419</v>
      </c>
      <c r="D366" s="2" t="s">
        <v>95</v>
      </c>
      <c r="E366" s="2">
        <v>3</v>
      </c>
      <c r="F366" s="2">
        <v>1673</v>
      </c>
    </row>
    <row r="367" spans="1:6" x14ac:dyDescent="0.25">
      <c r="A367" s="4" t="s">
        <v>338</v>
      </c>
      <c r="B367" s="2" t="s">
        <v>1344</v>
      </c>
      <c r="C367" s="2" t="s">
        <v>1371</v>
      </c>
      <c r="D367" s="2" t="s">
        <v>95</v>
      </c>
      <c r="E367" s="2">
        <v>1</v>
      </c>
      <c r="F367" s="2">
        <v>1673</v>
      </c>
    </row>
    <row r="368" spans="1:6" x14ac:dyDescent="0.25">
      <c r="A368" s="4" t="s">
        <v>338</v>
      </c>
      <c r="B368" s="2" t="s">
        <v>1344</v>
      </c>
      <c r="C368" s="2" t="s">
        <v>1542</v>
      </c>
      <c r="D368" s="2" t="s">
        <v>95</v>
      </c>
      <c r="E368" s="2">
        <v>1</v>
      </c>
      <c r="F368" s="2">
        <v>1673</v>
      </c>
    </row>
    <row r="369" spans="1:6" x14ac:dyDescent="0.25">
      <c r="A369" s="4" t="s">
        <v>338</v>
      </c>
      <c r="B369" s="2" t="s">
        <v>1344</v>
      </c>
      <c r="C369" s="2" t="s">
        <v>1415</v>
      </c>
      <c r="D369" s="2" t="s">
        <v>95</v>
      </c>
      <c r="E369" s="2">
        <v>1</v>
      </c>
      <c r="F369" s="2">
        <v>1673</v>
      </c>
    </row>
    <row r="370" spans="1:6" x14ac:dyDescent="0.25">
      <c r="A370" s="4" t="s">
        <v>338</v>
      </c>
      <c r="B370" s="2" t="s">
        <v>1344</v>
      </c>
      <c r="C370" s="2" t="s">
        <v>1358</v>
      </c>
      <c r="D370" s="2" t="s">
        <v>95</v>
      </c>
      <c r="E370" s="2">
        <v>8</v>
      </c>
      <c r="F370" s="2">
        <v>1673</v>
      </c>
    </row>
    <row r="371" spans="1:6" x14ac:dyDescent="0.25">
      <c r="A371" s="4" t="s">
        <v>338</v>
      </c>
      <c r="B371" s="2" t="s">
        <v>1344</v>
      </c>
      <c r="C371" s="2" t="s">
        <v>1491</v>
      </c>
      <c r="D371" s="2" t="s">
        <v>95</v>
      </c>
      <c r="E371" s="2">
        <v>1</v>
      </c>
      <c r="F371" s="2">
        <v>1673</v>
      </c>
    </row>
    <row r="372" spans="1:6" x14ac:dyDescent="0.25">
      <c r="A372" s="4" t="s">
        <v>338</v>
      </c>
      <c r="B372" s="2" t="s">
        <v>1344</v>
      </c>
      <c r="C372" s="2" t="s">
        <v>1384</v>
      </c>
      <c r="D372" s="2" t="s">
        <v>95</v>
      </c>
      <c r="E372" s="2">
        <v>1</v>
      </c>
      <c r="F372" s="2">
        <v>1673</v>
      </c>
    </row>
    <row r="373" spans="1:6" x14ac:dyDescent="0.25">
      <c r="A373" s="4" t="s">
        <v>338</v>
      </c>
      <c r="B373" s="2" t="s">
        <v>1344</v>
      </c>
      <c r="C373" s="2" t="s">
        <v>1572</v>
      </c>
      <c r="D373" s="2" t="s">
        <v>95</v>
      </c>
      <c r="E373" s="2">
        <v>1</v>
      </c>
      <c r="F373" s="2">
        <v>1673</v>
      </c>
    </row>
    <row r="374" spans="1:6" x14ac:dyDescent="0.25">
      <c r="A374" s="4" t="s">
        <v>338</v>
      </c>
      <c r="B374" s="2" t="s">
        <v>1344</v>
      </c>
      <c r="C374" s="2" t="s">
        <v>1423</v>
      </c>
      <c r="D374" s="2" t="s">
        <v>95</v>
      </c>
      <c r="E374" s="2">
        <v>1</v>
      </c>
      <c r="F374" s="2">
        <v>1673</v>
      </c>
    </row>
    <row r="375" spans="1:6" x14ac:dyDescent="0.25">
      <c r="A375" s="4" t="s">
        <v>338</v>
      </c>
      <c r="B375" s="2" t="s">
        <v>1344</v>
      </c>
      <c r="C375" s="2" t="s">
        <v>1363</v>
      </c>
      <c r="D375" s="2" t="s">
        <v>95</v>
      </c>
      <c r="E375" s="2">
        <v>1</v>
      </c>
      <c r="F375" s="2">
        <v>1673</v>
      </c>
    </row>
    <row r="376" spans="1:6" x14ac:dyDescent="0.25">
      <c r="A376" s="4" t="s">
        <v>338</v>
      </c>
      <c r="B376" s="2" t="s">
        <v>1344</v>
      </c>
      <c r="C376" s="2" t="s">
        <v>1535</v>
      </c>
      <c r="D376" s="2" t="s">
        <v>95</v>
      </c>
      <c r="E376" s="2">
        <v>1</v>
      </c>
      <c r="F376" s="2">
        <v>1673</v>
      </c>
    </row>
    <row r="377" spans="1:6" x14ac:dyDescent="0.25">
      <c r="A377" s="4" t="s">
        <v>338</v>
      </c>
      <c r="B377" s="2" t="s">
        <v>678</v>
      </c>
      <c r="C377" s="2" t="s">
        <v>698</v>
      </c>
      <c r="D377" s="2" t="s">
        <v>95</v>
      </c>
      <c r="E377" s="2">
        <v>2</v>
      </c>
      <c r="F377" s="2">
        <v>105</v>
      </c>
    </row>
    <row r="378" spans="1:6" x14ac:dyDescent="0.25">
      <c r="A378" s="4" t="s">
        <v>338</v>
      </c>
      <c r="B378" s="2" t="s">
        <v>678</v>
      </c>
      <c r="C378" s="2" t="s">
        <v>692</v>
      </c>
      <c r="D378" s="2" t="s">
        <v>95</v>
      </c>
      <c r="E378" s="2">
        <v>5</v>
      </c>
      <c r="F378" s="2">
        <v>105</v>
      </c>
    </row>
    <row r="379" spans="1:6" x14ac:dyDescent="0.25">
      <c r="A379" s="4" t="s">
        <v>338</v>
      </c>
      <c r="B379" s="2" t="s">
        <v>678</v>
      </c>
      <c r="C379" s="2" t="s">
        <v>735</v>
      </c>
      <c r="D379" s="2" t="s">
        <v>95</v>
      </c>
      <c r="E379" s="2">
        <v>1</v>
      </c>
      <c r="F379" s="2">
        <v>105</v>
      </c>
    </row>
    <row r="380" spans="1:6" x14ac:dyDescent="0.25">
      <c r="A380" s="4" t="s">
        <v>338</v>
      </c>
      <c r="B380" s="2" t="s">
        <v>678</v>
      </c>
      <c r="C380" s="2" t="s">
        <v>688</v>
      </c>
      <c r="D380" s="2" t="s">
        <v>95</v>
      </c>
      <c r="E380" s="2">
        <v>3</v>
      </c>
      <c r="F380" s="2">
        <v>105</v>
      </c>
    </row>
    <row r="381" spans="1:6" x14ac:dyDescent="0.25">
      <c r="A381" s="4" t="s">
        <v>338</v>
      </c>
      <c r="B381" s="2" t="s">
        <v>678</v>
      </c>
      <c r="C381" s="2" t="s">
        <v>706</v>
      </c>
      <c r="D381" s="2" t="s">
        <v>95</v>
      </c>
      <c r="E381" s="2">
        <v>1</v>
      </c>
      <c r="F381" s="2">
        <v>105</v>
      </c>
    </row>
    <row r="382" spans="1:6" x14ac:dyDescent="0.25">
      <c r="A382" s="4" t="s">
        <v>338</v>
      </c>
      <c r="B382" s="2" t="s">
        <v>678</v>
      </c>
      <c r="C382" s="2" t="s">
        <v>683</v>
      </c>
      <c r="D382" s="2" t="s">
        <v>95</v>
      </c>
      <c r="E382" s="2">
        <v>2</v>
      </c>
      <c r="F382" s="2">
        <v>105</v>
      </c>
    </row>
    <row r="383" spans="1:6" x14ac:dyDescent="0.25">
      <c r="A383" s="4" t="s">
        <v>338</v>
      </c>
      <c r="B383" s="2" t="s">
        <v>678</v>
      </c>
      <c r="C383" s="2" t="s">
        <v>720</v>
      </c>
      <c r="D383" s="2" t="s">
        <v>95</v>
      </c>
      <c r="E383" s="2">
        <v>5</v>
      </c>
      <c r="F383" s="2">
        <v>105</v>
      </c>
    </row>
    <row r="384" spans="1:6" x14ac:dyDescent="0.25">
      <c r="A384" s="4" t="s">
        <v>338</v>
      </c>
      <c r="B384" s="2" t="s">
        <v>678</v>
      </c>
      <c r="C384" s="2" t="s">
        <v>765</v>
      </c>
      <c r="D384" s="2" t="s">
        <v>95</v>
      </c>
      <c r="E384" s="2">
        <v>1</v>
      </c>
      <c r="F384" s="2">
        <v>105</v>
      </c>
    </row>
    <row r="385" spans="1:6" x14ac:dyDescent="0.25">
      <c r="A385" s="4" t="s">
        <v>338</v>
      </c>
      <c r="B385" s="2" t="s">
        <v>678</v>
      </c>
      <c r="C385" s="2" t="s">
        <v>710</v>
      </c>
      <c r="D385" s="2" t="s">
        <v>95</v>
      </c>
      <c r="E385" s="2">
        <v>3</v>
      </c>
      <c r="F385" s="2">
        <v>105</v>
      </c>
    </row>
    <row r="386" spans="1:6" x14ac:dyDescent="0.25">
      <c r="A386" s="4" t="s">
        <v>338</v>
      </c>
      <c r="B386" s="2" t="s">
        <v>678</v>
      </c>
      <c r="C386" s="2" t="s">
        <v>702</v>
      </c>
      <c r="D386" s="2" t="s">
        <v>95</v>
      </c>
      <c r="E386" s="2">
        <v>1</v>
      </c>
      <c r="F386" s="2">
        <v>105</v>
      </c>
    </row>
    <row r="387" spans="1:6" x14ac:dyDescent="0.25">
      <c r="A387" s="4" t="s">
        <v>338</v>
      </c>
      <c r="B387" s="2" t="s">
        <v>678</v>
      </c>
      <c r="C387" s="2" t="s">
        <v>755</v>
      </c>
      <c r="D387" s="2" t="s">
        <v>95</v>
      </c>
      <c r="E387" s="2">
        <v>2</v>
      </c>
      <c r="F387" s="2">
        <v>105</v>
      </c>
    </row>
    <row r="388" spans="1:6" x14ac:dyDescent="0.25">
      <c r="A388" s="4" t="s">
        <v>338</v>
      </c>
      <c r="B388" s="2" t="s">
        <v>678</v>
      </c>
      <c r="C388" s="2" t="s">
        <v>679</v>
      </c>
      <c r="D388" s="2" t="s">
        <v>95</v>
      </c>
      <c r="E388" s="2">
        <v>1</v>
      </c>
      <c r="F388" s="2">
        <v>105</v>
      </c>
    </row>
    <row r="389" spans="1:6" x14ac:dyDescent="0.25">
      <c r="A389" s="4" t="s">
        <v>338</v>
      </c>
      <c r="B389" s="2" t="s">
        <v>678</v>
      </c>
      <c r="C389" s="2" t="s">
        <v>739</v>
      </c>
      <c r="D389" s="2" t="s">
        <v>95</v>
      </c>
      <c r="E389" s="2">
        <v>1</v>
      </c>
      <c r="F389" s="2">
        <v>105</v>
      </c>
    </row>
    <row r="390" spans="1:6" x14ac:dyDescent="0.25">
      <c r="A390" s="4" t="s">
        <v>338</v>
      </c>
      <c r="B390" s="2" t="s">
        <v>678</v>
      </c>
      <c r="C390" s="2" t="s">
        <v>776</v>
      </c>
      <c r="D390" s="2" t="s">
        <v>95</v>
      </c>
      <c r="E390" s="2">
        <v>1</v>
      </c>
      <c r="F390" s="2">
        <v>105</v>
      </c>
    </row>
    <row r="391" spans="1:6" x14ac:dyDescent="0.25">
      <c r="A391" s="4" t="s">
        <v>338</v>
      </c>
      <c r="B391" s="2" t="s">
        <v>783</v>
      </c>
      <c r="C391" s="2" t="s">
        <v>991</v>
      </c>
      <c r="D391" s="2" t="s">
        <v>95</v>
      </c>
      <c r="E391" s="2">
        <v>1</v>
      </c>
      <c r="F391" s="2">
        <v>0</v>
      </c>
    </row>
    <row r="392" spans="1:6" x14ac:dyDescent="0.25">
      <c r="A392" s="4" t="s">
        <v>338</v>
      </c>
      <c r="B392" s="2" t="s">
        <v>783</v>
      </c>
      <c r="C392" s="2" t="s">
        <v>946</v>
      </c>
      <c r="D392" s="2" t="s">
        <v>95</v>
      </c>
      <c r="E392" s="2">
        <v>1</v>
      </c>
      <c r="F392" s="2">
        <v>0</v>
      </c>
    </row>
    <row r="393" spans="1:6" x14ac:dyDescent="0.25">
      <c r="A393" s="4" t="s">
        <v>338</v>
      </c>
      <c r="B393" s="2" t="s">
        <v>783</v>
      </c>
      <c r="C393" s="2" t="s">
        <v>923</v>
      </c>
      <c r="D393" s="2" t="s">
        <v>95</v>
      </c>
      <c r="E393" s="2">
        <v>1</v>
      </c>
      <c r="F393" s="2">
        <v>0</v>
      </c>
    </row>
    <row r="394" spans="1:6" x14ac:dyDescent="0.25">
      <c r="A394" s="4" t="s">
        <v>338</v>
      </c>
      <c r="B394" s="2" t="s">
        <v>783</v>
      </c>
      <c r="C394" s="2" t="s">
        <v>798</v>
      </c>
      <c r="D394" s="2" t="s">
        <v>95</v>
      </c>
      <c r="E394" s="2">
        <v>1</v>
      </c>
      <c r="F394" s="2">
        <v>0</v>
      </c>
    </row>
    <row r="395" spans="1:6" x14ac:dyDescent="0.25">
      <c r="A395" s="4" t="s">
        <v>338</v>
      </c>
      <c r="B395" s="2" t="s">
        <v>783</v>
      </c>
      <c r="C395" s="2" t="s">
        <v>933</v>
      </c>
      <c r="D395" s="2" t="s">
        <v>95</v>
      </c>
      <c r="E395" s="2">
        <v>1</v>
      </c>
      <c r="F395" s="2">
        <v>0</v>
      </c>
    </row>
    <row r="396" spans="1:6" x14ac:dyDescent="0.25">
      <c r="A396" s="4" t="s">
        <v>338</v>
      </c>
      <c r="B396" s="2" t="s">
        <v>783</v>
      </c>
      <c r="C396" s="2" t="s">
        <v>911</v>
      </c>
      <c r="D396" s="2" t="s">
        <v>95</v>
      </c>
      <c r="E396" s="2">
        <v>1</v>
      </c>
      <c r="F396" s="2">
        <v>0</v>
      </c>
    </row>
    <row r="397" spans="1:6" x14ac:dyDescent="0.25">
      <c r="A397" s="4" t="s">
        <v>338</v>
      </c>
      <c r="B397" s="2" t="s">
        <v>783</v>
      </c>
      <c r="C397" s="2" t="s">
        <v>969</v>
      </c>
      <c r="D397" s="2" t="s">
        <v>95</v>
      </c>
      <c r="E397" s="2">
        <v>1</v>
      </c>
      <c r="F397" s="2">
        <v>0</v>
      </c>
    </row>
    <row r="398" spans="1:6" x14ac:dyDescent="0.25">
      <c r="A398" s="4" t="s">
        <v>338</v>
      </c>
      <c r="B398" s="2" t="s">
        <v>783</v>
      </c>
      <c r="C398" s="2" t="s">
        <v>875</v>
      </c>
      <c r="D398" s="2" t="s">
        <v>95</v>
      </c>
      <c r="E398" s="2">
        <v>1</v>
      </c>
      <c r="F398" s="2">
        <v>0</v>
      </c>
    </row>
    <row r="399" spans="1:6" x14ac:dyDescent="0.25">
      <c r="A399" s="4" t="s">
        <v>338</v>
      </c>
      <c r="B399" s="2" t="s">
        <v>783</v>
      </c>
      <c r="C399" s="2" t="s">
        <v>836</v>
      </c>
      <c r="D399" s="2" t="s">
        <v>95</v>
      </c>
      <c r="E399" s="2">
        <v>1</v>
      </c>
      <c r="F399" s="2">
        <v>0</v>
      </c>
    </row>
    <row r="400" spans="1:6" x14ac:dyDescent="0.25">
      <c r="A400" s="4" t="s">
        <v>338</v>
      </c>
      <c r="B400" s="2" t="s">
        <v>783</v>
      </c>
      <c r="C400" s="2" t="s">
        <v>815</v>
      </c>
      <c r="D400" s="2" t="s">
        <v>95</v>
      </c>
      <c r="E400" s="2">
        <v>3</v>
      </c>
      <c r="F400" s="2">
        <v>0</v>
      </c>
    </row>
    <row r="401" spans="1:6" x14ac:dyDescent="0.25">
      <c r="A401" s="4" t="s">
        <v>338</v>
      </c>
      <c r="B401" s="2" t="s">
        <v>783</v>
      </c>
      <c r="C401" s="2" t="s">
        <v>956</v>
      </c>
      <c r="D401" s="2" t="s">
        <v>95</v>
      </c>
      <c r="E401" s="2">
        <v>1</v>
      </c>
      <c r="F401" s="2">
        <v>0</v>
      </c>
    </row>
    <row r="402" spans="1:6" x14ac:dyDescent="0.25">
      <c r="A402" s="4" t="s">
        <v>338</v>
      </c>
      <c r="B402" s="2" t="s">
        <v>783</v>
      </c>
      <c r="C402" s="2" t="s">
        <v>1040</v>
      </c>
      <c r="D402" s="2" t="s">
        <v>95</v>
      </c>
      <c r="E402" s="2">
        <v>1</v>
      </c>
      <c r="F402" s="2">
        <v>0</v>
      </c>
    </row>
    <row r="403" spans="1:6" x14ac:dyDescent="0.25">
      <c r="A403" s="4" t="s">
        <v>338</v>
      </c>
      <c r="B403" s="2" t="s">
        <v>783</v>
      </c>
      <c r="C403" s="2" t="s">
        <v>784</v>
      </c>
      <c r="D403" s="2" t="s">
        <v>95</v>
      </c>
      <c r="E403" s="2">
        <v>2</v>
      </c>
      <c r="F403" s="2">
        <v>0</v>
      </c>
    </row>
    <row r="404" spans="1:6" x14ac:dyDescent="0.25">
      <c r="A404" s="4" t="s">
        <v>338</v>
      </c>
      <c r="B404" s="2" t="s">
        <v>783</v>
      </c>
      <c r="C404" s="2" t="s">
        <v>864</v>
      </c>
      <c r="D404" s="2" t="s">
        <v>95</v>
      </c>
      <c r="E404" s="2">
        <v>3</v>
      </c>
      <c r="F404" s="2">
        <v>0</v>
      </c>
    </row>
    <row r="405" spans="1:6" x14ac:dyDescent="0.25">
      <c r="A405" s="4" t="s">
        <v>338</v>
      </c>
      <c r="B405" s="2" t="s">
        <v>783</v>
      </c>
      <c r="C405" s="2" t="s">
        <v>884</v>
      </c>
      <c r="D405" s="2" t="s">
        <v>95</v>
      </c>
      <c r="E405" s="2">
        <v>1</v>
      </c>
      <c r="F405" s="2">
        <v>0</v>
      </c>
    </row>
    <row r="406" spans="1:6" x14ac:dyDescent="0.25">
      <c r="A406" s="4" t="s">
        <v>338</v>
      </c>
      <c r="B406" s="2" t="s">
        <v>783</v>
      </c>
      <c r="C406" s="2" t="s">
        <v>820</v>
      </c>
      <c r="D406" s="2" t="s">
        <v>95</v>
      </c>
      <c r="E406" s="2">
        <v>2</v>
      </c>
      <c r="F406" s="2">
        <v>0</v>
      </c>
    </row>
    <row r="407" spans="1:6" x14ac:dyDescent="0.25">
      <c r="A407" s="4" t="s">
        <v>338</v>
      </c>
      <c r="B407" s="2" t="s">
        <v>783</v>
      </c>
      <c r="C407" s="2" t="s">
        <v>832</v>
      </c>
      <c r="D407" s="2" t="s">
        <v>95</v>
      </c>
      <c r="E407" s="2">
        <v>1</v>
      </c>
      <c r="F407" s="2">
        <v>0</v>
      </c>
    </row>
    <row r="408" spans="1:6" x14ac:dyDescent="0.25">
      <c r="A408" s="4" t="s">
        <v>338</v>
      </c>
      <c r="B408" s="2" t="s">
        <v>783</v>
      </c>
      <c r="C408" s="2" t="s">
        <v>888</v>
      </c>
      <c r="D408" s="2" t="s">
        <v>95</v>
      </c>
      <c r="E408" s="2">
        <v>1</v>
      </c>
      <c r="F408" s="2">
        <v>0</v>
      </c>
    </row>
    <row r="409" spans="1:6" x14ac:dyDescent="0.25">
      <c r="A409" s="4" t="s">
        <v>338</v>
      </c>
      <c r="B409" s="2" t="s">
        <v>783</v>
      </c>
      <c r="C409" s="2" t="s">
        <v>974</v>
      </c>
      <c r="D409" s="2" t="s">
        <v>95</v>
      </c>
      <c r="E409" s="2">
        <v>1</v>
      </c>
      <c r="F409" s="2">
        <v>0</v>
      </c>
    </row>
    <row r="410" spans="1:6" x14ac:dyDescent="0.25">
      <c r="A410" s="4" t="s">
        <v>338</v>
      </c>
      <c r="B410" s="2" t="s">
        <v>783</v>
      </c>
      <c r="C410" s="2" t="s">
        <v>942</v>
      </c>
      <c r="D410" s="2" t="s">
        <v>95</v>
      </c>
      <c r="E410" s="2">
        <v>1</v>
      </c>
      <c r="F410" s="2">
        <v>0</v>
      </c>
    </row>
    <row r="411" spans="1:6" x14ac:dyDescent="0.25">
      <c r="A411" s="4" t="s">
        <v>338</v>
      </c>
      <c r="B411" s="2" t="s">
        <v>783</v>
      </c>
      <c r="C411" s="2" t="s">
        <v>1030</v>
      </c>
      <c r="D411" s="2" t="s">
        <v>95</v>
      </c>
      <c r="E411" s="2">
        <v>1</v>
      </c>
      <c r="F411" s="2">
        <v>0</v>
      </c>
    </row>
    <row r="412" spans="1:6" x14ac:dyDescent="0.25">
      <c r="A412" s="4" t="s">
        <v>338</v>
      </c>
      <c r="B412" s="2" t="s">
        <v>783</v>
      </c>
      <c r="C412" s="2" t="s">
        <v>810</v>
      </c>
      <c r="D412" s="2" t="s">
        <v>95</v>
      </c>
      <c r="E412" s="2">
        <v>1</v>
      </c>
      <c r="F412" s="2">
        <v>0</v>
      </c>
    </row>
    <row r="413" spans="1:6" x14ac:dyDescent="0.25">
      <c r="A413" s="4" t="s">
        <v>338</v>
      </c>
      <c r="B413" s="2" t="s">
        <v>783</v>
      </c>
      <c r="C413" s="2" t="s">
        <v>1015</v>
      </c>
      <c r="D413" s="2" t="s">
        <v>95</v>
      </c>
      <c r="E413" s="2">
        <v>1</v>
      </c>
      <c r="F413" s="2">
        <v>0</v>
      </c>
    </row>
    <row r="414" spans="1:6" x14ac:dyDescent="0.25">
      <c r="A414" s="4" t="s">
        <v>338</v>
      </c>
      <c r="B414" s="2" t="s">
        <v>783</v>
      </c>
      <c r="C414" s="2" t="s">
        <v>983</v>
      </c>
      <c r="D414" s="2" t="s">
        <v>95</v>
      </c>
      <c r="E414" s="2">
        <v>1</v>
      </c>
      <c r="F414" s="2">
        <v>0</v>
      </c>
    </row>
    <row r="415" spans="1:6" x14ac:dyDescent="0.25">
      <c r="A415" s="4" t="s">
        <v>338</v>
      </c>
      <c r="B415" s="2" t="s">
        <v>783</v>
      </c>
      <c r="C415" s="2" t="s">
        <v>987</v>
      </c>
      <c r="D415" s="2" t="s">
        <v>95</v>
      </c>
      <c r="E415" s="2">
        <v>2</v>
      </c>
      <c r="F415" s="2">
        <v>0</v>
      </c>
    </row>
    <row r="416" spans="1:6" x14ac:dyDescent="0.25">
      <c r="A416" s="4" t="s">
        <v>338</v>
      </c>
      <c r="B416" s="2" t="s">
        <v>783</v>
      </c>
      <c r="C416" s="2" t="s">
        <v>995</v>
      </c>
      <c r="D416" s="2" t="s">
        <v>95</v>
      </c>
      <c r="E416" s="2">
        <v>1</v>
      </c>
      <c r="F416" s="2">
        <v>0</v>
      </c>
    </row>
    <row r="417" spans="1:6" x14ac:dyDescent="0.25">
      <c r="A417" s="4" t="s">
        <v>338</v>
      </c>
      <c r="B417" s="2" t="s">
        <v>783</v>
      </c>
      <c r="C417" s="2" t="s">
        <v>849</v>
      </c>
      <c r="D417" s="2" t="s">
        <v>95</v>
      </c>
      <c r="E417" s="2">
        <v>2</v>
      </c>
      <c r="F417" s="2">
        <v>0</v>
      </c>
    </row>
    <row r="418" spans="1:6" x14ac:dyDescent="0.25">
      <c r="A418" s="4" t="s">
        <v>338</v>
      </c>
      <c r="B418" s="2" t="s">
        <v>783</v>
      </c>
      <c r="C418" s="2" t="s">
        <v>1003</v>
      </c>
      <c r="D418" s="2" t="s">
        <v>95</v>
      </c>
      <c r="E418" s="2">
        <v>1</v>
      </c>
      <c r="F418" s="2">
        <v>0</v>
      </c>
    </row>
    <row r="419" spans="1:6" x14ac:dyDescent="0.25">
      <c r="A419" s="4" t="s">
        <v>338</v>
      </c>
      <c r="B419" s="2" t="s">
        <v>783</v>
      </c>
      <c r="C419" s="2" t="s">
        <v>853</v>
      </c>
      <c r="D419" s="2" t="s">
        <v>95</v>
      </c>
      <c r="E419" s="2">
        <v>2</v>
      </c>
      <c r="F419" s="2">
        <v>0</v>
      </c>
    </row>
    <row r="420" spans="1:6" x14ac:dyDescent="0.25">
      <c r="A420" s="4" t="s">
        <v>338</v>
      </c>
      <c r="B420" s="2" t="s">
        <v>783</v>
      </c>
      <c r="C420" s="2" t="s">
        <v>964</v>
      </c>
      <c r="D420" s="2" t="s">
        <v>95</v>
      </c>
      <c r="E420" s="2">
        <v>2</v>
      </c>
      <c r="F420" s="2">
        <v>0</v>
      </c>
    </row>
    <row r="421" spans="1:6" x14ac:dyDescent="0.25">
      <c r="A421" s="4" t="s">
        <v>338</v>
      </c>
      <c r="B421" s="2" t="s">
        <v>783</v>
      </c>
      <c r="C421" s="2" t="s">
        <v>871</v>
      </c>
      <c r="D421" s="2" t="s">
        <v>95</v>
      </c>
      <c r="E421" s="2">
        <v>1</v>
      </c>
      <c r="F421" s="2">
        <v>0</v>
      </c>
    </row>
    <row r="422" spans="1:6" x14ac:dyDescent="0.25">
      <c r="A422" s="4" t="s">
        <v>338</v>
      </c>
      <c r="B422" s="2" t="s">
        <v>783</v>
      </c>
      <c r="C422" s="2" t="s">
        <v>828</v>
      </c>
      <c r="D422" s="2" t="s">
        <v>95</v>
      </c>
      <c r="E422" s="2">
        <v>4</v>
      </c>
      <c r="F422" s="2">
        <v>0</v>
      </c>
    </row>
    <row r="423" spans="1:6" x14ac:dyDescent="0.25">
      <c r="A423" s="4" t="s">
        <v>338</v>
      </c>
      <c r="B423" s="2" t="s">
        <v>783</v>
      </c>
      <c r="C423" s="2" t="s">
        <v>896</v>
      </c>
      <c r="D423" s="2" t="s">
        <v>95</v>
      </c>
      <c r="E423" s="2">
        <v>1</v>
      </c>
      <c r="F423" s="2">
        <v>0</v>
      </c>
    </row>
    <row r="424" spans="1:6" x14ac:dyDescent="0.25">
      <c r="A424" s="4" t="s">
        <v>338</v>
      </c>
      <c r="B424" s="2" t="s">
        <v>783</v>
      </c>
      <c r="C424" s="2" t="s">
        <v>919</v>
      </c>
      <c r="D424" s="2" t="s">
        <v>95</v>
      </c>
      <c r="E424" s="2">
        <v>1</v>
      </c>
      <c r="F424" s="2">
        <v>0</v>
      </c>
    </row>
    <row r="425" spans="1:6" x14ac:dyDescent="0.25">
      <c r="A425" s="4" t="s">
        <v>338</v>
      </c>
      <c r="B425" s="2" t="s">
        <v>783</v>
      </c>
      <c r="C425" s="2" t="s">
        <v>793</v>
      </c>
      <c r="D425" s="2" t="s">
        <v>95</v>
      </c>
      <c r="E425" s="2">
        <v>3</v>
      </c>
      <c r="F425" s="2">
        <v>0</v>
      </c>
    </row>
    <row r="426" spans="1:6" x14ac:dyDescent="0.25">
      <c r="A426" s="4" t="s">
        <v>338</v>
      </c>
      <c r="B426" s="2" t="s">
        <v>783</v>
      </c>
      <c r="C426" s="2" t="s">
        <v>1022</v>
      </c>
      <c r="D426" s="2" t="s">
        <v>95</v>
      </c>
      <c r="E426" s="2">
        <v>1</v>
      </c>
      <c r="F426" s="2">
        <v>0</v>
      </c>
    </row>
    <row r="427" spans="1:6" x14ac:dyDescent="0.25">
      <c r="A427" s="4" t="s">
        <v>338</v>
      </c>
      <c r="B427" s="2" t="s">
        <v>783</v>
      </c>
      <c r="C427" s="2" t="s">
        <v>806</v>
      </c>
      <c r="D427" s="2" t="s">
        <v>95</v>
      </c>
      <c r="E427" s="2">
        <v>1</v>
      </c>
      <c r="F427" s="2">
        <v>0</v>
      </c>
    </row>
    <row r="428" spans="1:6" x14ac:dyDescent="0.25">
      <c r="A428" s="4" t="s">
        <v>338</v>
      </c>
      <c r="B428" s="2" t="s">
        <v>783</v>
      </c>
      <c r="C428" s="2" t="s">
        <v>915</v>
      </c>
      <c r="D428" s="2" t="s">
        <v>95</v>
      </c>
      <c r="E428" s="2">
        <v>1</v>
      </c>
      <c r="F428" s="2">
        <v>0</v>
      </c>
    </row>
    <row r="429" spans="1:6" x14ac:dyDescent="0.25">
      <c r="A429" s="4" t="s">
        <v>338</v>
      </c>
      <c r="B429" s="2" t="s">
        <v>783</v>
      </c>
      <c r="C429" s="2" t="s">
        <v>860</v>
      </c>
      <c r="D429" s="2" t="s">
        <v>95</v>
      </c>
      <c r="E429" s="2">
        <v>1</v>
      </c>
      <c r="F429" s="2">
        <v>0</v>
      </c>
    </row>
    <row r="430" spans="1:6" x14ac:dyDescent="0.25">
      <c r="A430" s="4" t="s">
        <v>338</v>
      </c>
      <c r="B430" s="2" t="s">
        <v>783</v>
      </c>
      <c r="C430" s="2" t="s">
        <v>905</v>
      </c>
      <c r="D430" s="2" t="s">
        <v>95</v>
      </c>
      <c r="E430" s="2">
        <v>1</v>
      </c>
      <c r="F430" s="2">
        <v>0</v>
      </c>
    </row>
    <row r="431" spans="1:6" x14ac:dyDescent="0.25">
      <c r="A431" s="4" t="s">
        <v>338</v>
      </c>
      <c r="B431" s="2" t="s">
        <v>1044</v>
      </c>
      <c r="C431" s="2" t="s">
        <v>1057</v>
      </c>
      <c r="D431" s="2" t="s">
        <v>95</v>
      </c>
      <c r="E431" s="2">
        <v>1</v>
      </c>
      <c r="F431" s="2">
        <v>933</v>
      </c>
    </row>
    <row r="432" spans="1:6" x14ac:dyDescent="0.25">
      <c r="A432" s="4" t="s">
        <v>338</v>
      </c>
      <c r="B432" s="2" t="s">
        <v>1044</v>
      </c>
      <c r="C432" s="2" t="s">
        <v>1065</v>
      </c>
      <c r="D432" s="2" t="s">
        <v>95</v>
      </c>
      <c r="E432" s="2">
        <v>1</v>
      </c>
      <c r="F432" s="2">
        <v>933</v>
      </c>
    </row>
    <row r="433" spans="1:6" x14ac:dyDescent="0.25">
      <c r="A433" s="4" t="s">
        <v>338</v>
      </c>
      <c r="B433" s="2" t="s">
        <v>1044</v>
      </c>
      <c r="C433" s="2" t="s">
        <v>1061</v>
      </c>
      <c r="D433" s="2" t="s">
        <v>95</v>
      </c>
      <c r="E433" s="2">
        <v>1</v>
      </c>
      <c r="F433" s="2">
        <v>933</v>
      </c>
    </row>
    <row r="434" spans="1:6" x14ac:dyDescent="0.25">
      <c r="A434" s="4" t="s">
        <v>338</v>
      </c>
      <c r="B434" s="2" t="s">
        <v>1044</v>
      </c>
      <c r="C434" s="2" t="s">
        <v>1045</v>
      </c>
      <c r="D434" s="2" t="s">
        <v>95</v>
      </c>
      <c r="E434" s="2">
        <v>4</v>
      </c>
      <c r="F434" s="2">
        <v>933</v>
      </c>
    </row>
    <row r="435" spans="1:6" x14ac:dyDescent="0.25">
      <c r="A435" s="4" t="s">
        <v>338</v>
      </c>
      <c r="B435" s="2" t="s">
        <v>1071</v>
      </c>
      <c r="C435" s="2" t="s">
        <v>1096</v>
      </c>
      <c r="D435" s="2" t="s">
        <v>95</v>
      </c>
      <c r="E435" s="2">
        <v>1</v>
      </c>
      <c r="F435" s="2">
        <v>253</v>
      </c>
    </row>
    <row r="436" spans="1:6" x14ac:dyDescent="0.25">
      <c r="A436" s="4" t="s">
        <v>338</v>
      </c>
      <c r="B436" s="2" t="s">
        <v>1071</v>
      </c>
      <c r="C436" s="2" t="s">
        <v>1139</v>
      </c>
      <c r="D436" s="2" t="s">
        <v>95</v>
      </c>
      <c r="E436" s="2">
        <v>1</v>
      </c>
      <c r="F436" s="2">
        <v>253</v>
      </c>
    </row>
    <row r="437" spans="1:6" x14ac:dyDescent="0.25">
      <c r="A437" s="4" t="s">
        <v>338</v>
      </c>
      <c r="B437" s="2" t="s">
        <v>1071</v>
      </c>
      <c r="C437" s="2" t="s">
        <v>1087</v>
      </c>
      <c r="D437" s="2" t="s">
        <v>95</v>
      </c>
      <c r="E437" s="2">
        <v>1</v>
      </c>
      <c r="F437" s="2">
        <v>253</v>
      </c>
    </row>
    <row r="438" spans="1:6" x14ac:dyDescent="0.25">
      <c r="A438" s="4" t="s">
        <v>338</v>
      </c>
      <c r="B438" s="2" t="s">
        <v>1071</v>
      </c>
      <c r="C438" s="2" t="s">
        <v>1072</v>
      </c>
      <c r="D438" s="2" t="s">
        <v>95</v>
      </c>
      <c r="E438" s="2">
        <v>4</v>
      </c>
      <c r="F438" s="2">
        <v>253</v>
      </c>
    </row>
    <row r="439" spans="1:6" x14ac:dyDescent="0.25">
      <c r="A439" s="4" t="s">
        <v>338</v>
      </c>
      <c r="B439" s="2" t="s">
        <v>1071</v>
      </c>
      <c r="C439" s="2" t="s">
        <v>1091</v>
      </c>
      <c r="D439" s="2" t="s">
        <v>95</v>
      </c>
      <c r="E439" s="2">
        <v>4</v>
      </c>
      <c r="F439" s="2">
        <v>253</v>
      </c>
    </row>
    <row r="440" spans="1:6" x14ac:dyDescent="0.25">
      <c r="A440" s="4" t="s">
        <v>338</v>
      </c>
      <c r="B440" s="2" t="s">
        <v>1071</v>
      </c>
      <c r="C440" s="2" t="s">
        <v>1122</v>
      </c>
      <c r="D440" s="2" t="s">
        <v>95</v>
      </c>
      <c r="E440" s="2">
        <v>1</v>
      </c>
      <c r="F440" s="2">
        <v>253</v>
      </c>
    </row>
    <row r="441" spans="1:6" x14ac:dyDescent="0.25">
      <c r="A441" s="4" t="s">
        <v>338</v>
      </c>
      <c r="B441" s="2" t="s">
        <v>1071</v>
      </c>
      <c r="C441" s="2" t="s">
        <v>1079</v>
      </c>
      <c r="D441" s="2" t="s">
        <v>95</v>
      </c>
      <c r="E441" s="2">
        <v>3</v>
      </c>
      <c r="F441" s="2">
        <v>253</v>
      </c>
    </row>
    <row r="442" spans="1:6" x14ac:dyDescent="0.25">
      <c r="A442" s="4" t="s">
        <v>338</v>
      </c>
      <c r="B442" s="2" t="s">
        <v>1071</v>
      </c>
      <c r="C442" s="2" t="s">
        <v>1104</v>
      </c>
      <c r="D442" s="2" t="s">
        <v>95</v>
      </c>
      <c r="E442" s="2">
        <v>1</v>
      </c>
      <c r="F442" s="2">
        <v>253</v>
      </c>
    </row>
    <row r="443" spans="1:6" x14ac:dyDescent="0.25">
      <c r="A443" s="4" t="s">
        <v>338</v>
      </c>
      <c r="B443" s="2" t="s">
        <v>1071</v>
      </c>
      <c r="C443" s="2" t="s">
        <v>1131</v>
      </c>
      <c r="D443" s="2" t="s">
        <v>95</v>
      </c>
      <c r="E443" s="2">
        <v>1</v>
      </c>
      <c r="F443" s="2">
        <v>253</v>
      </c>
    </row>
    <row r="444" spans="1:6" x14ac:dyDescent="0.25">
      <c r="A444" s="4" t="s">
        <v>338</v>
      </c>
      <c r="B444" s="2" t="s">
        <v>1071</v>
      </c>
      <c r="C444" s="2" t="s">
        <v>1083</v>
      </c>
      <c r="D444" s="2" t="s">
        <v>95</v>
      </c>
      <c r="E444" s="2">
        <v>1</v>
      </c>
      <c r="F444" s="2">
        <v>253</v>
      </c>
    </row>
    <row r="445" spans="1:6" x14ac:dyDescent="0.25">
      <c r="A445" s="4" t="s">
        <v>338</v>
      </c>
      <c r="B445" s="2" t="s">
        <v>1071</v>
      </c>
      <c r="C445" s="2" t="s">
        <v>1111</v>
      </c>
      <c r="D445" s="2" t="s">
        <v>95</v>
      </c>
      <c r="E445" s="2">
        <v>1</v>
      </c>
      <c r="F445" s="2">
        <v>253</v>
      </c>
    </row>
    <row r="446" spans="1:6" x14ac:dyDescent="0.25">
      <c r="A446" s="4" t="s">
        <v>338</v>
      </c>
      <c r="B446" s="2" t="s">
        <v>1601</v>
      </c>
      <c r="C446" s="2" t="s">
        <v>1620</v>
      </c>
      <c r="D446" s="2" t="s">
        <v>95</v>
      </c>
      <c r="E446" s="2">
        <v>1</v>
      </c>
      <c r="F446" s="2">
        <v>3190</v>
      </c>
    </row>
    <row r="447" spans="1:6" x14ac:dyDescent="0.25">
      <c r="A447" s="4" t="s">
        <v>338</v>
      </c>
      <c r="B447" s="2" t="s">
        <v>1601</v>
      </c>
      <c r="C447" s="2" t="s">
        <v>1616</v>
      </c>
      <c r="D447" s="2" t="s">
        <v>95</v>
      </c>
      <c r="E447" s="2">
        <v>1</v>
      </c>
      <c r="F447" s="2">
        <v>3190</v>
      </c>
    </row>
    <row r="448" spans="1:6" x14ac:dyDescent="0.25">
      <c r="A448" s="4" t="s">
        <v>338</v>
      </c>
      <c r="B448" s="2" t="s">
        <v>1601</v>
      </c>
      <c r="C448" s="2" t="s">
        <v>1607</v>
      </c>
      <c r="D448" s="2" t="s">
        <v>95</v>
      </c>
      <c r="E448" s="2">
        <v>3</v>
      </c>
      <c r="F448" s="2">
        <v>3190</v>
      </c>
    </row>
    <row r="449" spans="1:6" x14ac:dyDescent="0.25">
      <c r="A449" s="4" t="s">
        <v>338</v>
      </c>
      <c r="B449" s="2" t="s">
        <v>1601</v>
      </c>
      <c r="C449" s="2" t="s">
        <v>1634</v>
      </c>
      <c r="D449" s="2" t="s">
        <v>95</v>
      </c>
      <c r="E449" s="2">
        <v>1</v>
      </c>
      <c r="F449" s="2">
        <v>3190</v>
      </c>
    </row>
    <row r="450" spans="1:6" x14ac:dyDescent="0.25">
      <c r="A450" s="4" t="s">
        <v>338</v>
      </c>
      <c r="B450" s="2" t="s">
        <v>1601</v>
      </c>
      <c r="C450" s="2" t="s">
        <v>1611</v>
      </c>
      <c r="D450" s="2" t="s">
        <v>95</v>
      </c>
      <c r="E450" s="2">
        <v>3</v>
      </c>
      <c r="F450" s="2">
        <v>3190</v>
      </c>
    </row>
    <row r="451" spans="1:6" x14ac:dyDescent="0.25">
      <c r="A451" s="4" t="s">
        <v>338</v>
      </c>
      <c r="B451" s="2" t="s">
        <v>1601</v>
      </c>
      <c r="C451" s="2" t="s">
        <v>1602</v>
      </c>
      <c r="D451" s="2" t="s">
        <v>95</v>
      </c>
      <c r="E451" s="2">
        <v>1</v>
      </c>
      <c r="F451" s="2">
        <v>3190</v>
      </c>
    </row>
    <row r="452" spans="1:6" x14ac:dyDescent="0.25">
      <c r="A452" s="4" t="s">
        <v>338</v>
      </c>
      <c r="B452" s="2" t="s">
        <v>1641</v>
      </c>
      <c r="C452" s="2" t="s">
        <v>1642</v>
      </c>
      <c r="D452" s="2" t="s">
        <v>95</v>
      </c>
      <c r="E452" s="2">
        <v>5</v>
      </c>
      <c r="F452" s="2">
        <v>3103</v>
      </c>
    </row>
    <row r="453" spans="1:6" x14ac:dyDescent="0.25">
      <c r="A453" s="4" t="s">
        <v>338</v>
      </c>
      <c r="B453" s="2" t="s">
        <v>1143</v>
      </c>
      <c r="C453" s="2" t="s">
        <v>1144</v>
      </c>
      <c r="D453" s="2" t="s">
        <v>95</v>
      </c>
      <c r="E453" s="2">
        <v>1</v>
      </c>
      <c r="F453" s="2">
        <v>400</v>
      </c>
    </row>
    <row r="454" spans="1:6" x14ac:dyDescent="0.25">
      <c r="A454" s="4" t="s">
        <v>338</v>
      </c>
      <c r="B454" s="2" t="s">
        <v>1143</v>
      </c>
      <c r="C454" s="2" t="s">
        <v>1148</v>
      </c>
      <c r="D454" s="2" t="s">
        <v>95</v>
      </c>
      <c r="E454" s="2">
        <v>3</v>
      </c>
      <c r="F454" s="2">
        <v>400</v>
      </c>
    </row>
    <row r="455" spans="1:6" x14ac:dyDescent="0.25">
      <c r="A455" s="4" t="s">
        <v>338</v>
      </c>
      <c r="B455" s="2" t="s">
        <v>1143</v>
      </c>
      <c r="C455" s="2" t="s">
        <v>1156</v>
      </c>
      <c r="D455" s="2" t="s">
        <v>95</v>
      </c>
      <c r="E455" s="2">
        <v>1</v>
      </c>
      <c r="F455" s="2">
        <v>400</v>
      </c>
    </row>
    <row r="456" spans="1:6" x14ac:dyDescent="0.25">
      <c r="A456" s="4" t="s">
        <v>338</v>
      </c>
      <c r="B456" s="2" t="s">
        <v>1143</v>
      </c>
      <c r="C456" s="2" t="s">
        <v>1161</v>
      </c>
      <c r="D456" s="2" t="s">
        <v>95</v>
      </c>
      <c r="E456" s="2">
        <v>1</v>
      </c>
      <c r="F456" s="2">
        <v>400</v>
      </c>
    </row>
    <row r="457" spans="1:6" x14ac:dyDescent="0.25">
      <c r="A457" s="4" t="s">
        <v>338</v>
      </c>
      <c r="B457" s="2" t="s">
        <v>1143</v>
      </c>
      <c r="C457" s="2" t="s">
        <v>1152</v>
      </c>
      <c r="D457" s="2" t="s">
        <v>95</v>
      </c>
      <c r="E457" s="2">
        <v>1</v>
      </c>
      <c r="F457" s="2">
        <v>400</v>
      </c>
    </row>
    <row r="458" spans="1:6" x14ac:dyDescent="0.25">
      <c r="A458" s="4" t="s">
        <v>338</v>
      </c>
      <c r="B458" s="2" t="s">
        <v>1143</v>
      </c>
      <c r="C458" s="2" t="s">
        <v>1167</v>
      </c>
      <c r="D458" s="2" t="s">
        <v>95</v>
      </c>
      <c r="E458" s="2">
        <v>1</v>
      </c>
      <c r="F458" s="2">
        <v>400</v>
      </c>
    </row>
    <row r="459" spans="1:6" x14ac:dyDescent="0.25">
      <c r="A459" s="4" t="s">
        <v>338</v>
      </c>
      <c r="B459" s="2" t="s">
        <v>1663</v>
      </c>
      <c r="C459" s="2" t="s">
        <v>1681</v>
      </c>
      <c r="D459" s="2" t="s">
        <v>95</v>
      </c>
      <c r="E459" s="2">
        <v>5</v>
      </c>
      <c r="F459" s="2">
        <v>1493</v>
      </c>
    </row>
    <row r="460" spans="1:6" x14ac:dyDescent="0.25">
      <c r="A460" s="4" t="s">
        <v>338</v>
      </c>
      <c r="B460" s="2" t="s">
        <v>1663</v>
      </c>
      <c r="C460" s="2" t="s">
        <v>1669</v>
      </c>
      <c r="D460" s="2" t="s">
        <v>95</v>
      </c>
      <c r="E460" s="2">
        <v>1</v>
      </c>
      <c r="F460" s="2">
        <v>1493</v>
      </c>
    </row>
    <row r="461" spans="1:6" x14ac:dyDescent="0.25">
      <c r="A461" s="4" t="s">
        <v>338</v>
      </c>
      <c r="B461" s="2" t="s">
        <v>1663</v>
      </c>
      <c r="C461" s="2" t="s">
        <v>1697</v>
      </c>
      <c r="D461" s="2" t="s">
        <v>95</v>
      </c>
      <c r="E461" s="2">
        <v>1</v>
      </c>
      <c r="F461" s="2">
        <v>1493</v>
      </c>
    </row>
    <row r="462" spans="1:6" x14ac:dyDescent="0.25">
      <c r="A462" s="4" t="s">
        <v>338</v>
      </c>
      <c r="B462" s="2" t="s">
        <v>1663</v>
      </c>
      <c r="C462" s="2" t="s">
        <v>1714</v>
      </c>
      <c r="D462" s="2" t="s">
        <v>95</v>
      </c>
      <c r="E462" s="2">
        <v>1</v>
      </c>
      <c r="F462" s="2">
        <v>1493</v>
      </c>
    </row>
    <row r="463" spans="1:6" x14ac:dyDescent="0.25">
      <c r="A463" s="4" t="s">
        <v>338</v>
      </c>
      <c r="B463" s="2" t="s">
        <v>1663</v>
      </c>
      <c r="C463" s="2" t="s">
        <v>1705</v>
      </c>
      <c r="D463" s="2" t="s">
        <v>95</v>
      </c>
      <c r="E463" s="2">
        <v>1</v>
      </c>
      <c r="F463" s="2">
        <v>1493</v>
      </c>
    </row>
    <row r="464" spans="1:6" x14ac:dyDescent="0.25">
      <c r="A464" s="4" t="s">
        <v>338</v>
      </c>
      <c r="B464" s="2" t="s">
        <v>1663</v>
      </c>
      <c r="C464" s="2" t="s">
        <v>1664</v>
      </c>
      <c r="D464" s="2" t="s">
        <v>95</v>
      </c>
      <c r="E464" s="2">
        <v>4</v>
      </c>
      <c r="F464" s="2">
        <v>1493</v>
      </c>
    </row>
    <row r="465" spans="1:6" x14ac:dyDescent="0.25">
      <c r="A465" s="4" t="s">
        <v>338</v>
      </c>
      <c r="B465" s="2" t="s">
        <v>1663</v>
      </c>
      <c r="C465" s="2" t="s">
        <v>1677</v>
      </c>
      <c r="D465" s="2" t="s">
        <v>95</v>
      </c>
      <c r="E465" s="2">
        <v>1</v>
      </c>
      <c r="F465" s="2">
        <v>1493</v>
      </c>
    </row>
    <row r="466" spans="1:6" x14ac:dyDescent="0.25">
      <c r="A466" s="4" t="s">
        <v>234</v>
      </c>
      <c r="B466" s="2" t="s">
        <v>231</v>
      </c>
      <c r="C466" s="2" t="s">
        <v>232</v>
      </c>
      <c r="D466" s="2" t="s">
        <v>95</v>
      </c>
      <c r="E466" s="2">
        <v>5</v>
      </c>
      <c r="F466" s="2">
        <v>1494</v>
      </c>
    </row>
    <row r="467" spans="1:6" x14ac:dyDescent="0.25">
      <c r="A467" s="4" t="s">
        <v>234</v>
      </c>
      <c r="B467" s="2" t="s">
        <v>231</v>
      </c>
      <c r="C467" s="2" t="s">
        <v>247</v>
      </c>
      <c r="D467" s="2" t="s">
        <v>95</v>
      </c>
      <c r="E467" s="2">
        <v>1</v>
      </c>
      <c r="F467" s="2">
        <v>1494</v>
      </c>
    </row>
    <row r="468" spans="1:6" x14ac:dyDescent="0.25">
      <c r="A468" s="4" t="s">
        <v>234</v>
      </c>
      <c r="B468" s="2" t="s">
        <v>231</v>
      </c>
      <c r="C468" s="2" t="s">
        <v>241</v>
      </c>
      <c r="D468" s="2" t="s">
        <v>95</v>
      </c>
      <c r="E468" s="2">
        <v>1</v>
      </c>
      <c r="F468" s="2">
        <v>1494</v>
      </c>
    </row>
    <row r="469" spans="1:6" x14ac:dyDescent="0.25">
      <c r="A469" s="4" t="s">
        <v>234</v>
      </c>
      <c r="B469" s="2" t="s">
        <v>263</v>
      </c>
      <c r="C469" s="2" t="s">
        <v>274</v>
      </c>
      <c r="D469" s="2" t="s">
        <v>95</v>
      </c>
      <c r="E469" s="2">
        <v>1</v>
      </c>
      <c r="F469" s="2">
        <v>1747</v>
      </c>
    </row>
    <row r="470" spans="1:6" x14ac:dyDescent="0.25">
      <c r="A470" s="4" t="s">
        <v>234</v>
      </c>
      <c r="B470" s="2" t="s">
        <v>263</v>
      </c>
      <c r="C470" s="2" t="s">
        <v>284</v>
      </c>
      <c r="D470" s="2" t="s">
        <v>95</v>
      </c>
      <c r="E470" s="2">
        <v>1</v>
      </c>
      <c r="F470" s="2">
        <v>1747</v>
      </c>
    </row>
    <row r="471" spans="1:6" x14ac:dyDescent="0.25">
      <c r="A471" s="4" t="s">
        <v>234</v>
      </c>
      <c r="B471" s="2" t="s">
        <v>263</v>
      </c>
      <c r="C471" s="2" t="s">
        <v>264</v>
      </c>
      <c r="D471" s="2" t="s">
        <v>95</v>
      </c>
      <c r="E471" s="2">
        <v>3</v>
      </c>
      <c r="F471" s="2">
        <v>1747</v>
      </c>
    </row>
    <row r="472" spans="1:6" x14ac:dyDescent="0.25">
      <c r="A472" s="4" t="s">
        <v>234</v>
      </c>
      <c r="B472" s="2" t="s">
        <v>263</v>
      </c>
      <c r="C472" s="2" t="s">
        <v>288</v>
      </c>
      <c r="D472" s="2" t="s">
        <v>95</v>
      </c>
      <c r="E472" s="2">
        <v>1</v>
      </c>
      <c r="F472" s="2">
        <v>1747</v>
      </c>
    </row>
    <row r="473" spans="1:6" x14ac:dyDescent="0.25">
      <c r="A473" s="4" t="s">
        <v>234</v>
      </c>
      <c r="B473" s="2" t="s">
        <v>263</v>
      </c>
      <c r="C473" s="2" t="s">
        <v>329</v>
      </c>
      <c r="D473" s="2" t="s">
        <v>95</v>
      </c>
      <c r="E473" s="2">
        <v>1</v>
      </c>
      <c r="F473" s="2">
        <v>1747</v>
      </c>
    </row>
    <row r="474" spans="1:6" x14ac:dyDescent="0.25">
      <c r="A474" s="4" t="s">
        <v>234</v>
      </c>
      <c r="B474" s="2" t="s">
        <v>263</v>
      </c>
      <c r="C474" s="2" t="s">
        <v>325</v>
      </c>
      <c r="D474" s="2" t="s">
        <v>95</v>
      </c>
      <c r="E474" s="2">
        <v>1</v>
      </c>
      <c r="F474" s="2">
        <v>1747</v>
      </c>
    </row>
    <row r="475" spans="1:6" x14ac:dyDescent="0.25">
      <c r="A475" s="4" t="s">
        <v>234</v>
      </c>
      <c r="B475" s="2" t="s">
        <v>263</v>
      </c>
      <c r="C475" s="2" t="s">
        <v>292</v>
      </c>
      <c r="D475" s="2" t="s">
        <v>95</v>
      </c>
      <c r="E475" s="2">
        <v>2</v>
      </c>
      <c r="F475" s="2">
        <v>1747</v>
      </c>
    </row>
    <row r="476" spans="1:6" x14ac:dyDescent="0.25">
      <c r="A476" s="4" t="s">
        <v>234</v>
      </c>
      <c r="B476" s="2" t="s">
        <v>263</v>
      </c>
      <c r="C476" s="2" t="s">
        <v>309</v>
      </c>
      <c r="D476" s="2" t="s">
        <v>95</v>
      </c>
      <c r="E476" s="2">
        <v>1</v>
      </c>
      <c r="F476" s="2">
        <v>1747</v>
      </c>
    </row>
    <row r="477" spans="1:6" x14ac:dyDescent="0.25">
      <c r="A477" s="4" t="s">
        <v>234</v>
      </c>
      <c r="B477" s="2" t="s">
        <v>263</v>
      </c>
      <c r="C477" s="2" t="s">
        <v>297</v>
      </c>
      <c r="D477" s="2" t="s">
        <v>95</v>
      </c>
      <c r="E477" s="2">
        <v>3</v>
      </c>
      <c r="F477" s="2">
        <v>1747</v>
      </c>
    </row>
    <row r="478" spans="1:6" x14ac:dyDescent="0.25">
      <c r="A478" s="4" t="s">
        <v>234</v>
      </c>
      <c r="B478" s="2" t="s">
        <v>263</v>
      </c>
      <c r="C478" s="2" t="s">
        <v>279</v>
      </c>
      <c r="D478" s="2" t="s">
        <v>95</v>
      </c>
      <c r="E478" s="2">
        <v>2</v>
      </c>
      <c r="F478" s="2">
        <v>1747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2" width="16" customWidth="1"/>
    <col min="3" max="3" width="12" customWidth="1"/>
    <col min="4" max="4" width="45" customWidth="1"/>
  </cols>
  <sheetData>
    <row r="1" spans="1:4" x14ac:dyDescent="0.25">
      <c r="A1" s="1" t="s">
        <v>8</v>
      </c>
      <c r="B1" s="1" t="s">
        <v>3543</v>
      </c>
      <c r="C1" s="1" t="s">
        <v>3563</v>
      </c>
      <c r="D1" s="1" t="s">
        <v>3564</v>
      </c>
    </row>
    <row r="2" spans="1:4" x14ac:dyDescent="0.25">
      <c r="A2" s="4" t="s">
        <v>20</v>
      </c>
      <c r="B2" s="2">
        <f>COUNTIF('Base de Dados'!M:M,A2)</f>
        <v>195</v>
      </c>
      <c r="C2" s="2" t="str">
        <f>ROUND(B2/SUM(B$2:B$5)*100,1)&amp;"%"</f>
        <v>22,2%</v>
      </c>
      <c r="D2" s="4" t="s">
        <v>3565</v>
      </c>
    </row>
    <row r="3" spans="1:4" x14ac:dyDescent="0.25">
      <c r="A3" s="4" t="s">
        <v>1985</v>
      </c>
      <c r="B3" s="2">
        <f>COUNTIF('Base de Dados'!M:M,A3)</f>
        <v>62</v>
      </c>
      <c r="C3" s="2" t="str">
        <f>ROUND(B3/SUM(B$2:B$5)*100,1)&amp;"%"</f>
        <v>7%</v>
      </c>
      <c r="D3" s="4" t="s">
        <v>3566</v>
      </c>
    </row>
    <row r="4" spans="1:4" x14ac:dyDescent="0.25">
      <c r="A4" s="4" t="s">
        <v>1969</v>
      </c>
      <c r="B4" s="2">
        <f>COUNTIF('Base de Dados'!M:M,A4)</f>
        <v>157</v>
      </c>
      <c r="C4" s="2" t="str">
        <f>ROUND(B4/SUM(B$2:B$5)*100,1)&amp;"%"</f>
        <v>17,8%</v>
      </c>
      <c r="D4" s="4" t="s">
        <v>3567</v>
      </c>
    </row>
    <row r="5" spans="1:4" x14ac:dyDescent="0.25">
      <c r="A5" s="4" t="s">
        <v>95</v>
      </c>
      <c r="B5" s="2">
        <f>COUNTIF('Base de Dados'!M:M,A5)</f>
        <v>466</v>
      </c>
      <c r="C5" s="2" t="str">
        <f>ROUND(B5/SUM(B$2:B$5)*100,1)&amp;"%"</f>
        <v>53%</v>
      </c>
      <c r="D5" s="4" t="s">
        <v>3568</v>
      </c>
    </row>
    <row r="6" spans="1:4" x14ac:dyDescent="0.25">
      <c r="A6" s="5" t="s">
        <v>3569</v>
      </c>
      <c r="B6" s="6">
        <f>SUM(B2:B5)</f>
        <v>880</v>
      </c>
      <c r="C6" s="6" t="s">
        <v>3570</v>
      </c>
      <c r="D6" s="7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sqref="A1:D1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20" customWidth="1"/>
  </cols>
  <sheetData>
    <row r="1" spans="1:4" ht="18.75" x14ac:dyDescent="0.25">
      <c r="A1" s="14" t="s">
        <v>3571</v>
      </c>
      <c r="B1" s="15"/>
      <c r="C1" s="15"/>
      <c r="D1" s="15"/>
    </row>
    <row r="3" spans="1:4" ht="15.75" x14ac:dyDescent="0.25">
      <c r="A3" s="16" t="s">
        <v>3572</v>
      </c>
      <c r="B3" s="15"/>
      <c r="C3" s="15"/>
      <c r="D3" s="15"/>
    </row>
    <row r="4" spans="1:4" ht="18.75" x14ac:dyDescent="0.25">
      <c r="A4" s="8" t="s">
        <v>3573</v>
      </c>
      <c r="B4" s="9">
        <f>COUNTA('Base de Dados'!A2:A881)</f>
        <v>880</v>
      </c>
    </row>
    <row r="5" spans="1:4" ht="18.75" x14ac:dyDescent="0.25">
      <c r="A5" s="8" t="s">
        <v>3574</v>
      </c>
      <c r="B5" s="9" t="s">
        <v>3575</v>
      </c>
    </row>
    <row r="6" spans="1:4" ht="18.75" x14ac:dyDescent="0.25">
      <c r="A6" s="8" t="s">
        <v>3576</v>
      </c>
      <c r="B6" s="9" t="s">
        <v>3577</v>
      </c>
    </row>
    <row r="7" spans="1:4" ht="18.75" x14ac:dyDescent="0.25">
      <c r="A7" s="8" t="s">
        <v>3578</v>
      </c>
      <c r="B7" s="9" t="s">
        <v>3579</v>
      </c>
    </row>
    <row r="9" spans="1:4" ht="15.75" x14ac:dyDescent="0.25">
      <c r="A9" s="16" t="s">
        <v>3580</v>
      </c>
      <c r="B9" s="15"/>
      <c r="C9" s="15"/>
      <c r="D9" s="15"/>
    </row>
    <row r="10" spans="1:4" ht="15.75" x14ac:dyDescent="0.25">
      <c r="A10" s="8" t="s">
        <v>3581</v>
      </c>
      <c r="B10" s="10">
        <f>COUNTIF('Base de Dados'!P:P,"Alta")</f>
        <v>195</v>
      </c>
      <c r="C10" s="2" t="e">
        <f>ROUND(B10/B8*100,1)&amp;"%"</f>
        <v>#DIV/0!</v>
      </c>
    </row>
    <row r="11" spans="1:4" ht="15.75" x14ac:dyDescent="0.25">
      <c r="A11" s="8" t="s">
        <v>3582</v>
      </c>
      <c r="B11" s="10">
        <f>COUNTIF('Base de Dados'!P:P,"Média")</f>
        <v>62</v>
      </c>
      <c r="C11" s="2" t="e">
        <f>ROUND(B11/B8*100,1)&amp;"%"</f>
        <v>#DIV/0!</v>
      </c>
    </row>
    <row r="12" spans="1:4" ht="15.75" x14ac:dyDescent="0.25">
      <c r="A12" s="8" t="s">
        <v>3583</v>
      </c>
      <c r="B12" s="10">
        <f>COUNTIF('Base de Dados'!P:P,"Normal")</f>
        <v>623</v>
      </c>
      <c r="C12" s="2" t="e">
        <f>ROUND(B12/B8*100,1)&amp;"%"</f>
        <v>#DIV/0!</v>
      </c>
    </row>
    <row r="14" spans="1:4" ht="15.75" x14ac:dyDescent="0.25">
      <c r="A14" s="16" t="s">
        <v>3584</v>
      </c>
      <c r="B14" s="15"/>
      <c r="C14" s="15"/>
      <c r="D14" s="15"/>
    </row>
    <row r="15" spans="1:4" x14ac:dyDescent="0.25">
      <c r="A15" s="11" t="s">
        <v>7</v>
      </c>
      <c r="B15" s="1" t="s">
        <v>3558</v>
      </c>
    </row>
    <row r="16" spans="1:4" x14ac:dyDescent="0.25">
      <c r="A16" s="4" t="s">
        <v>338</v>
      </c>
      <c r="B16" s="2">
        <f>COUNTIF('Base de Dados'!L:L,A16)</f>
        <v>356</v>
      </c>
    </row>
    <row r="17" spans="1:2" x14ac:dyDescent="0.25">
      <c r="A17" s="4" t="s">
        <v>19</v>
      </c>
      <c r="B17" s="2">
        <f>COUNTIF('Base de Dados'!L:L,A17)</f>
        <v>204</v>
      </c>
    </row>
    <row r="18" spans="1:2" x14ac:dyDescent="0.25">
      <c r="A18" s="4" t="s">
        <v>3123</v>
      </c>
      <c r="B18" s="2">
        <f>COUNTIF('Base de Dados'!L:L,A18)</f>
        <v>100</v>
      </c>
    </row>
    <row r="19" spans="1:2" x14ac:dyDescent="0.25">
      <c r="A19" s="4" t="s">
        <v>2684</v>
      </c>
      <c r="B19" s="2">
        <f>COUNTIF('Base de Dados'!L:L,A19)</f>
        <v>63</v>
      </c>
    </row>
    <row r="20" spans="1:2" x14ac:dyDescent="0.25">
      <c r="A20" s="4" t="s">
        <v>1723</v>
      </c>
      <c r="B20" s="2">
        <f>COUNTIF('Base de Dados'!L:L,A20)</f>
        <v>61</v>
      </c>
    </row>
  </sheetData>
  <mergeCells count="4">
    <mergeCell ref="A1:D1"/>
    <mergeCell ref="A9:D9"/>
    <mergeCell ref="A3:D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F7" sqref="F7"/>
    </sheetView>
  </sheetViews>
  <sheetFormatPr defaultRowHeight="15" x14ac:dyDescent="0.25"/>
  <cols>
    <col min="1" max="1" width="18" customWidth="1"/>
    <col min="2" max="6" width="12" customWidth="1"/>
  </cols>
  <sheetData>
    <row r="1" spans="1:6" x14ac:dyDescent="0.25">
      <c r="A1" s="11" t="s">
        <v>7</v>
      </c>
      <c r="B1" s="1" t="s">
        <v>21</v>
      </c>
      <c r="C1" s="1" t="s">
        <v>244</v>
      </c>
      <c r="D1" s="1" t="s">
        <v>271</v>
      </c>
      <c r="E1" s="1" t="s">
        <v>96</v>
      </c>
      <c r="F1" s="1" t="s">
        <v>3569</v>
      </c>
    </row>
    <row r="2" spans="1:6" x14ac:dyDescent="0.25">
      <c r="A2" s="8" t="s">
        <v>2378</v>
      </c>
      <c r="B2" s="2">
        <f>COUNTIFS('Base de Dados'!L:L,A2,'Base de Dados'!O:O,"Semana 1")</f>
        <v>8</v>
      </c>
      <c r="C2" s="2">
        <f>COUNTIFS('Base de Dados'!L:L,A2,'Base de Dados'!O:O,"Semana 2")</f>
        <v>8</v>
      </c>
      <c r="D2" s="2">
        <f>COUNTIFS('Base de Dados'!L:L,A2,'Base de Dados'!O:O,"Semana 3")</f>
        <v>8</v>
      </c>
      <c r="E2" s="2">
        <f>COUNTIFS('Base de Dados'!L:L,A2,'Base de Dados'!O:O,"Semana 4")</f>
        <v>8</v>
      </c>
      <c r="F2" s="6">
        <f t="shared" ref="F2:F9" si="0">SUM(B2:E2)</f>
        <v>32</v>
      </c>
    </row>
    <row r="3" spans="1:6" x14ac:dyDescent="0.25">
      <c r="A3" s="8" t="s">
        <v>19</v>
      </c>
      <c r="B3" s="2">
        <f>COUNTIFS('Base de Dados'!L:L,A3,'Base de Dados'!O:O,"Semana 1")</f>
        <v>51</v>
      </c>
      <c r="C3" s="2">
        <f>COUNTIFS('Base de Dados'!L:L,A3,'Base de Dados'!O:O,"Semana 2")</f>
        <v>51</v>
      </c>
      <c r="D3" s="2">
        <f>COUNTIFS('Base de Dados'!L:L,A3,'Base de Dados'!O:O,"Semana 3")</f>
        <v>51</v>
      </c>
      <c r="E3" s="2">
        <f>COUNTIFS('Base de Dados'!L:L,A3,'Base de Dados'!O:O,"Semana 4")</f>
        <v>51</v>
      </c>
      <c r="F3" s="6">
        <f t="shared" si="0"/>
        <v>204</v>
      </c>
    </row>
    <row r="4" spans="1:6" x14ac:dyDescent="0.25">
      <c r="A4" s="8" t="s">
        <v>1723</v>
      </c>
      <c r="B4" s="2">
        <f>COUNTIFS('Base de Dados'!L:L,A4,'Base de Dados'!O:O,"Semana 1")</f>
        <v>15</v>
      </c>
      <c r="C4" s="2">
        <f>COUNTIFS('Base de Dados'!L:L,A4,'Base de Dados'!O:O,"Semana 2")</f>
        <v>15</v>
      </c>
      <c r="D4" s="2">
        <f>COUNTIFS('Base de Dados'!L:L,A4,'Base de Dados'!O:O,"Semana 3")</f>
        <v>15</v>
      </c>
      <c r="E4" s="2">
        <f>COUNTIFS('Base de Dados'!L:L,A4,'Base de Dados'!O:O,"Semana 4")</f>
        <v>16</v>
      </c>
      <c r="F4" s="6">
        <f t="shared" si="0"/>
        <v>61</v>
      </c>
    </row>
    <row r="5" spans="1:6" x14ac:dyDescent="0.25">
      <c r="A5" s="8" t="s">
        <v>2690</v>
      </c>
      <c r="B5" s="2">
        <f>COUNTIFS('Base de Dados'!L:L,A5,'Base de Dados'!O:O,"Semana 1")</f>
        <v>10</v>
      </c>
      <c r="C5" s="2">
        <f>COUNTIFS('Base de Dados'!L:L,A5,'Base de Dados'!O:O,"Semana 2")</f>
        <v>10</v>
      </c>
      <c r="D5" s="2">
        <f>COUNTIFS('Base de Dados'!L:L,A5,'Base de Dados'!O:O,"Semana 3")</f>
        <v>10</v>
      </c>
      <c r="E5" s="2">
        <f>COUNTIFS('Base de Dados'!L:L,A5,'Base de Dados'!O:O,"Semana 4")</f>
        <v>11</v>
      </c>
      <c r="F5" s="6">
        <f t="shared" si="0"/>
        <v>41</v>
      </c>
    </row>
    <row r="6" spans="1:6" x14ac:dyDescent="0.25">
      <c r="A6" s="8" t="s">
        <v>2684</v>
      </c>
      <c r="B6" s="2">
        <f>COUNTIFS('Base de Dados'!L:L,A6,'Base de Dados'!O:O,"Semana 1")</f>
        <v>15</v>
      </c>
      <c r="C6" s="2">
        <f>COUNTIFS('Base de Dados'!L:L,A6,'Base de Dados'!O:O,"Semana 2")</f>
        <v>15</v>
      </c>
      <c r="D6" s="2">
        <f>COUNTIFS('Base de Dados'!L:L,A6,'Base de Dados'!O:O,"Semana 3")</f>
        <v>15</v>
      </c>
      <c r="E6" s="2">
        <f>COUNTIFS('Base de Dados'!L:L,A6,'Base de Dados'!O:O,"Semana 4")</f>
        <v>18</v>
      </c>
      <c r="F6" s="6">
        <f t="shared" si="0"/>
        <v>63</v>
      </c>
    </row>
    <row r="7" spans="1:6" x14ac:dyDescent="0.25">
      <c r="A7" s="8" t="s">
        <v>3123</v>
      </c>
      <c r="B7" s="2">
        <f>COUNTIFS('Base de Dados'!L:L,A7,'Base de Dados'!O:O,"Semana 1")</f>
        <v>25</v>
      </c>
      <c r="C7" s="2">
        <f>COUNTIFS('Base de Dados'!L:L,A7,'Base de Dados'!O:O,"Semana 2")</f>
        <v>25</v>
      </c>
      <c r="D7" s="2">
        <f>COUNTIFS('Base de Dados'!L:L,A7,'Base de Dados'!O:O,"Semana 3")</f>
        <v>25</v>
      </c>
      <c r="E7" s="2">
        <f>COUNTIFS('Base de Dados'!L:L,A7,'Base de Dados'!O:O,"Semana 4")</f>
        <v>25</v>
      </c>
      <c r="F7" s="6">
        <f t="shared" si="0"/>
        <v>100</v>
      </c>
    </row>
    <row r="8" spans="1:6" x14ac:dyDescent="0.25">
      <c r="A8" s="8" t="s">
        <v>338</v>
      </c>
      <c r="B8" s="2">
        <f>COUNTIFS('Base de Dados'!L:L,A8,'Base de Dados'!O:O,"Semana 1")</f>
        <v>89</v>
      </c>
      <c r="C8" s="2">
        <f>COUNTIFS('Base de Dados'!L:L,A8,'Base de Dados'!O:O,"Semana 2")</f>
        <v>89</v>
      </c>
      <c r="D8" s="2">
        <f>COUNTIFS('Base de Dados'!L:L,A8,'Base de Dados'!O:O,"Semana 3")</f>
        <v>89</v>
      </c>
      <c r="E8" s="2">
        <f>COUNTIFS('Base de Dados'!L:L,A8,'Base de Dados'!O:O,"Semana 4")</f>
        <v>89</v>
      </c>
      <c r="F8" s="6">
        <f t="shared" si="0"/>
        <v>356</v>
      </c>
    </row>
    <row r="9" spans="1:6" x14ac:dyDescent="0.25">
      <c r="A9" s="8" t="s">
        <v>234</v>
      </c>
      <c r="B9" s="2">
        <f>COUNTIFS('Base de Dados'!L:L,A9,'Base de Dados'!O:O,"Semana 1")</f>
        <v>5</v>
      </c>
      <c r="C9" s="2">
        <f>COUNTIFS('Base de Dados'!L:L,A9,'Base de Dados'!O:O,"Semana 2")</f>
        <v>5</v>
      </c>
      <c r="D9" s="2">
        <f>COUNTIFS('Base de Dados'!L:L,A9,'Base de Dados'!O:O,"Semana 3")</f>
        <v>5</v>
      </c>
      <c r="E9" s="2">
        <f>COUNTIFS('Base de Dados'!L:L,A9,'Base de Dados'!O:O,"Semana 4")</f>
        <v>8</v>
      </c>
      <c r="F9" s="6">
        <f t="shared" si="0"/>
        <v>23</v>
      </c>
    </row>
    <row r="10" spans="1:6" x14ac:dyDescent="0.25">
      <c r="A10" s="12" t="s">
        <v>3569</v>
      </c>
      <c r="B10" s="13">
        <f>SUM(B2:B9)</f>
        <v>218</v>
      </c>
      <c r="C10" s="13">
        <f>SUM(C2:C9)</f>
        <v>218</v>
      </c>
      <c r="D10" s="13">
        <f>SUM(D2:D9)</f>
        <v>218</v>
      </c>
      <c r="E10" s="13">
        <f>SUM(E2:E9)</f>
        <v>226</v>
      </c>
      <c r="F10" s="13">
        <f>SUM(F2:F9)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Base de Dados</vt:lpstr>
      <vt:lpstr>Resumo Supervisores</vt:lpstr>
      <vt:lpstr>Agenda Semanal</vt:lpstr>
      <vt:lpstr>Roteiro Semanal</vt:lpstr>
      <vt:lpstr>Estatísticas por UF</vt:lpstr>
      <vt:lpstr>Clusters Geográficos</vt:lpstr>
      <vt:lpstr>Clusters Classificação</vt:lpstr>
      <vt:lpstr>Dashboard Executivo</vt:lpstr>
      <vt:lpstr>Supervisor x 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365</cp:lastModifiedBy>
  <dcterms:created xsi:type="dcterms:W3CDTF">2026-03-10T19:24:04Z</dcterms:created>
  <dcterms:modified xsi:type="dcterms:W3CDTF">2026-03-10T19:36:35Z</dcterms:modified>
</cp:coreProperties>
</file>